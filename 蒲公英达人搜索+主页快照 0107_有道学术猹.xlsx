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有道学术猹"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19" customWidth="1"/>
    <col min="7" max="7" width="19" customWidth="1"/>
    <col min="8" max="8" width="0" customWidth="1"/>
    <col min="9" max="9" width="19" customWidth="1"/>
    <col min="10" max="10" width="0"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s>
  <sheetData>
    <row r="1" ht="13" customHeight="1">
      <c r="A1" s="1" t="inlineStr">
        <is>
          <t>达人ID</t>
        </is>
      </c>
      <c r="B1" s="1" t="inlineStr">
        <is>
          <t>达人主页</t>
        </is>
      </c>
      <c r="C1" s="1" t="inlineStr">
        <is>
          <t>蒲公英主页</t>
        </is>
      </c>
      <c r="D1" s="1" t="inlineStr">
        <is>
          <t>性别</t>
        </is>
      </c>
      <c r="E1" s="1" t="inlineStr">
        <is>
          <t>小红书ID</t>
        </is>
      </c>
      <c r="F1" s="1" t="inlineStr">
        <is>
          <t>达人昵称</t>
        </is>
      </c>
      <c r="G1" s="1" t="inlineStr">
        <is>
          <t>归属地</t>
        </is>
      </c>
      <c r="H1" s="1" t="inlineStr">
        <is>
          <t>个人标签</t>
        </is>
      </c>
      <c r="I1" s="1" t="inlineStr">
        <is>
          <t>内容标签</t>
        </is>
      </c>
      <c r="J1" s="1" t="inlineStr">
        <is>
          <t>粉丝数</t>
        </is>
      </c>
      <c r="K1" s="1" t="inlineStr">
        <is>
          <t>粉丝数-万</t>
        </is>
      </c>
      <c r="L1" s="1" t="inlineStr">
        <is>
          <t>曝光中位数</t>
        </is>
      </c>
      <c r="M1" s="1" t="inlineStr">
        <is>
          <t>阅读中位数</t>
        </is>
      </c>
      <c r="N1" s="1" t="inlineStr">
        <is>
          <t>互动中位数</t>
        </is>
      </c>
      <c r="O1" s="1" t="inlineStr">
        <is>
          <t>合作报价</t>
        </is>
      </c>
      <c r="P1" s="1" t="inlineStr">
        <is>
          <t>千赞笔记比例</t>
        </is>
      </c>
      <c r="Q1" s="1" t="inlineStr">
        <is>
          <t>百赞笔记比例</t>
        </is>
      </c>
      <c r="R1" s="1" t="inlineStr">
        <is>
          <t>图文曝光中位数</t>
        </is>
      </c>
      <c r="S1" s="1" t="inlineStr">
        <is>
          <t>图文阅读中位数</t>
        </is>
      </c>
      <c r="T1" s="1" t="inlineStr">
        <is>
          <t>图文互动中位数</t>
        </is>
      </c>
      <c r="U1" s="1" t="inlineStr">
        <is>
          <t>图文预估阅读单价</t>
        </is>
      </c>
      <c r="V1" s="1" t="inlineStr">
        <is>
          <t>图文报价</t>
        </is>
      </c>
      <c r="W1" s="1" t="inlineStr">
        <is>
          <t>图文百赞笔记比例</t>
        </is>
      </c>
      <c r="X1" s="1" t="inlineStr">
        <is>
          <t>图文千赞笔记比例</t>
        </is>
      </c>
      <c r="Y1" s="1" t="inlineStr">
        <is>
          <t>图文预估CPM</t>
        </is>
      </c>
      <c r="Z1" s="1" t="inlineStr">
        <is>
          <t>图文预估互动单价</t>
        </is>
      </c>
      <c r="AA1" s="1" t="inlineStr">
        <is>
          <t>视频曝光中位数</t>
        </is>
      </c>
      <c r="AB1" s="1" t="inlineStr">
        <is>
          <t>视频阅读中位数</t>
        </is>
      </c>
      <c r="AC1" s="1" t="inlineStr">
        <is>
          <t>视频互动中位数</t>
        </is>
      </c>
      <c r="AD1" s="1" t="inlineStr">
        <is>
          <t>视频预估阅读单价</t>
        </is>
      </c>
      <c r="AE1" s="1" t="inlineStr">
        <is>
          <t>视频报价</t>
        </is>
      </c>
      <c r="AF1" s="1" t="inlineStr">
        <is>
          <t>视频百赞笔记比例</t>
        </is>
      </c>
      <c r="AG1" s="1" t="inlineStr">
        <is>
          <t>视频千赞笔记比例</t>
        </is>
      </c>
      <c r="AH1" s="1" t="inlineStr">
        <is>
          <t>视频完播率</t>
        </is>
      </c>
      <c r="AI1" s="1" t="inlineStr">
        <is>
          <t>视频预估CPM</t>
        </is>
      </c>
      <c r="AJ1" s="1" t="inlineStr">
        <is>
          <t>视频预估互动单价</t>
        </is>
      </c>
      <c r="AK1" s="1" t="inlineStr">
        <is>
          <t>曝光中位数(合作)</t>
        </is>
      </c>
      <c r="AL1" s="1" t="inlineStr">
        <is>
          <t>阅读中位数(合作)</t>
        </is>
      </c>
      <c r="AM1" s="1" t="inlineStr">
        <is>
          <t>互动中位数(合作)</t>
        </is>
      </c>
      <c r="AN1" s="1" t="inlineStr">
        <is>
          <t>外溢进店中位数</t>
        </is>
      </c>
      <c r="AO1" s="1" t="inlineStr">
        <is>
          <t>外溢进店单价</t>
        </is>
      </c>
      <c r="AP1" s="1" t="inlineStr">
        <is>
          <t>活跃粉丝占比</t>
        </is>
      </c>
      <c r="AQ1" s="1" t="inlineStr">
        <is>
          <t>互动粉丝占比</t>
        </is>
      </c>
      <c r="AR1" s="1" t="inlineStr">
        <is>
          <t>粉丝量变化</t>
        </is>
      </c>
      <c r="AS1" s="1" t="inlineStr">
        <is>
          <t>采集时间</t>
        </is>
      </c>
    </row>
    <row r="2" ht="25.5" customHeight="1">
      <c r="A2" t="inlineStr">
        <is>
          <t>659e49e20000000022011ab9</t>
        </is>
      </c>
      <c r="B2" s="2" t="str">
        <f>=HYPERLINK("https://www.xiaohongshu.com/user/profile/659e49e20000000022011ab9", "https://www.xiaohongshu.com/user/profile/659e49e20000000022011ab9")</f>
        <v>https://www.xiaohongshu.com/user/profile/659e49e20000000022011ab9</v>
      </c>
      <c r="C2" s="2" t="str">
        <f>=HYPERLINK("https://pgy.xiaohongshu.com/solar/pre-trade/blogger-detail/659e49e20000000022011ab9", "https://pgy.xiaohongshu.com/solar/pre-trade/blogger-detail/659e49e20000000022011ab9")</f>
        <v>https://pgy.xiaohongshu.com/solar/pre-trade/blogger-detail/659e49e20000000022011ab9</v>
      </c>
      <c r="D2" t="inlineStr">
        <is>
          <t>女</t>
        </is>
      </c>
      <c r="E2" t="inlineStr">
        <is>
          <t>3479028042</t>
        </is>
      </c>
      <c r="F2" t="inlineStr">
        <is>
          <t>专研英语的禾穗子</t>
        </is>
      </c>
      <c r="G2" t="inlineStr">
        <is>
          <t>浙江 杭州 上城区</t>
        </is>
      </c>
      <c r="H2" t="inlineStr">
        <is>
          <t>学生, 翻译</t>
        </is>
      </c>
      <c r="I2" t="inlineStr">
        <is>
          <t>教育</t>
        </is>
      </c>
      <c r="J2">
        <v>43156</v>
      </c>
      <c r="K2" t="inlineStr">
        <is>
          <t>4.3</t>
        </is>
      </c>
      <c r="L2">
        <v>8344</v>
      </c>
      <c r="M2">
        <v>2141</v>
      </c>
      <c r="N2">
        <v>248</v>
      </c>
      <c r="O2">
        <v>500</v>
      </c>
      <c r="P2">
        <v>0.103</v>
      </c>
      <c r="Q2">
        <v>0.655</v>
      </c>
      <c r="R2">
        <v>6727</v>
      </c>
      <c r="S2">
        <v>690</v>
      </c>
      <c r="T2">
        <v>113</v>
      </c>
      <c r="U2">
        <v>0.99</v>
      </c>
      <c r="V2">
        <v>500</v>
      </c>
      <c r="W2">
        <v>0.4</v>
      </c>
      <c r="X2">
        <v>0</v>
      </c>
      <c r="Y2">
        <v>76.71</v>
      </c>
      <c r="Z2">
        <v>3.91</v>
      </c>
      <c r="AA2">
        <v>10708</v>
      </c>
      <c r="AB2">
        <v>3259</v>
      </c>
      <c r="AC2">
        <v>474</v>
      </c>
      <c r="AD2">
        <v>2.14</v>
      </c>
      <c r="AE2">
        <v>2000</v>
      </c>
      <c r="AF2">
        <v>0.929</v>
      </c>
      <c r="AG2">
        <v>0.214</v>
      </c>
      <c r="AH2">
        <v>0.017</v>
      </c>
      <c r="AI2">
        <v>184.35</v>
      </c>
      <c r="AJ2">
        <v>3.7</v>
      </c>
      <c r="AK2">
        <v>15860</v>
      </c>
      <c r="AL2">
        <v>1730</v>
      </c>
      <c r="AM2">
        <v>469</v>
      </c>
      <c r="AN2">
        <v>0</v>
      </c>
      <c r="AO2">
        <v>0</v>
      </c>
      <c r="AP2">
        <v>0.952</v>
      </c>
      <c r="AQ2">
        <v>0.244</v>
      </c>
      <c r="AR2">
        <v>0.332999999999999</v>
      </c>
      <c r="AS2" s="3">
        <v>46107.765393518515</v>
      </c>
    </row>
    <row r="3" ht="25.5" customHeight="1">
      <c r="A3" t="inlineStr">
        <is>
          <t>5b34f18b4eacab6af39e28bc</t>
        </is>
      </c>
      <c r="B3" s="2" t="str">
        <f>=HYPERLINK("https://www.xiaohongshu.com/user/profile/5b34f18b4eacab6af39e28bc", "https://www.xiaohongshu.com/user/profile/5b34f18b4eacab6af39e28bc")</f>
        <v>https://www.xiaohongshu.com/user/profile/5b34f18b4eacab6af39e28bc</v>
      </c>
      <c r="C3" s="2" t="str">
        <f>=HYPERLINK("https://pgy.xiaohongshu.com/solar/pre-trade/blogger-detail/5b34f18b4eacab6af39e28bc", "https://pgy.xiaohongshu.com/solar/pre-trade/blogger-detail/5b34f18b4eacab6af39e28bc")</f>
        <v>https://pgy.xiaohongshu.com/solar/pre-trade/blogger-detail/5b34f18b4eacab6af39e28bc</v>
      </c>
      <c r="D3" t="inlineStr">
        <is>
          <t>女</t>
        </is>
      </c>
      <c r="E3" t="inlineStr">
        <is>
          <t>271724317</t>
        </is>
      </c>
      <c r="F3" t="inlineStr">
        <is>
          <t>我真的爱吃皮蛋</t>
        </is>
      </c>
      <c r="G3" t="inlineStr">
        <is>
          <t>上海</t>
        </is>
      </c>
      <c r="H3" t="inlineStr">
        <is>
          <t>学生</t>
        </is>
      </c>
      <c r="I3" t="inlineStr">
        <is>
          <t>教育</t>
        </is>
      </c>
      <c r="J3">
        <v>25092</v>
      </c>
      <c r="K3" t="inlineStr">
        <is>
          <t>2.5</t>
        </is>
      </c>
      <c r="L3">
        <v>2846</v>
      </c>
      <c r="M3">
        <v>1810</v>
      </c>
      <c r="N3">
        <v>244</v>
      </c>
      <c r="O3">
        <v>940</v>
      </c>
      <c r="P3">
        <v>0</v>
      </c>
      <c r="Q3">
        <v>0.714</v>
      </c>
      <c r="R3">
        <v>0</v>
      </c>
      <c r="S3">
        <v>0</v>
      </c>
      <c r="T3">
        <v>0</v>
      </c>
      <c r="U3">
        <v>0</v>
      </c>
      <c r="V3">
        <v>940</v>
      </c>
      <c r="W3">
        <v>0</v>
      </c>
      <c r="X3">
        <v>0</v>
      </c>
      <c r="Y3">
        <v>0</v>
      </c>
      <c r="Z3">
        <v>0</v>
      </c>
      <c r="AA3">
        <v>2846</v>
      </c>
      <c r="AB3">
        <v>1810</v>
      </c>
      <c r="AC3">
        <v>209</v>
      </c>
      <c r="AD3">
        <v>2.66</v>
      </c>
      <c r="AE3">
        <v>2555</v>
      </c>
      <c r="AF3">
        <v>0.714</v>
      </c>
      <c r="AG3">
        <v>0</v>
      </c>
      <c r="AH3">
        <v>0.062</v>
      </c>
      <c r="AI3">
        <v>558.47</v>
      </c>
      <c r="AJ3">
        <v>9.94</v>
      </c>
      <c r="AK3">
        <v>21697</v>
      </c>
      <c r="AL3">
        <v>7364</v>
      </c>
      <c r="AM3">
        <v>330</v>
      </c>
      <c r="AN3">
        <v>0</v>
      </c>
      <c r="AO3">
        <v>0</v>
      </c>
      <c r="AP3">
        <v>0.842</v>
      </c>
      <c r="AQ3">
        <v>0.016</v>
      </c>
      <c r="AR3">
        <v>0.002</v>
      </c>
      <c r="AS3" s="3">
        <v>46107.765393518515</v>
      </c>
    </row>
    <row r="4" ht="25.5" customHeight="1">
      <c r="A4" t="inlineStr">
        <is>
          <t>556bea93a75c954611335a27</t>
        </is>
      </c>
      <c r="B4" s="2" t="str">
        <f>=HYPERLINK("https://www.xiaohongshu.com/user/profile/556bea93a75c954611335a27", "https://www.xiaohongshu.com/user/profile/556bea93a75c954611335a27")</f>
        <v>https://www.xiaohongshu.com/user/profile/556bea93a75c954611335a27</v>
      </c>
      <c r="C4" s="2" t="str">
        <f>=HYPERLINK("https://pgy.xiaohongshu.com/solar/pre-trade/blogger-detail/556bea93a75c954611335a27", "https://pgy.xiaohongshu.com/solar/pre-trade/blogger-detail/556bea93a75c954611335a27")</f>
        <v>https://pgy.xiaohongshu.com/solar/pre-trade/blogger-detail/556bea93a75c954611335a27</v>
      </c>
      <c r="D4" t="inlineStr">
        <is>
          <t>女</t>
        </is>
      </c>
      <c r="E4" t="inlineStr">
        <is>
          <t>427847431</t>
        </is>
      </c>
      <c r="F4" t="inlineStr">
        <is>
          <t>ZFM</t>
        </is>
      </c>
      <c r="G4" t="inlineStr">
        <is>
          <t>广东 广州 越秀区</t>
        </is>
      </c>
      <c r="H4" t="inlineStr">
        <is>
          <t>学生</t>
        </is>
      </c>
      <c r="I4" t="inlineStr">
        <is>
          <t>教育, 文化艺术</t>
        </is>
      </c>
      <c r="J4">
        <v>65966</v>
      </c>
      <c r="K4" t="inlineStr">
        <is>
          <t>6.6</t>
        </is>
      </c>
      <c r="L4">
        <v>39194</v>
      </c>
      <c r="M4">
        <v>5274</v>
      </c>
      <c r="N4">
        <v>448</v>
      </c>
      <c r="O4">
        <v>3500</v>
      </c>
      <c r="P4">
        <v>0</v>
      </c>
      <c r="Q4">
        <v>0.75</v>
      </c>
      <c r="R4">
        <v>36774</v>
      </c>
      <c r="S4">
        <v>3993</v>
      </c>
      <c r="T4">
        <v>174</v>
      </c>
      <c r="U4">
        <v>1.18</v>
      </c>
      <c r="V4">
        <v>3500</v>
      </c>
      <c r="W4">
        <v>0.5</v>
      </c>
      <c r="X4">
        <v>0</v>
      </c>
      <c r="Y4">
        <v>95.17</v>
      </c>
      <c r="Z4">
        <v>14.37</v>
      </c>
      <c r="AA4">
        <v>43869</v>
      </c>
      <c r="AB4">
        <v>9110</v>
      </c>
      <c r="AC4">
        <v>1150</v>
      </c>
      <c r="AD4">
        <v>2.05</v>
      </c>
      <c r="AE4">
        <v>5000</v>
      </c>
      <c r="AF4">
        <v>1</v>
      </c>
      <c r="AG4">
        <v>0</v>
      </c>
      <c r="AH4">
        <v>0.128</v>
      </c>
      <c r="AI4">
        <v>113.97</v>
      </c>
      <c r="AJ4">
        <v>4.03</v>
      </c>
      <c r="AK4">
        <v>0</v>
      </c>
      <c r="AL4">
        <v>0</v>
      </c>
      <c r="AM4">
        <v>0</v>
      </c>
      <c r="AN4">
        <v>0</v>
      </c>
      <c r="AO4">
        <v>0</v>
      </c>
      <c r="AP4">
        <v>0.893</v>
      </c>
      <c r="AQ4">
        <v>0.046</v>
      </c>
      <c r="AR4">
        <v>0.005</v>
      </c>
      <c r="AS4" s="3">
        <v>46107.765393518515</v>
      </c>
    </row>
    <row r="5" ht="25.5" customHeight="1">
      <c r="A5" t="inlineStr">
        <is>
          <t>5d3bb9fd0000000012032bea</t>
        </is>
      </c>
      <c r="B5" s="2" t="str">
        <f>=HYPERLINK("https://www.xiaohongshu.com/user/profile/5d3bb9fd0000000012032bea", "https://www.xiaohongshu.com/user/profile/5d3bb9fd0000000012032bea")</f>
        <v>https://www.xiaohongshu.com/user/profile/5d3bb9fd0000000012032bea</v>
      </c>
      <c r="C5" s="2" t="str">
        <f>=HYPERLINK("https://pgy.xiaohongshu.com/solar/pre-trade/blogger-detail/5d3bb9fd0000000012032bea", "https://pgy.xiaohongshu.com/solar/pre-trade/blogger-detail/5d3bb9fd0000000012032bea")</f>
        <v>https://pgy.xiaohongshu.com/solar/pre-trade/blogger-detail/5d3bb9fd0000000012032bea</v>
      </c>
      <c r="D5" t="inlineStr">
        <is>
          <t>女</t>
        </is>
      </c>
      <c r="E5" t="inlineStr">
        <is>
          <t>EEElaine_Chen</t>
        </is>
      </c>
      <c r="F5" t="inlineStr">
        <is>
          <t>胖脸鱼鱼</t>
        </is>
      </c>
      <c r="G5" t="inlineStr">
        <is>
          <t>广东 深圳 宝安区</t>
        </is>
      </c>
      <c r="H5" t="inlineStr">
        <is>
          <t>考研过来人, 学生, 情侣</t>
        </is>
      </c>
      <c r="I5" t="inlineStr">
        <is>
          <t>教育, 情感, 生活记录</t>
        </is>
      </c>
      <c r="J5">
        <v>10844</v>
      </c>
      <c r="K5" t="inlineStr">
        <is>
          <t>1.1</t>
        </is>
      </c>
      <c r="L5">
        <v>5065</v>
      </c>
      <c r="M5">
        <v>797</v>
      </c>
      <c r="N5">
        <v>160</v>
      </c>
      <c r="O5">
        <v>2500</v>
      </c>
      <c r="P5">
        <v>0</v>
      </c>
      <c r="Q5">
        <v>0.332999999999999</v>
      </c>
      <c r="R5">
        <v>10585</v>
      </c>
      <c r="S5">
        <v>1636</v>
      </c>
      <c r="T5">
        <v>196</v>
      </c>
      <c r="U5">
        <v>2.14</v>
      </c>
      <c r="V5">
        <v>2500</v>
      </c>
      <c r="W5">
        <v>0.5</v>
      </c>
      <c r="X5">
        <v>0</v>
      </c>
      <c r="Y5">
        <v>235.01</v>
      </c>
      <c r="Z5">
        <v>9.88</v>
      </c>
      <c r="AA5">
        <v>3012</v>
      </c>
      <c r="AB5">
        <v>654</v>
      </c>
      <c r="AC5">
        <v>145</v>
      </c>
      <c r="AD5">
        <v>7.31</v>
      </c>
      <c r="AE5">
        <v>3800</v>
      </c>
      <c r="AF5">
        <v>0</v>
      </c>
      <c r="AG5">
        <v>0</v>
      </c>
      <c r="AH5">
        <v>0.059</v>
      </c>
      <c r="AI5">
        <v>1261.62</v>
      </c>
      <c r="AJ5">
        <v>25</v>
      </c>
      <c r="AK5">
        <v>11786</v>
      </c>
      <c r="AL5">
        <v>1356</v>
      </c>
      <c r="AM5">
        <v>243</v>
      </c>
      <c r="AN5">
        <v>229</v>
      </c>
      <c r="AO5">
        <v>12.1</v>
      </c>
      <c r="AP5">
        <v>0.822</v>
      </c>
      <c r="AQ5">
        <v>0.027</v>
      </c>
      <c r="AR5">
        <v>0.003</v>
      </c>
      <c r="AS5" s="3">
        <v>46107.765393518515</v>
      </c>
    </row>
    <row r="6" ht="25.5" customHeight="1">
      <c r="A6" t="inlineStr">
        <is>
          <t>5e78b39b00000000010036f1</t>
        </is>
      </c>
      <c r="B6" s="2" t="str">
        <f>=HYPERLINK("https://www.xiaohongshu.com/user/profile/5e78b39b00000000010036f1", "https://www.xiaohongshu.com/user/profile/5e78b39b00000000010036f1")</f>
        <v>https://www.xiaohongshu.com/user/profile/5e78b39b00000000010036f1</v>
      </c>
      <c r="C6" s="2" t="str">
        <f>=HYPERLINK("https://pgy.xiaohongshu.com/solar/pre-trade/blogger-detail/5e78b39b00000000010036f1", "https://pgy.xiaohongshu.com/solar/pre-trade/blogger-detail/5e78b39b00000000010036f1")</f>
        <v>https://pgy.xiaohongshu.com/solar/pre-trade/blogger-detail/5e78b39b00000000010036f1</v>
      </c>
      <c r="D6" t="inlineStr">
        <is>
          <t>女</t>
        </is>
      </c>
      <c r="E6" t="inlineStr">
        <is>
          <t>905762602</t>
        </is>
      </c>
      <c r="F6" t="inlineStr">
        <is>
          <t>是菇妹呀</t>
        </is>
      </c>
      <c r="G6" t="inlineStr">
        <is>
          <t>广东 深圳 罗湖区</t>
        </is>
      </c>
      <c r="H6" t="inlineStr">
        <is>
          <t>学生</t>
        </is>
      </c>
      <c r="I6" t="inlineStr">
        <is>
          <t>情感, 生活记录</t>
        </is>
      </c>
      <c r="J6">
        <v>7714</v>
      </c>
      <c r="K6" t="inlineStr">
        <is>
          <t>0.8</t>
        </is>
      </c>
      <c r="L6">
        <v>6054</v>
      </c>
      <c r="M6">
        <v>1354</v>
      </c>
      <c r="N6">
        <v>105</v>
      </c>
      <c r="O6">
        <v>580</v>
      </c>
      <c r="P6">
        <v>0</v>
      </c>
      <c r="Q6">
        <v>0</v>
      </c>
      <c r="R6">
        <v>6112</v>
      </c>
      <c r="S6">
        <v>1382</v>
      </c>
      <c r="T6">
        <v>87</v>
      </c>
      <c r="U6">
        <v>0.89</v>
      </c>
      <c r="V6">
        <v>580</v>
      </c>
      <c r="W6">
        <v>0</v>
      </c>
      <c r="X6">
        <v>0</v>
      </c>
      <c r="Y6">
        <v>94.9</v>
      </c>
      <c r="Z6">
        <v>9.06</v>
      </c>
      <c r="AA6">
        <v>5578</v>
      </c>
      <c r="AB6">
        <v>1263</v>
      </c>
      <c r="AC6">
        <v>97</v>
      </c>
      <c r="AD6">
        <v>2.23</v>
      </c>
      <c r="AE6">
        <v>990</v>
      </c>
      <c r="AF6">
        <v>0</v>
      </c>
      <c r="AG6">
        <v>0</v>
      </c>
      <c r="AH6">
        <v>0.284</v>
      </c>
      <c r="AI6">
        <v>163.53</v>
      </c>
      <c r="AJ6">
        <v>8.05</v>
      </c>
      <c r="AK6">
        <v>6593</v>
      </c>
      <c r="AL6">
        <v>976</v>
      </c>
      <c r="AM6">
        <v>62</v>
      </c>
      <c r="AN6">
        <v>25</v>
      </c>
      <c r="AO6">
        <v>56.17</v>
      </c>
      <c r="AP6">
        <v>0.762</v>
      </c>
      <c r="AQ6">
        <v>0.03</v>
      </c>
      <c r="AR6">
        <v>0.004</v>
      </c>
      <c r="AS6" s="3">
        <v>46107.765393518515</v>
      </c>
    </row>
    <row r="7" ht="25.5" customHeight="1">
      <c r="A7" t="inlineStr">
        <is>
          <t>5ad04c994eacab5e1b4f920e</t>
        </is>
      </c>
      <c r="B7" s="2" t="str">
        <f>=HYPERLINK("https://www.xiaohongshu.com/user/profile/5ad04c994eacab5e1b4f920e", "https://www.xiaohongshu.com/user/profile/5ad04c994eacab5e1b4f920e")</f>
        <v>https://www.xiaohongshu.com/user/profile/5ad04c994eacab5e1b4f920e</v>
      </c>
      <c r="C7" s="2" t="str">
        <f>=HYPERLINK("https://pgy.xiaohongshu.com/solar/pre-trade/blogger-detail/5ad04c994eacab5e1b4f920e", "https://pgy.xiaohongshu.com/solar/pre-trade/blogger-detail/5ad04c994eacab5e1b4f920e")</f>
        <v>https://pgy.xiaohongshu.com/solar/pre-trade/blogger-detail/5ad04c994eacab5e1b4f920e</v>
      </c>
      <c r="D7" t="inlineStr">
        <is>
          <t>女</t>
        </is>
      </c>
      <c r="E7" t="inlineStr">
        <is>
          <t>498247647</t>
        </is>
      </c>
      <c r="F7" t="inlineStr">
        <is>
          <t>卷毛儿</t>
        </is>
      </c>
      <c r="G7" t="inlineStr">
        <is>
          <t>重庆</t>
        </is>
      </c>
      <c r="H7"/>
      <c r="I7" t="inlineStr">
        <is>
          <t>教育</t>
        </is>
      </c>
      <c r="J7">
        <v>23643</v>
      </c>
      <c r="K7" t="inlineStr">
        <is>
          <t>2.4</t>
        </is>
      </c>
      <c r="L7">
        <v>10369</v>
      </c>
      <c r="M7">
        <v>4812</v>
      </c>
      <c r="N7">
        <v>165</v>
      </c>
      <c r="O7">
        <v>1078</v>
      </c>
      <c r="P7">
        <v>0</v>
      </c>
      <c r="Q7">
        <v>0.571</v>
      </c>
      <c r="R7">
        <v>0</v>
      </c>
      <c r="S7">
        <v>0</v>
      </c>
      <c r="T7">
        <v>0</v>
      </c>
      <c r="U7">
        <v>0</v>
      </c>
      <c r="V7">
        <v>1078</v>
      </c>
      <c r="W7">
        <v>0</v>
      </c>
      <c r="X7">
        <v>0</v>
      </c>
      <c r="Y7">
        <v>0</v>
      </c>
      <c r="Z7">
        <v>0</v>
      </c>
      <c r="AA7">
        <v>10369</v>
      </c>
      <c r="AB7">
        <v>4812</v>
      </c>
      <c r="AC7">
        <v>158</v>
      </c>
      <c r="AD7">
        <v>2.39</v>
      </c>
      <c r="AE7">
        <v>2696</v>
      </c>
      <c r="AF7">
        <v>0.571</v>
      </c>
      <c r="AG7">
        <v>0</v>
      </c>
      <c r="AH7">
        <v>0.417</v>
      </c>
      <c r="AI7">
        <v>260.01</v>
      </c>
      <c r="AJ7">
        <v>16.34</v>
      </c>
      <c r="AK7">
        <v>11628</v>
      </c>
      <c r="AL7">
        <v>2020</v>
      </c>
      <c r="AM7">
        <v>247</v>
      </c>
      <c r="AN7">
        <v>0</v>
      </c>
      <c r="AO7">
        <v>0</v>
      </c>
      <c r="AP7">
        <v>0.944</v>
      </c>
      <c r="AQ7">
        <v>0.033</v>
      </c>
      <c r="AR7">
        <v>0.045</v>
      </c>
      <c r="AS7" s="3">
        <v>46107.765393518515</v>
      </c>
    </row>
    <row r="8" ht="25.5" customHeight="1">
      <c r="A8" t="inlineStr">
        <is>
          <t>680293d7000000001703c2e7</t>
        </is>
      </c>
      <c r="B8" s="2" t="str">
        <f>=HYPERLINK("https://www.xiaohongshu.com/user/profile/680293d7000000001703c2e7", "https://www.xiaohongshu.com/user/profile/680293d7000000001703c2e7")</f>
        <v>https://www.xiaohongshu.com/user/profile/680293d7000000001703c2e7</v>
      </c>
      <c r="C8" s="2" t="str">
        <f>=HYPERLINK("https://pgy.xiaohongshu.com/solar/pre-trade/blogger-detail/680293d7000000001703c2e7", "https://pgy.xiaohongshu.com/solar/pre-trade/blogger-detail/680293d7000000001703c2e7")</f>
        <v>https://pgy.xiaohongshu.com/solar/pre-trade/blogger-detail/680293d7000000001703c2e7</v>
      </c>
      <c r="D8" t="inlineStr">
        <is>
          <t>女</t>
        </is>
      </c>
      <c r="E8" t="inlineStr">
        <is>
          <t>Mia0413</t>
        </is>
      </c>
      <c r="F8" t="inlineStr">
        <is>
          <t>蜜芽吖</t>
        </is>
      </c>
      <c r="G8" t="inlineStr">
        <is>
          <t>云南 昆明 官渡区</t>
        </is>
      </c>
      <c r="H8" t="inlineStr">
        <is>
          <t>留学背景, 学生</t>
        </is>
      </c>
      <c r="I8" t="inlineStr">
        <is>
          <t>职场, 教育</t>
        </is>
      </c>
      <c r="J8">
        <v>15741</v>
      </c>
      <c r="K8" t="inlineStr">
        <is>
          <t>1.6</t>
        </is>
      </c>
      <c r="L8">
        <v>13708</v>
      </c>
      <c r="M8">
        <v>1924</v>
      </c>
      <c r="N8">
        <v>359</v>
      </c>
      <c r="O8">
        <v>1500</v>
      </c>
      <c r="P8">
        <v>0</v>
      </c>
      <c r="Q8">
        <v>0.667</v>
      </c>
      <c r="R8">
        <v>0</v>
      </c>
      <c r="S8">
        <v>0</v>
      </c>
      <c r="T8">
        <v>0</v>
      </c>
      <c r="U8">
        <v>0</v>
      </c>
      <c r="V8">
        <v>1500</v>
      </c>
      <c r="W8">
        <v>0</v>
      </c>
      <c r="X8">
        <v>0</v>
      </c>
      <c r="Y8">
        <v>0</v>
      </c>
      <c r="Z8">
        <v>0</v>
      </c>
      <c r="AA8">
        <v>13708</v>
      </c>
      <c r="AB8">
        <v>1924</v>
      </c>
      <c r="AC8">
        <v>294</v>
      </c>
      <c r="AD8">
        <v>2.3</v>
      </c>
      <c r="AE8">
        <v>2800</v>
      </c>
      <c r="AF8">
        <v>0.667</v>
      </c>
      <c r="AG8">
        <v>0</v>
      </c>
      <c r="AH8">
        <v>0.1</v>
      </c>
      <c r="AI8">
        <v>212.89</v>
      </c>
      <c r="AJ8">
        <v>6.5</v>
      </c>
      <c r="AK8">
        <v>33708</v>
      </c>
      <c r="AL8">
        <v>12171</v>
      </c>
      <c r="AM8">
        <v>1818</v>
      </c>
      <c r="AN8">
        <v>0</v>
      </c>
      <c r="AO8">
        <v>0</v>
      </c>
      <c r="AP8">
        <v>0.925999999999999</v>
      </c>
      <c r="AQ8">
        <v>0.043</v>
      </c>
      <c r="AR8">
        <v>0.081</v>
      </c>
      <c r="AS8" s="3">
        <v>46107.765393518515</v>
      </c>
    </row>
    <row r="9" ht="25.5" customHeight="1">
      <c r="A9" t="inlineStr">
        <is>
          <t>5825beec50c4b4302b2d8ab0</t>
        </is>
      </c>
      <c r="B9" s="2" t="str">
        <f>=HYPERLINK("https://www.xiaohongshu.com/user/profile/5825beec50c4b4302b2d8ab0", "https://www.xiaohongshu.com/user/profile/5825beec50c4b4302b2d8ab0")</f>
        <v>https://www.xiaohongshu.com/user/profile/5825beec50c4b4302b2d8ab0</v>
      </c>
      <c r="C9" s="2" t="str">
        <f>=HYPERLINK("https://pgy.xiaohongshu.com/solar/pre-trade/blogger-detail/5825beec50c4b4302b2d8ab0", "https://pgy.xiaohongshu.com/solar/pre-trade/blogger-detail/5825beec50c4b4302b2d8ab0")</f>
        <v>https://pgy.xiaohongshu.com/solar/pre-trade/blogger-detail/5825beec50c4b4302b2d8ab0</v>
      </c>
      <c r="D9" t="inlineStr">
        <is>
          <t>女</t>
        </is>
      </c>
      <c r="E9" t="inlineStr">
        <is>
          <t>103943376</t>
        </is>
      </c>
      <c r="F9" t="inlineStr">
        <is>
          <t>不土葡萄皮-啊垚</t>
        </is>
      </c>
      <c r="G9" t="inlineStr">
        <is>
          <t>江西 九江 共青城市</t>
        </is>
      </c>
      <c r="H9" t="inlineStr">
        <is>
          <t>学生</t>
        </is>
      </c>
      <c r="I9" t="inlineStr">
        <is>
          <t>职场</t>
        </is>
      </c>
      <c r="J9">
        <v>44331</v>
      </c>
      <c r="K9" t="inlineStr">
        <is>
          <t>4.4</t>
        </is>
      </c>
      <c r="L9">
        <v>14419</v>
      </c>
      <c r="M9">
        <v>3639</v>
      </c>
      <c r="N9">
        <v>316</v>
      </c>
      <c r="O9">
        <v>4200</v>
      </c>
      <c r="P9">
        <v>0</v>
      </c>
      <c r="Q9">
        <v>0.75</v>
      </c>
      <c r="R9">
        <v>0</v>
      </c>
      <c r="S9">
        <v>0</v>
      </c>
      <c r="T9">
        <v>0</v>
      </c>
      <c r="U9">
        <v>0</v>
      </c>
      <c r="V9">
        <v>4200</v>
      </c>
      <c r="W9">
        <v>0</v>
      </c>
      <c r="X9">
        <v>0</v>
      </c>
      <c r="Y9">
        <v>0</v>
      </c>
      <c r="Z9">
        <v>0</v>
      </c>
      <c r="AA9">
        <v>14419</v>
      </c>
      <c r="AB9">
        <v>3639</v>
      </c>
      <c r="AC9">
        <v>279</v>
      </c>
      <c r="AD9">
        <v>3.14</v>
      </c>
      <c r="AE9">
        <v>7000</v>
      </c>
      <c r="AF9">
        <v>0.75</v>
      </c>
      <c r="AG9">
        <v>0</v>
      </c>
      <c r="AH9">
        <v>0.105</v>
      </c>
      <c r="AI9">
        <v>333.41</v>
      </c>
      <c r="AJ9">
        <v>15.59</v>
      </c>
      <c r="AK9">
        <v>90903</v>
      </c>
      <c r="AL9">
        <v>18396</v>
      </c>
      <c r="AM9">
        <v>2010</v>
      </c>
      <c r="AN9">
        <v>0</v>
      </c>
      <c r="AO9">
        <v>0</v>
      </c>
      <c r="AP9">
        <v>0.905999999999999</v>
      </c>
      <c r="AQ9">
        <v>0.054</v>
      </c>
      <c r="AR9">
        <v>0.055</v>
      </c>
      <c r="AS9" s="3">
        <v>46107.765393518515</v>
      </c>
    </row>
    <row r="10" ht="25.5" customHeight="1">
      <c r="A10" t="inlineStr">
        <is>
          <t>618b08bd0000000010006e8c</t>
        </is>
      </c>
      <c r="B10" s="2" t="str">
        <f>=HYPERLINK("https://www.xiaohongshu.com/user/profile/618b08bd0000000010006e8c", "https://www.xiaohongshu.com/user/profile/618b08bd0000000010006e8c")</f>
        <v>https://www.xiaohongshu.com/user/profile/618b08bd0000000010006e8c</v>
      </c>
      <c r="C10" s="2" t="str">
        <f>=HYPERLINK("https://pgy.xiaohongshu.com/solar/pre-trade/blogger-detail/618b08bd0000000010006e8c", "https://pgy.xiaohongshu.com/solar/pre-trade/blogger-detail/618b08bd0000000010006e8c")</f>
        <v>https://pgy.xiaohongshu.com/solar/pre-trade/blogger-detail/618b08bd0000000010006e8c</v>
      </c>
      <c r="D10" t="inlineStr">
        <is>
          <t>男</t>
        </is>
      </c>
      <c r="E10" t="inlineStr">
        <is>
          <t>2783500097</t>
        </is>
      </c>
      <c r="F10" t="inlineStr">
        <is>
          <t>辽河畔大水草</t>
        </is>
      </c>
      <c r="G10" t="inlineStr">
        <is>
          <t>辽宁 沈阳 铁西区</t>
        </is>
      </c>
      <c r="H10" t="inlineStr">
        <is>
          <t>学生</t>
        </is>
      </c>
      <c r="I10" t="inlineStr">
        <is>
          <t>教育</t>
        </is>
      </c>
      <c r="J10">
        <v>56408</v>
      </c>
      <c r="K10" t="inlineStr">
        <is>
          <t>5.6</t>
        </is>
      </c>
      <c r="L10">
        <v>19490</v>
      </c>
      <c r="M10">
        <v>7039</v>
      </c>
      <c r="N10">
        <v>830</v>
      </c>
      <c r="O10">
        <v>1831</v>
      </c>
      <c r="P10">
        <v>0.2</v>
      </c>
      <c r="Q10">
        <v>0.8</v>
      </c>
      <c r="R10">
        <v>0</v>
      </c>
      <c r="S10">
        <v>0</v>
      </c>
      <c r="T10">
        <v>0</v>
      </c>
      <c r="U10">
        <v>0</v>
      </c>
      <c r="V10">
        <v>1831</v>
      </c>
      <c r="W10">
        <v>0</v>
      </c>
      <c r="X10">
        <v>0</v>
      </c>
      <c r="Y10">
        <v>0</v>
      </c>
      <c r="Z10">
        <v>0</v>
      </c>
      <c r="AA10">
        <v>19490</v>
      </c>
      <c r="AB10">
        <v>7039</v>
      </c>
      <c r="AC10">
        <v>795</v>
      </c>
      <c r="AD10">
        <v>2.83</v>
      </c>
      <c r="AE10">
        <v>7000</v>
      </c>
      <c r="AF10">
        <v>0.8</v>
      </c>
      <c r="AG10">
        <v>0.2</v>
      </c>
      <c r="AH10">
        <v>0.032</v>
      </c>
      <c r="AI10">
        <v>359.16</v>
      </c>
      <c r="AJ10">
        <v>8.51</v>
      </c>
      <c r="AK10">
        <v>19148</v>
      </c>
      <c r="AL10">
        <v>2708</v>
      </c>
      <c r="AM10">
        <v>497</v>
      </c>
      <c r="AN10">
        <v>0</v>
      </c>
      <c r="AO10">
        <v>0</v>
      </c>
      <c r="AP10">
        <v>0.884</v>
      </c>
      <c r="AQ10">
        <v>0.021</v>
      </c>
      <c r="AR10">
        <v>0.001</v>
      </c>
      <c r="AS10" s="3">
        <v>46107.765393518515</v>
      </c>
    </row>
    <row r="11" ht="25.5" customHeight="1">
      <c r="A11" t="inlineStr">
        <is>
          <t>5bacd0fe405b270001de683e</t>
        </is>
      </c>
      <c r="B11" s="2" t="str">
        <f>=HYPERLINK("https://www.xiaohongshu.com/user/profile/5bacd0fe405b270001de683e", "https://www.xiaohongshu.com/user/profile/5bacd0fe405b270001de683e")</f>
        <v>https://www.xiaohongshu.com/user/profile/5bacd0fe405b270001de683e</v>
      </c>
      <c r="C11" s="2" t="str">
        <f>=HYPERLINK("https://pgy.xiaohongshu.com/solar/pre-trade/blogger-detail/5bacd0fe405b270001de683e", "https://pgy.xiaohongshu.com/solar/pre-trade/blogger-detail/5bacd0fe405b270001de683e")</f>
        <v>https://pgy.xiaohongshu.com/solar/pre-trade/blogger-detail/5bacd0fe405b270001de683e</v>
      </c>
      <c r="D11" t="inlineStr">
        <is>
          <t>女</t>
        </is>
      </c>
      <c r="E11" t="inlineStr">
        <is>
          <t>154260777</t>
        </is>
      </c>
      <c r="F11" t="inlineStr">
        <is>
          <t>学英语的服务员Rachel</t>
        </is>
      </c>
      <c r="G11" t="inlineStr">
        <is>
          <t>广东 广州 荔湾区</t>
        </is>
      </c>
      <c r="H11"/>
      <c r="I11" t="inlineStr">
        <is>
          <t>教育, 生活记录</t>
        </is>
      </c>
      <c r="J11">
        <v>40793</v>
      </c>
      <c r="K11" t="inlineStr">
        <is>
          <t>4.1</t>
        </is>
      </c>
      <c r="L11">
        <v>15967</v>
      </c>
      <c r="M11">
        <v>5925</v>
      </c>
      <c r="N11">
        <v>415</v>
      </c>
      <c r="O11">
        <v>800</v>
      </c>
      <c r="P11">
        <v>0</v>
      </c>
      <c r="Q11">
        <v>1</v>
      </c>
      <c r="R11">
        <v>0</v>
      </c>
      <c r="S11">
        <v>0</v>
      </c>
      <c r="T11">
        <v>0</v>
      </c>
      <c r="U11">
        <v>0</v>
      </c>
      <c r="V11">
        <v>800</v>
      </c>
      <c r="W11">
        <v>0</v>
      </c>
      <c r="X11">
        <v>0</v>
      </c>
      <c r="Y11">
        <v>0</v>
      </c>
      <c r="Z11">
        <v>0</v>
      </c>
      <c r="AA11">
        <v>15967</v>
      </c>
      <c r="AB11">
        <v>5925</v>
      </c>
      <c r="AC11">
        <v>367</v>
      </c>
      <c r="AD11">
        <v>1.93</v>
      </c>
      <c r="AE11">
        <v>2600</v>
      </c>
      <c r="AF11">
        <v>1</v>
      </c>
      <c r="AG11">
        <v>0</v>
      </c>
      <c r="AH11">
        <v>0.155</v>
      </c>
      <c r="AI11">
        <v>150.89</v>
      </c>
      <c r="AJ11">
        <v>5.92</v>
      </c>
      <c r="AK11">
        <v>48112</v>
      </c>
      <c r="AL11">
        <v>24143</v>
      </c>
      <c r="AM11">
        <v>2417</v>
      </c>
      <c r="AN11">
        <v>0</v>
      </c>
      <c r="AO11">
        <v>0</v>
      </c>
      <c r="AP11">
        <v>0.932999999999999</v>
      </c>
      <c r="AQ11">
        <v>0.034</v>
      </c>
      <c r="AR11">
        <v>0.02</v>
      </c>
      <c r="AS11" s="3">
        <v>46107.765393518515</v>
      </c>
    </row>
    <row r="12" ht="25.5" customHeight="1">
      <c r="A12" t="inlineStr">
        <is>
          <t>665ab99000000000030328ef</t>
        </is>
      </c>
      <c r="B12" s="2" t="str">
        <f>=HYPERLINK("https://www.xiaohongshu.com/user/profile/665ab99000000000030328ef", "https://www.xiaohongshu.com/user/profile/665ab99000000000030328ef")</f>
        <v>https://www.xiaohongshu.com/user/profile/665ab99000000000030328ef</v>
      </c>
      <c r="C12" s="2" t="str">
        <f>=HYPERLINK("https://pgy.xiaohongshu.com/solar/pre-trade/blogger-detail/665ab99000000000030328ef", "https://pgy.xiaohongshu.com/solar/pre-trade/blogger-detail/665ab99000000000030328ef")</f>
        <v>https://pgy.xiaohongshu.com/solar/pre-trade/blogger-detail/665ab99000000000030328ef</v>
      </c>
      <c r="D12" t="inlineStr">
        <is>
          <t>男</t>
        </is>
      </c>
      <c r="E12" t="inlineStr">
        <is>
          <t>525and427</t>
        </is>
      </c>
      <c r="F12" t="inlineStr">
        <is>
          <t>关于考研</t>
        </is>
      </c>
      <c r="G12" t="inlineStr">
        <is>
          <t>江苏 南京 浦口区</t>
        </is>
      </c>
      <c r="H12" t="inlineStr">
        <is>
          <t>考研过来人, 学生</t>
        </is>
      </c>
      <c r="I12" t="inlineStr">
        <is>
          <t>教育, 生活记录</t>
        </is>
      </c>
      <c r="J12">
        <v>26845</v>
      </c>
      <c r="K12" t="inlineStr">
        <is>
          <t>2.7</t>
        </is>
      </c>
      <c r="L12">
        <v>3002</v>
      </c>
      <c r="M12">
        <v>1533</v>
      </c>
      <c r="N12">
        <v>286</v>
      </c>
      <c r="O12">
        <v>300</v>
      </c>
      <c r="P12">
        <v>0.053</v>
      </c>
      <c r="Q12">
        <v>0.920999999999999</v>
      </c>
      <c r="R12">
        <v>0</v>
      </c>
      <c r="S12">
        <v>0</v>
      </c>
      <c r="T12">
        <v>0</v>
      </c>
      <c r="U12">
        <v>0</v>
      </c>
      <c r="V12">
        <v>300</v>
      </c>
      <c r="W12">
        <v>0</v>
      </c>
      <c r="X12">
        <v>0</v>
      </c>
      <c r="Y12">
        <v>0</v>
      </c>
      <c r="Z12">
        <v>0</v>
      </c>
      <c r="AA12">
        <v>3002</v>
      </c>
      <c r="AB12">
        <v>1533</v>
      </c>
      <c r="AC12">
        <v>274</v>
      </c>
      <c r="AD12">
        <v>3.13</v>
      </c>
      <c r="AE12">
        <v>2500</v>
      </c>
      <c r="AF12">
        <v>0.920999999999999</v>
      </c>
      <c r="AG12">
        <v>0.053</v>
      </c>
      <c r="AH12">
        <v>0.504</v>
      </c>
      <c r="AI12">
        <v>832.78</v>
      </c>
      <c r="AJ12">
        <v>8.73</v>
      </c>
      <c r="AK12">
        <v>0</v>
      </c>
      <c r="AL12">
        <v>0</v>
      </c>
      <c r="AM12">
        <v>0</v>
      </c>
      <c r="AN12">
        <v>0</v>
      </c>
      <c r="AO12">
        <v>0</v>
      </c>
      <c r="AP12">
        <v>0.747</v>
      </c>
      <c r="AQ12">
        <v>0.048</v>
      </c>
      <c r="AR12">
        <v>0.0409999999999999</v>
      </c>
      <c r="AS12" s="3">
        <v>46107.765393518515</v>
      </c>
    </row>
    <row r="13" ht="25.5" customHeight="1">
      <c r="A13" t="inlineStr">
        <is>
          <t>5f22422d0000000001004ce5</t>
        </is>
      </c>
      <c r="B13" s="2" t="str">
        <f>=HYPERLINK("https://www.xiaohongshu.com/user/profile/5f22422d0000000001004ce5", "https://www.xiaohongshu.com/user/profile/5f22422d0000000001004ce5")</f>
        <v>https://www.xiaohongshu.com/user/profile/5f22422d0000000001004ce5</v>
      </c>
      <c r="C13" s="2" t="str">
        <f>=HYPERLINK("https://pgy.xiaohongshu.com/solar/pre-trade/blogger-detail/5f22422d0000000001004ce5", "https://pgy.xiaohongshu.com/solar/pre-trade/blogger-detail/5f22422d0000000001004ce5")</f>
        <v>https://pgy.xiaohongshu.com/solar/pre-trade/blogger-detail/5f22422d0000000001004ce5</v>
      </c>
      <c r="D13" t="inlineStr">
        <is>
          <t>女</t>
        </is>
      </c>
      <c r="E13" t="inlineStr">
        <is>
          <t>880642493</t>
        </is>
      </c>
      <c r="F13" t="inlineStr">
        <is>
          <t>今天元宵好吃吗</t>
        </is>
      </c>
      <c r="G13" t="inlineStr">
        <is>
          <t>广东 深圳 南山区</t>
        </is>
      </c>
      <c r="H13" t="inlineStr">
        <is>
          <t>学生</t>
        </is>
      </c>
      <c r="I13" t="inlineStr">
        <is>
          <t>教育</t>
        </is>
      </c>
      <c r="J13">
        <v>8588</v>
      </c>
      <c r="K13" t="inlineStr">
        <is>
          <t>0.9</t>
        </is>
      </c>
      <c r="L13">
        <v>4446</v>
      </c>
      <c r="M13">
        <v>2403</v>
      </c>
      <c r="N13">
        <v>508</v>
      </c>
      <c r="O13">
        <v>500</v>
      </c>
      <c r="P13">
        <v>0</v>
      </c>
      <c r="Q13">
        <v>0.667</v>
      </c>
      <c r="R13">
        <v>1129</v>
      </c>
      <c r="S13">
        <v>238</v>
      </c>
      <c r="T13">
        <v>9</v>
      </c>
      <c r="U13">
        <v>2.4</v>
      </c>
      <c r="V13">
        <v>500</v>
      </c>
      <c r="W13">
        <v>0</v>
      </c>
      <c r="X13">
        <v>0</v>
      </c>
      <c r="Y13">
        <v>442.87</v>
      </c>
      <c r="Z13">
        <v>50</v>
      </c>
      <c r="AA13">
        <v>6016</v>
      </c>
      <c r="AB13">
        <v>3417</v>
      </c>
      <c r="AC13">
        <v>665</v>
      </c>
      <c r="AD13">
        <v>1.61</v>
      </c>
      <c r="AE13">
        <v>900</v>
      </c>
      <c r="AF13">
        <v>1</v>
      </c>
      <c r="AG13">
        <v>0</v>
      </c>
      <c r="AH13">
        <v>0.00699999999999999</v>
      </c>
      <c r="AI13">
        <v>40.52</v>
      </c>
      <c r="AJ13">
        <v>0.7</v>
      </c>
      <c r="AK13">
        <v>31269</v>
      </c>
      <c r="AL13">
        <v>14714</v>
      </c>
      <c r="AM13">
        <v>1801</v>
      </c>
      <c r="AN13">
        <v>0</v>
      </c>
      <c r="AO13">
        <v>0</v>
      </c>
      <c r="AP13">
        <v>0.938</v>
      </c>
      <c r="AQ13">
        <v>0.105</v>
      </c>
      <c r="AR13">
        <v>0.047</v>
      </c>
      <c r="AS13" s="3">
        <v>46107.765393518515</v>
      </c>
    </row>
    <row r="14" ht="25.5" customHeight="1">
      <c r="A14" t="inlineStr">
        <is>
          <t>68ced7ba00000000210287e7</t>
        </is>
      </c>
      <c r="B14" s="2" t="str">
        <f>=HYPERLINK("https://www.xiaohongshu.com/user/profile/68ced7ba00000000210287e7", "https://www.xiaohongshu.com/user/profile/68ced7ba00000000210287e7")</f>
        <v>https://www.xiaohongshu.com/user/profile/68ced7ba00000000210287e7</v>
      </c>
      <c r="C14" s="2" t="str">
        <f>=HYPERLINK("https://pgy.xiaohongshu.com/solar/pre-trade/blogger-detail/68ced7ba00000000210287e7", "https://pgy.xiaohongshu.com/solar/pre-trade/blogger-detail/68ced7ba00000000210287e7")</f>
        <v>https://pgy.xiaohongshu.com/solar/pre-trade/blogger-detail/68ced7ba00000000210287e7</v>
      </c>
      <c r="D14" t="inlineStr">
        <is>
          <t>女</t>
        </is>
      </c>
      <c r="E14" t="inlineStr">
        <is>
          <t>49754598201</t>
        </is>
      </c>
      <c r="F14" t="inlineStr">
        <is>
          <t>暴躁大鳄鱼</t>
        </is>
      </c>
      <c r="G14" t="inlineStr">
        <is>
          <t>英国</t>
        </is>
      </c>
      <c r="H14"/>
      <c r="I14" t="inlineStr">
        <is>
          <t>教育</t>
        </is>
      </c>
      <c r="J14">
        <v>5346</v>
      </c>
      <c r="K14" t="inlineStr">
        <is>
          <t>0.5</t>
        </is>
      </c>
      <c r="L14">
        <v>113882</v>
      </c>
      <c r="M14">
        <v>19940</v>
      </c>
      <c r="N14">
        <v>664</v>
      </c>
      <c r="O14">
        <v>550</v>
      </c>
      <c r="P14">
        <v>0.375</v>
      </c>
      <c r="Q14">
        <v>1</v>
      </c>
      <c r="R14">
        <v>0</v>
      </c>
      <c r="S14">
        <v>0</v>
      </c>
      <c r="T14">
        <v>0</v>
      </c>
      <c r="U14">
        <v>0</v>
      </c>
      <c r="V14">
        <v>550</v>
      </c>
      <c r="W14">
        <v>0</v>
      </c>
      <c r="X14">
        <v>0</v>
      </c>
      <c r="Y14">
        <v>0</v>
      </c>
      <c r="Z14">
        <v>0</v>
      </c>
      <c r="AA14">
        <v>113882</v>
      </c>
      <c r="AB14">
        <v>19940</v>
      </c>
      <c r="AC14">
        <v>536</v>
      </c>
      <c r="AD14">
        <v>1.59</v>
      </c>
      <c r="AE14">
        <v>900</v>
      </c>
      <c r="AF14">
        <v>1</v>
      </c>
      <c r="AG14">
        <v>0.375</v>
      </c>
      <c r="AH14">
        <v>0.081</v>
      </c>
      <c r="AI14">
        <v>19.22</v>
      </c>
      <c r="AJ14">
        <v>2.34</v>
      </c>
      <c r="AK14">
        <v>33627</v>
      </c>
      <c r="AL14">
        <v>5345</v>
      </c>
      <c r="AM14">
        <v>267</v>
      </c>
      <c r="AN14">
        <v>0</v>
      </c>
      <c r="AO14">
        <v>0</v>
      </c>
      <c r="AP14">
        <v>0.971</v>
      </c>
      <c r="AQ14">
        <v>0.144</v>
      </c>
      <c r="AR14">
        <v>0.326</v>
      </c>
      <c r="AS14" s="3">
        <v>46107.765393518515</v>
      </c>
    </row>
    <row r="15" ht="25.5" customHeight="1">
      <c r="A15" t="inlineStr">
        <is>
          <t>62cd1bc40000000002002274</t>
        </is>
      </c>
      <c r="B15" s="2" t="str">
        <f>=HYPERLINK("https://www.xiaohongshu.com/user/profile/62cd1bc40000000002002274", "https://www.xiaohongshu.com/user/profile/62cd1bc40000000002002274")</f>
        <v>https://www.xiaohongshu.com/user/profile/62cd1bc40000000002002274</v>
      </c>
      <c r="C15" s="2" t="str">
        <f>=HYPERLINK("https://pgy.xiaohongshu.com/solar/pre-trade/blogger-detail/62cd1bc40000000002002274", "https://pgy.xiaohongshu.com/solar/pre-trade/blogger-detail/62cd1bc40000000002002274")</f>
        <v>https://pgy.xiaohongshu.com/solar/pre-trade/blogger-detail/62cd1bc40000000002002274</v>
      </c>
      <c r="D15" t="inlineStr">
        <is>
          <t>男</t>
        </is>
      </c>
      <c r="E15" t="inlineStr">
        <is>
          <t>budu000118</t>
        </is>
      </c>
      <c r="F15" t="inlineStr">
        <is>
          <t>七喜小汁</t>
        </is>
      </c>
      <c r="G15" t="inlineStr">
        <is>
          <t>湖北 武汉 洪山区</t>
        </is>
      </c>
      <c r="H15" t="inlineStr">
        <is>
          <t>学生</t>
        </is>
      </c>
      <c r="I15" t="inlineStr">
        <is>
          <t>教育, 生活记录</t>
        </is>
      </c>
      <c r="J15">
        <v>35113</v>
      </c>
      <c r="K15" t="inlineStr">
        <is>
          <t>3.5</t>
        </is>
      </c>
      <c r="L15">
        <v>15407</v>
      </c>
      <c r="M15">
        <v>5473</v>
      </c>
      <c r="N15">
        <v>308</v>
      </c>
      <c r="O15">
        <v>1200</v>
      </c>
      <c r="P15">
        <v>0.3</v>
      </c>
      <c r="Q15">
        <v>1</v>
      </c>
      <c r="R15">
        <v>0</v>
      </c>
      <c r="S15">
        <v>0</v>
      </c>
      <c r="T15">
        <v>0</v>
      </c>
      <c r="U15">
        <v>0</v>
      </c>
      <c r="V15">
        <v>1200</v>
      </c>
      <c r="W15">
        <v>0</v>
      </c>
      <c r="X15">
        <v>0</v>
      </c>
      <c r="Y15">
        <v>0</v>
      </c>
      <c r="Z15">
        <v>0</v>
      </c>
      <c r="AA15">
        <v>19671</v>
      </c>
      <c r="AB15">
        <v>5731</v>
      </c>
      <c r="AC15">
        <v>336</v>
      </c>
      <c r="AD15">
        <v>2.12</v>
      </c>
      <c r="AE15">
        <v>2800</v>
      </c>
      <c r="AF15">
        <v>1</v>
      </c>
      <c r="AG15">
        <v>0.3</v>
      </c>
      <c r="AH15">
        <v>0.54</v>
      </c>
      <c r="AI15">
        <v>168.94</v>
      </c>
      <c r="AJ15">
        <v>9.56</v>
      </c>
      <c r="AK15">
        <v>16276</v>
      </c>
      <c r="AL15">
        <v>3124</v>
      </c>
      <c r="AM15">
        <v>193</v>
      </c>
      <c r="AN15">
        <v>0</v>
      </c>
      <c r="AO15">
        <v>936.39</v>
      </c>
      <c r="AP15">
        <v>0.885999999999999</v>
      </c>
      <c r="AQ15">
        <v>0.052</v>
      </c>
      <c r="AR15">
        <v>0.00699999999999999</v>
      </c>
      <c r="AS15" s="3">
        <v>46107.765393518515</v>
      </c>
    </row>
    <row r="16" ht="25.5" customHeight="1">
      <c r="A16" t="inlineStr">
        <is>
          <t>607d19a5000000000100722d</t>
        </is>
      </c>
      <c r="B16" s="2" t="str">
        <f>=HYPERLINK("https://www.xiaohongshu.com/user/profile/607d19a5000000000100722d", "https://www.xiaohongshu.com/user/profile/607d19a5000000000100722d")</f>
        <v>https://www.xiaohongshu.com/user/profile/607d19a5000000000100722d</v>
      </c>
      <c r="C16" s="2" t="str">
        <f>=HYPERLINK("https://pgy.xiaohongshu.com/solar/pre-trade/blogger-detail/607d19a5000000000100722d", "https://pgy.xiaohongshu.com/solar/pre-trade/blogger-detail/607d19a5000000000100722d")</f>
        <v>https://pgy.xiaohongshu.com/solar/pre-trade/blogger-detail/607d19a5000000000100722d</v>
      </c>
      <c r="D16" t="inlineStr">
        <is>
          <t>女</t>
        </is>
      </c>
      <c r="E16" t="inlineStr">
        <is>
          <t>jiangminangua</t>
        </is>
      </c>
      <c r="F16" t="inlineStr">
        <is>
          <t>就叫江南</t>
        </is>
      </c>
      <c r="G16" t="inlineStr">
        <is>
          <t>辽宁 沈阳 皇姑区</t>
        </is>
      </c>
      <c r="H16" t="inlineStr">
        <is>
          <t>留学背景, 海外华人, 插画师, 画家, 模特</t>
        </is>
      </c>
      <c r="I16" t="inlineStr">
        <is>
          <t>兴趣爱好, 出行旅游, 生活记录</t>
        </is>
      </c>
      <c r="J16">
        <v>44643</v>
      </c>
      <c r="K16" t="inlineStr">
        <is>
          <t>4.5</t>
        </is>
      </c>
      <c r="L16">
        <v>23860</v>
      </c>
      <c r="M16">
        <v>4571</v>
      </c>
      <c r="N16">
        <v>486</v>
      </c>
      <c r="O16">
        <v>1500</v>
      </c>
      <c r="P16">
        <v>0</v>
      </c>
      <c r="Q16">
        <v>0.667</v>
      </c>
      <c r="R16">
        <v>0</v>
      </c>
      <c r="S16">
        <v>0</v>
      </c>
      <c r="T16">
        <v>0</v>
      </c>
      <c r="U16">
        <v>0</v>
      </c>
      <c r="V16">
        <v>1500</v>
      </c>
      <c r="W16">
        <v>0</v>
      </c>
      <c r="X16">
        <v>0</v>
      </c>
      <c r="Y16">
        <v>0</v>
      </c>
      <c r="Z16">
        <v>0</v>
      </c>
      <c r="AA16">
        <v>23860</v>
      </c>
      <c r="AB16">
        <v>4571</v>
      </c>
      <c r="AC16">
        <v>436</v>
      </c>
      <c r="AD16">
        <v>2.77</v>
      </c>
      <c r="AE16">
        <v>5800</v>
      </c>
      <c r="AF16">
        <v>0.667</v>
      </c>
      <c r="AG16">
        <v>0</v>
      </c>
      <c r="AH16">
        <v>0.104</v>
      </c>
      <c r="AI16">
        <v>243.08</v>
      </c>
      <c r="AJ16">
        <v>28.43</v>
      </c>
      <c r="AK16">
        <v>122012</v>
      </c>
      <c r="AL16">
        <v>8967</v>
      </c>
      <c r="AM16">
        <v>121</v>
      </c>
      <c r="AN16">
        <v>0</v>
      </c>
      <c r="AO16">
        <v>0</v>
      </c>
      <c r="AP16">
        <v>0.912</v>
      </c>
      <c r="AQ16">
        <v>0.0279999999999999</v>
      </c>
      <c r="AR16">
        <v>0.0139999999999999</v>
      </c>
      <c r="AS16" s="3">
        <v>46107.765393518515</v>
      </c>
    </row>
    <row r="17" ht="25.5" customHeight="1">
      <c r="A17" t="inlineStr">
        <is>
          <t>612cd742000000000101c93f</t>
        </is>
      </c>
      <c r="B17" s="2" t="str">
        <f>=HYPERLINK("https://www.xiaohongshu.com/user/profile/612cd742000000000101c93f", "https://www.xiaohongshu.com/user/profile/612cd742000000000101c93f")</f>
        <v>https://www.xiaohongshu.com/user/profile/612cd742000000000101c93f</v>
      </c>
      <c r="C17" s="2" t="str">
        <f>=HYPERLINK("https://pgy.xiaohongshu.com/solar/pre-trade/blogger-detail/612cd742000000000101c93f", "https://pgy.xiaohongshu.com/solar/pre-trade/blogger-detail/612cd742000000000101c93f")</f>
        <v>https://pgy.xiaohongshu.com/solar/pre-trade/blogger-detail/612cd742000000000101c93f</v>
      </c>
      <c r="D17" t="inlineStr">
        <is>
          <t>男</t>
        </is>
      </c>
      <c r="E17" t="inlineStr">
        <is>
          <t>2203422538</t>
        </is>
      </c>
      <c r="F17" t="inlineStr">
        <is>
          <t>跟着艾伦学英文</t>
        </is>
      </c>
      <c r="G17" t="inlineStr">
        <is>
          <t>浙江 杭州 余杭区</t>
        </is>
      </c>
      <c r="H17" t="inlineStr">
        <is>
          <t>6-12岁, 创业者, 妈妈, 家庭</t>
        </is>
      </c>
      <c r="I17" t="inlineStr">
        <is>
          <t>教育</t>
        </is>
      </c>
      <c r="J17">
        <v>29041</v>
      </c>
      <c r="K17" t="inlineStr">
        <is>
          <t>2.9</t>
        </is>
      </c>
      <c r="L17">
        <v>2546</v>
      </c>
      <c r="M17">
        <v>1026</v>
      </c>
      <c r="N17">
        <v>105</v>
      </c>
      <c r="O17">
        <v>308</v>
      </c>
      <c r="P17">
        <v>0</v>
      </c>
      <c r="Q17">
        <v>0.25</v>
      </c>
      <c r="R17">
        <v>0</v>
      </c>
      <c r="S17">
        <v>0</v>
      </c>
      <c r="T17">
        <v>0</v>
      </c>
      <c r="U17">
        <v>0</v>
      </c>
      <c r="V17">
        <v>308</v>
      </c>
      <c r="W17">
        <v>0</v>
      </c>
      <c r="X17">
        <v>0</v>
      </c>
      <c r="Y17">
        <v>0</v>
      </c>
      <c r="Z17">
        <v>0</v>
      </c>
      <c r="AA17">
        <v>2546</v>
      </c>
      <c r="AB17">
        <v>1026</v>
      </c>
      <c r="AC17">
        <v>93</v>
      </c>
      <c r="AD17">
        <v>3.2</v>
      </c>
      <c r="AE17">
        <v>1500</v>
      </c>
      <c r="AF17">
        <v>0.25</v>
      </c>
      <c r="AG17">
        <v>0</v>
      </c>
      <c r="AH17">
        <v>0.128</v>
      </c>
      <c r="AI17">
        <v>982.96</v>
      </c>
      <c r="AJ17">
        <v>40.54</v>
      </c>
      <c r="AK17">
        <v>7179</v>
      </c>
      <c r="AL17">
        <v>643</v>
      </c>
      <c r="AM17">
        <v>16</v>
      </c>
      <c r="AN17">
        <v>0</v>
      </c>
      <c r="AO17">
        <v>0</v>
      </c>
      <c r="AP17">
        <v>0.942</v>
      </c>
      <c r="AQ17">
        <v>0.005</v>
      </c>
      <c r="AR17">
        <v>-0.001</v>
      </c>
      <c r="AS17" s="3">
        <v>46107.765393518515</v>
      </c>
    </row>
    <row r="18" ht="25.5" customHeight="1">
      <c r="A18" t="inlineStr">
        <is>
          <t>5a217f094eacab13846a88f7</t>
        </is>
      </c>
      <c r="B18" s="2" t="str">
        <f>=HYPERLINK("https://www.xiaohongshu.com/user/profile/5a217f094eacab13846a88f7", "https://www.xiaohongshu.com/user/profile/5a217f094eacab13846a88f7")</f>
        <v>https://www.xiaohongshu.com/user/profile/5a217f094eacab13846a88f7</v>
      </c>
      <c r="C18" s="2" t="str">
        <f>=HYPERLINK("https://pgy.xiaohongshu.com/solar/pre-trade/blogger-detail/5a217f094eacab13846a88f7", "https://pgy.xiaohongshu.com/solar/pre-trade/blogger-detail/5a217f094eacab13846a88f7")</f>
        <v>https://pgy.xiaohongshu.com/solar/pre-trade/blogger-detail/5a217f094eacab13846a88f7</v>
      </c>
      <c r="D18" t="inlineStr">
        <is>
          <t>女</t>
        </is>
      </c>
      <c r="E18" t="inlineStr">
        <is>
          <t>268595075</t>
        </is>
      </c>
      <c r="F18" t="inlineStr">
        <is>
          <t>热水泡橘子</t>
        </is>
      </c>
      <c r="G18" t="inlineStr">
        <is>
          <t>北京</t>
        </is>
      </c>
      <c r="H18" t="inlineStr">
        <is>
          <t>学生</t>
        </is>
      </c>
      <c r="I18" t="inlineStr">
        <is>
          <t>教育</t>
        </is>
      </c>
      <c r="J18">
        <v>26450</v>
      </c>
      <c r="K18" t="inlineStr">
        <is>
          <t>2.6</t>
        </is>
      </c>
      <c r="L18">
        <v>10355</v>
      </c>
      <c r="M18">
        <v>3813</v>
      </c>
      <c r="N18">
        <v>121</v>
      </c>
      <c r="O18">
        <v>1000</v>
      </c>
      <c r="P18">
        <v>0</v>
      </c>
      <c r="Q18">
        <v>0.25</v>
      </c>
      <c r="R18">
        <v>0</v>
      </c>
      <c r="S18">
        <v>0</v>
      </c>
      <c r="T18">
        <v>0</v>
      </c>
      <c r="U18">
        <v>0</v>
      </c>
      <c r="V18">
        <v>1000</v>
      </c>
      <c r="W18">
        <v>0</v>
      </c>
      <c r="X18">
        <v>0</v>
      </c>
      <c r="Y18">
        <v>0</v>
      </c>
      <c r="Z18">
        <v>0</v>
      </c>
      <c r="AA18">
        <v>10355</v>
      </c>
      <c r="AB18">
        <v>3813</v>
      </c>
      <c r="AC18">
        <v>104</v>
      </c>
      <c r="AD18">
        <v>1.95</v>
      </c>
      <c r="AE18">
        <v>2499</v>
      </c>
      <c r="AF18">
        <v>0.25</v>
      </c>
      <c r="AG18">
        <v>0</v>
      </c>
      <c r="AH18">
        <v>0.078</v>
      </c>
      <c r="AI18">
        <v>123.67</v>
      </c>
      <c r="AJ18">
        <v>4.95</v>
      </c>
      <c r="AK18">
        <v>30312</v>
      </c>
      <c r="AL18">
        <v>5859</v>
      </c>
      <c r="AM18">
        <v>723</v>
      </c>
      <c r="AN18">
        <v>0</v>
      </c>
      <c r="AO18">
        <v>0</v>
      </c>
      <c r="AP18">
        <v>0.900999999999999</v>
      </c>
      <c r="AQ18">
        <v>0.04</v>
      </c>
      <c r="AR18">
        <v>0.009</v>
      </c>
      <c r="AS18" s="3">
        <v>46107.765393518515</v>
      </c>
    </row>
    <row r="19" ht="25.5" customHeight="1">
      <c r="A19" t="inlineStr">
        <is>
          <t>642a2d9200000000120124f2</t>
        </is>
      </c>
      <c r="B19" s="2" t="str">
        <f>=HYPERLINK("https://www.xiaohongshu.com/user/profile/642a2d9200000000120124f2", "https://www.xiaohongshu.com/user/profile/642a2d9200000000120124f2")</f>
        <v>https://www.xiaohongshu.com/user/profile/642a2d9200000000120124f2</v>
      </c>
      <c r="C19" s="2" t="str">
        <f>=HYPERLINK("https://pgy.xiaohongshu.com/solar/pre-trade/blogger-detail/642a2d9200000000120124f2", "https://pgy.xiaohongshu.com/solar/pre-trade/blogger-detail/642a2d9200000000120124f2")</f>
        <v>https://pgy.xiaohongshu.com/solar/pre-trade/blogger-detail/642a2d9200000000120124f2</v>
      </c>
      <c r="D19" t="inlineStr">
        <is>
          <t>女</t>
        </is>
      </c>
      <c r="E19" t="inlineStr">
        <is>
          <t>DrBlackCat</t>
        </is>
      </c>
      <c r="F19" t="inlineStr">
        <is>
          <t>阿七探险家</t>
        </is>
      </c>
      <c r="G19" t="inlineStr">
        <is>
          <t>天津</t>
        </is>
      </c>
      <c r="H19" t="inlineStr">
        <is>
          <t>考研过来人, 数码爱好者, 学生</t>
        </is>
      </c>
      <c r="I19" t="inlineStr">
        <is>
          <t>教育</t>
        </is>
      </c>
      <c r="J19">
        <v>20351</v>
      </c>
      <c r="K19" t="inlineStr">
        <is>
          <t>2.0</t>
        </is>
      </c>
      <c r="L19">
        <v>8439</v>
      </c>
      <c r="M19">
        <v>1856</v>
      </c>
      <c r="N19">
        <v>153</v>
      </c>
      <c r="O19">
        <v>1000</v>
      </c>
      <c r="P19">
        <v>0.095</v>
      </c>
      <c r="Q19">
        <v>0.476</v>
      </c>
      <c r="R19">
        <v>17869</v>
      </c>
      <c r="S19">
        <v>1659</v>
      </c>
      <c r="T19">
        <v>136</v>
      </c>
      <c r="U19">
        <v>0.9</v>
      </c>
      <c r="V19">
        <v>1000</v>
      </c>
      <c r="W19">
        <v>0.5</v>
      </c>
      <c r="X19">
        <v>0</v>
      </c>
      <c r="Y19">
        <v>55.96</v>
      </c>
      <c r="Z19">
        <v>6.67</v>
      </c>
      <c r="AA19">
        <v>8439</v>
      </c>
      <c r="AB19">
        <v>1856</v>
      </c>
      <c r="AC19">
        <v>96</v>
      </c>
      <c r="AD19">
        <v>2.79</v>
      </c>
      <c r="AE19">
        <v>2400</v>
      </c>
      <c r="AF19">
        <v>0.474</v>
      </c>
      <c r="AG19">
        <v>0.105</v>
      </c>
      <c r="AH19">
        <v>0.043</v>
      </c>
      <c r="AI19">
        <v>284.39</v>
      </c>
      <c r="AJ19">
        <v>15.69</v>
      </c>
      <c r="AK19">
        <v>0</v>
      </c>
      <c r="AL19">
        <v>0</v>
      </c>
      <c r="AM19">
        <v>0</v>
      </c>
      <c r="AN19">
        <v>0</v>
      </c>
      <c r="AO19">
        <v>0</v>
      </c>
      <c r="AP19">
        <v>0.814</v>
      </c>
      <c r="AQ19">
        <v>0.065</v>
      </c>
      <c r="AR19">
        <v>0.236</v>
      </c>
      <c r="AS19" s="3">
        <v>46107.765393518515</v>
      </c>
    </row>
    <row r="20" ht="25.5" customHeight="1">
      <c r="A20" t="inlineStr">
        <is>
          <t>5f9144b4000000000101df70</t>
        </is>
      </c>
      <c r="B20" s="2" t="str">
        <f>=HYPERLINK("https://www.xiaohongshu.com/user/profile/5f9144b4000000000101df70", "https://www.xiaohongshu.com/user/profile/5f9144b4000000000101df70")</f>
        <v>https://www.xiaohongshu.com/user/profile/5f9144b4000000000101df70</v>
      </c>
      <c r="C20" s="2" t="str">
        <f>=HYPERLINK("https://pgy.xiaohongshu.com/solar/pre-trade/blogger-detail/5f9144b4000000000101df70", "https://pgy.xiaohongshu.com/solar/pre-trade/blogger-detail/5f9144b4000000000101df70")</f>
        <v>https://pgy.xiaohongshu.com/solar/pre-trade/blogger-detail/5f9144b4000000000101df70</v>
      </c>
      <c r="D20" t="inlineStr">
        <is>
          <t>男</t>
        </is>
      </c>
      <c r="E20" t="inlineStr">
        <is>
          <t>1069538007</t>
        </is>
      </c>
      <c r="F20" t="inlineStr">
        <is>
          <t>一只小懒懒</t>
        </is>
      </c>
      <c r="G20" t="inlineStr">
        <is>
          <t>广东 深圳 宝安区</t>
        </is>
      </c>
      <c r="H20" t="inlineStr">
        <is>
          <t>考研过来人, 学生</t>
        </is>
      </c>
      <c r="I20" t="inlineStr">
        <is>
          <t>教育</t>
        </is>
      </c>
      <c r="J20">
        <v>9464</v>
      </c>
      <c r="K20" t="inlineStr">
        <is>
          <t>0.9</t>
        </is>
      </c>
      <c r="L20">
        <v>45883</v>
      </c>
      <c r="M20">
        <v>10556</v>
      </c>
      <c r="N20">
        <v>1002</v>
      </c>
      <c r="O20">
        <v>500</v>
      </c>
      <c r="P20">
        <v>0.25</v>
      </c>
      <c r="Q20">
        <v>1</v>
      </c>
      <c r="R20">
        <v>45883</v>
      </c>
      <c r="S20">
        <v>10556</v>
      </c>
      <c r="T20">
        <v>777</v>
      </c>
      <c r="U20">
        <v>0.41</v>
      </c>
      <c r="V20">
        <v>500</v>
      </c>
      <c r="W20">
        <v>1</v>
      </c>
      <c r="X20">
        <v>0.25</v>
      </c>
      <c r="Y20">
        <v>19.13</v>
      </c>
      <c r="Z20">
        <v>0.89</v>
      </c>
      <c r="AA20">
        <v>0</v>
      </c>
      <c r="AB20">
        <v>0</v>
      </c>
      <c r="AC20">
        <v>0</v>
      </c>
      <c r="AD20">
        <v>0</v>
      </c>
      <c r="AE20">
        <v>750</v>
      </c>
      <c r="AF20">
        <v>0</v>
      </c>
      <c r="AG20">
        <v>0</v>
      </c>
      <c r="AH20">
        <v>0</v>
      </c>
      <c r="AI20">
        <v>0</v>
      </c>
      <c r="AJ20">
        <v>0</v>
      </c>
      <c r="AK20">
        <v>15149</v>
      </c>
      <c r="AL20">
        <v>2167</v>
      </c>
      <c r="AM20">
        <v>115</v>
      </c>
      <c r="AN20">
        <v>0</v>
      </c>
      <c r="AO20">
        <v>0</v>
      </c>
      <c r="AP20">
        <v>0.862</v>
      </c>
      <c r="AQ20">
        <v>0.054</v>
      </c>
      <c r="AR20">
        <v>0.013</v>
      </c>
      <c r="AS20" s="3">
        <v>46107.765393518515</v>
      </c>
    </row>
    <row r="21" ht="25.5" customHeight="1">
      <c r="A21" t="inlineStr">
        <is>
          <t>5cc4fbf50000000016006337</t>
        </is>
      </c>
      <c r="B21" s="2" t="str">
        <f>=HYPERLINK("https://www.xiaohongshu.com/user/profile/5cc4fbf50000000016006337", "https://www.xiaohongshu.com/user/profile/5cc4fbf50000000016006337")</f>
        <v>https://www.xiaohongshu.com/user/profile/5cc4fbf50000000016006337</v>
      </c>
      <c r="C21" s="2" t="str">
        <f>=HYPERLINK("https://pgy.xiaohongshu.com/solar/pre-trade/blogger-detail/5cc4fbf50000000016006337", "https://pgy.xiaohongshu.com/solar/pre-trade/blogger-detail/5cc4fbf50000000016006337")</f>
        <v>https://pgy.xiaohongshu.com/solar/pre-trade/blogger-detail/5cc4fbf50000000016006337</v>
      </c>
      <c r="D21" t="inlineStr">
        <is>
          <t>女</t>
        </is>
      </c>
      <c r="E21" t="inlineStr">
        <is>
          <t>511839149</t>
        </is>
      </c>
      <c r="F21" t="inlineStr">
        <is>
          <t>Nora外语日常</t>
        </is>
      </c>
      <c r="G21" t="inlineStr">
        <is>
          <t>北京</t>
        </is>
      </c>
      <c r="H21"/>
      <c r="I21" t="inlineStr">
        <is>
          <t>教育</t>
        </is>
      </c>
      <c r="J21">
        <v>18918</v>
      </c>
      <c r="K21" t="inlineStr">
        <is>
          <t>1.9</t>
        </is>
      </c>
      <c r="L21">
        <v>16849</v>
      </c>
      <c r="M21">
        <v>4025</v>
      </c>
      <c r="N21">
        <v>267</v>
      </c>
      <c r="O21">
        <v>400</v>
      </c>
      <c r="P21">
        <v>0.2</v>
      </c>
      <c r="Q21">
        <v>0.867</v>
      </c>
      <c r="R21">
        <v>0</v>
      </c>
      <c r="S21">
        <v>0</v>
      </c>
      <c r="T21">
        <v>0</v>
      </c>
      <c r="U21">
        <v>2.14</v>
      </c>
      <c r="V21">
        <v>400</v>
      </c>
      <c r="W21">
        <v>0</v>
      </c>
      <c r="X21">
        <v>0</v>
      </c>
      <c r="Y21">
        <v>100.63</v>
      </c>
      <c r="Z21">
        <v>30.77</v>
      </c>
      <c r="AA21">
        <v>16849</v>
      </c>
      <c r="AB21">
        <v>4025</v>
      </c>
      <c r="AC21">
        <v>292</v>
      </c>
      <c r="AD21">
        <v>2.25</v>
      </c>
      <c r="AE21">
        <v>3000</v>
      </c>
      <c r="AF21">
        <v>0.867</v>
      </c>
      <c r="AG21">
        <v>0.2</v>
      </c>
      <c r="AH21">
        <v>0.100999999999999</v>
      </c>
      <c r="AI21">
        <v>180.39</v>
      </c>
      <c r="AJ21">
        <v>11.26</v>
      </c>
      <c r="AK21">
        <v>4158</v>
      </c>
      <c r="AL21">
        <v>732</v>
      </c>
      <c r="AM21">
        <v>24</v>
      </c>
      <c r="AN21">
        <v>0</v>
      </c>
      <c r="AO21">
        <v>0</v>
      </c>
      <c r="AP21">
        <v>0.944</v>
      </c>
      <c r="AQ21">
        <v>0.105</v>
      </c>
      <c r="AR21">
        <v>0.138</v>
      </c>
      <c r="AS21" s="3">
        <v>46107.765393518515</v>
      </c>
    </row>
    <row r="22" ht="25.5" customHeight="1">
      <c r="A22" t="inlineStr">
        <is>
          <t>5b2a7a27e8ac2b397121653d</t>
        </is>
      </c>
      <c r="B22" s="2" t="str">
        <f>=HYPERLINK("https://www.xiaohongshu.com/user/profile/5b2a7a27e8ac2b397121653d", "https://www.xiaohongshu.com/user/profile/5b2a7a27e8ac2b397121653d")</f>
        <v>https://www.xiaohongshu.com/user/profile/5b2a7a27e8ac2b397121653d</v>
      </c>
      <c r="C22" s="2" t="str">
        <f>=HYPERLINK("https://pgy.xiaohongshu.com/solar/pre-trade/blogger-detail/5b2a7a27e8ac2b397121653d", "https://pgy.xiaohongshu.com/solar/pre-trade/blogger-detail/5b2a7a27e8ac2b397121653d")</f>
        <v>https://pgy.xiaohongshu.com/solar/pre-trade/blogger-detail/5b2a7a27e8ac2b397121653d</v>
      </c>
      <c r="D22" t="inlineStr">
        <is>
          <t>女</t>
        </is>
      </c>
      <c r="E22" t="inlineStr">
        <is>
          <t>Sys326326326</t>
        </is>
      </c>
      <c r="F22" t="inlineStr">
        <is>
          <t>小羊加星</t>
        </is>
      </c>
      <c r="G22" t="inlineStr">
        <is>
          <t>云南 大理白族自治州 大理市</t>
        </is>
      </c>
      <c r="H22"/>
      <c r="I22" t="inlineStr">
        <is>
          <t>教育</t>
        </is>
      </c>
      <c r="J22">
        <v>7680</v>
      </c>
      <c r="K22" t="inlineStr">
        <is>
          <t>0.8</t>
        </is>
      </c>
      <c r="L22">
        <v>6124</v>
      </c>
      <c r="M22">
        <v>2167</v>
      </c>
      <c r="N22">
        <v>352</v>
      </c>
      <c r="O22">
        <v>200</v>
      </c>
      <c r="P22">
        <v>0.2</v>
      </c>
      <c r="Q22">
        <v>0.6</v>
      </c>
      <c r="R22">
        <v>0</v>
      </c>
      <c r="S22">
        <v>0</v>
      </c>
      <c r="T22">
        <v>0</v>
      </c>
      <c r="U22">
        <v>0</v>
      </c>
      <c r="V22">
        <v>200</v>
      </c>
      <c r="W22">
        <v>0</v>
      </c>
      <c r="X22">
        <v>0</v>
      </c>
      <c r="Y22">
        <v>0</v>
      </c>
      <c r="Z22">
        <v>0</v>
      </c>
      <c r="AA22">
        <v>6124</v>
      </c>
      <c r="AB22">
        <v>2167</v>
      </c>
      <c r="AC22">
        <v>179</v>
      </c>
      <c r="AD22">
        <v>1.73</v>
      </c>
      <c r="AE22">
        <v>600</v>
      </c>
      <c r="AF22">
        <v>0.6</v>
      </c>
      <c r="AG22">
        <v>0.2</v>
      </c>
      <c r="AH22">
        <v>0.111</v>
      </c>
      <c r="AI22">
        <v>81.42</v>
      </c>
      <c r="AJ22">
        <v>1.67</v>
      </c>
      <c r="AK22">
        <v>20404</v>
      </c>
      <c r="AL22">
        <v>3498</v>
      </c>
      <c r="AM22">
        <v>1311</v>
      </c>
      <c r="AN22">
        <v>0</v>
      </c>
      <c r="AO22">
        <v>0</v>
      </c>
      <c r="AP22">
        <v>0.956</v>
      </c>
      <c r="AQ22">
        <v>0.087</v>
      </c>
      <c r="AR22">
        <v>0.05</v>
      </c>
      <c r="AS22" s="3">
        <v>46107.76552083333</v>
      </c>
    </row>
    <row r="23" ht="25.5" customHeight="1">
      <c r="A23" t="inlineStr">
        <is>
          <t>5f2a1c4d0000000001000279</t>
        </is>
      </c>
      <c r="B23" s="2" t="str">
        <f>=HYPERLINK("https://www.xiaohongshu.com/user/profile/5f2a1c4d0000000001000279", "https://www.xiaohongshu.com/user/profile/5f2a1c4d0000000001000279")</f>
        <v>https://www.xiaohongshu.com/user/profile/5f2a1c4d0000000001000279</v>
      </c>
      <c r="C23" s="2" t="str">
        <f>=HYPERLINK("https://pgy.xiaohongshu.com/solar/pre-trade/blogger-detail/5f2a1c4d0000000001000279", "https://pgy.xiaohongshu.com/solar/pre-trade/blogger-detail/5f2a1c4d0000000001000279")</f>
        <v>https://pgy.xiaohongshu.com/solar/pre-trade/blogger-detail/5f2a1c4d0000000001000279</v>
      </c>
      <c r="D23" t="inlineStr">
        <is>
          <t>女</t>
        </is>
      </c>
      <c r="E23" t="inlineStr">
        <is>
          <t>247558093</t>
        </is>
      </c>
      <c r="F23" t="inlineStr">
        <is>
          <t>清华丸子雨学姐</t>
        </is>
      </c>
      <c r="G23" t="inlineStr">
        <is>
          <t>北京</t>
        </is>
      </c>
      <c r="H23" t="inlineStr">
        <is>
          <t>学生, 闺蜜</t>
        </is>
      </c>
      <c r="I23" t="inlineStr">
        <is>
          <t>教育</t>
        </is>
      </c>
      <c r="J23">
        <v>26096</v>
      </c>
      <c r="K23" t="inlineStr">
        <is>
          <t>2.6</t>
        </is>
      </c>
      <c r="L23">
        <v>4434</v>
      </c>
      <c r="M23">
        <v>1970</v>
      </c>
      <c r="N23">
        <v>316</v>
      </c>
      <c r="O23">
        <v>2000</v>
      </c>
      <c r="P23">
        <v>0.108</v>
      </c>
      <c r="Q23">
        <v>0.649</v>
      </c>
      <c r="R23">
        <v>0</v>
      </c>
      <c r="S23">
        <v>0</v>
      </c>
      <c r="T23">
        <v>0</v>
      </c>
      <c r="U23">
        <v>2.52</v>
      </c>
      <c r="V23">
        <v>2000</v>
      </c>
      <c r="W23">
        <v>0</v>
      </c>
      <c r="X23">
        <v>0</v>
      </c>
      <c r="Y23">
        <v>217.82</v>
      </c>
      <c r="Z23">
        <v>24.1</v>
      </c>
      <c r="AA23">
        <v>4434</v>
      </c>
      <c r="AB23">
        <v>1970</v>
      </c>
      <c r="AC23">
        <v>278</v>
      </c>
      <c r="AD23">
        <v>3.83</v>
      </c>
      <c r="AE23">
        <v>5000</v>
      </c>
      <c r="AF23">
        <v>0.649</v>
      </c>
      <c r="AG23">
        <v>0.108</v>
      </c>
      <c r="AH23">
        <v>0.312</v>
      </c>
      <c r="AI23">
        <v>848.75</v>
      </c>
      <c r="AJ23">
        <v>15.82</v>
      </c>
      <c r="AK23">
        <v>28901</v>
      </c>
      <c r="AL23">
        <v>12397</v>
      </c>
      <c r="AM23">
        <v>176</v>
      </c>
      <c r="AN23">
        <v>0</v>
      </c>
      <c r="AO23">
        <v>0</v>
      </c>
      <c r="AP23">
        <v>0.949</v>
      </c>
      <c r="AQ23">
        <v>0.177</v>
      </c>
      <c r="AR23">
        <v>0.156</v>
      </c>
      <c r="AS23" s="3">
        <v>46107.76552083333</v>
      </c>
    </row>
    <row r="24" ht="25.5" customHeight="1">
      <c r="A24" t="inlineStr">
        <is>
          <t>5afd8b4d4eacab156c385526</t>
        </is>
      </c>
      <c r="B24" s="2" t="str">
        <f>=HYPERLINK("https://www.xiaohongshu.com/user/profile/5afd8b4d4eacab156c385526", "https://www.xiaohongshu.com/user/profile/5afd8b4d4eacab156c385526")</f>
        <v>https://www.xiaohongshu.com/user/profile/5afd8b4d4eacab156c385526</v>
      </c>
      <c r="C24" s="2" t="str">
        <f>=HYPERLINK("https://pgy.xiaohongshu.com/solar/pre-trade/blogger-detail/5afd8b4d4eacab156c385526", "https://pgy.xiaohongshu.com/solar/pre-trade/blogger-detail/5afd8b4d4eacab156c385526")</f>
        <v>https://pgy.xiaohongshu.com/solar/pre-trade/blogger-detail/5afd8b4d4eacab156c385526</v>
      </c>
      <c r="D24" t="inlineStr">
        <is>
          <t>女</t>
        </is>
      </c>
      <c r="E24" t="inlineStr">
        <is>
          <t>Christinaaa2004</t>
        </is>
      </c>
      <c r="F24" t="inlineStr">
        <is>
          <t>Christina水泥</t>
        </is>
      </c>
      <c r="G24" t="inlineStr">
        <is>
          <t>广东 深圳 龙岗区</t>
        </is>
      </c>
      <c r="H24" t="inlineStr">
        <is>
          <t>学生</t>
        </is>
      </c>
      <c r="I24" t="inlineStr">
        <is>
          <t>教育, 生活记录</t>
        </is>
      </c>
      <c r="J24">
        <v>11755</v>
      </c>
      <c r="K24" t="inlineStr">
        <is>
          <t>1.2</t>
        </is>
      </c>
      <c r="L24">
        <v>28840</v>
      </c>
      <c r="M24">
        <v>6354</v>
      </c>
      <c r="N24">
        <v>327</v>
      </c>
      <c r="O24">
        <v>1300</v>
      </c>
      <c r="P24">
        <v>0</v>
      </c>
      <c r="Q24">
        <v>1</v>
      </c>
      <c r="R24">
        <v>28840</v>
      </c>
      <c r="S24">
        <v>6354</v>
      </c>
      <c r="T24">
        <v>271</v>
      </c>
      <c r="U24">
        <v>0.61</v>
      </c>
      <c r="V24">
        <v>1300</v>
      </c>
      <c r="W24">
        <v>1</v>
      </c>
      <c r="X24">
        <v>0</v>
      </c>
      <c r="Y24">
        <v>49.46</v>
      </c>
      <c r="Z24">
        <v>2.47</v>
      </c>
      <c r="AA24">
        <v>0</v>
      </c>
      <c r="AB24">
        <v>0</v>
      </c>
      <c r="AC24">
        <v>0</v>
      </c>
      <c r="AD24">
        <v>0</v>
      </c>
      <c r="AE24">
        <v>1800</v>
      </c>
      <c r="AF24">
        <v>0</v>
      </c>
      <c r="AG24">
        <v>0</v>
      </c>
      <c r="AH24">
        <v>0</v>
      </c>
      <c r="AI24">
        <v>0</v>
      </c>
      <c r="AJ24">
        <v>0</v>
      </c>
      <c r="AK24">
        <v>25560</v>
      </c>
      <c r="AL24">
        <v>4101</v>
      </c>
      <c r="AM24">
        <v>435</v>
      </c>
      <c r="AN24">
        <v>0</v>
      </c>
      <c r="AO24">
        <v>0</v>
      </c>
      <c r="AP24">
        <v>0.871</v>
      </c>
      <c r="AQ24">
        <v>0.027</v>
      </c>
      <c r="AR24">
        <v>0.013</v>
      </c>
      <c r="AS24" s="3">
        <v>46107.76552083333</v>
      </c>
    </row>
    <row r="25" ht="25.5" customHeight="1">
      <c r="A25" t="inlineStr">
        <is>
          <t>5e4bae7400000000010069b6</t>
        </is>
      </c>
      <c r="B25" s="2" t="str">
        <f>=HYPERLINK("https://www.xiaohongshu.com/user/profile/5e4bae7400000000010069b6", "https://www.xiaohongshu.com/user/profile/5e4bae7400000000010069b6")</f>
        <v>https://www.xiaohongshu.com/user/profile/5e4bae7400000000010069b6</v>
      </c>
      <c r="C25" s="2" t="str">
        <f>=HYPERLINK("https://pgy.xiaohongshu.com/solar/pre-trade/blogger-detail/5e4bae7400000000010069b6", "https://pgy.xiaohongshu.com/solar/pre-trade/blogger-detail/5e4bae7400000000010069b6")</f>
        <v>https://pgy.xiaohongshu.com/solar/pre-trade/blogger-detail/5e4bae7400000000010069b6</v>
      </c>
      <c r="D25" t="inlineStr">
        <is>
          <t>女</t>
        </is>
      </c>
      <c r="E25" t="inlineStr">
        <is>
          <t>904347301</t>
        </is>
      </c>
      <c r="F25" t="inlineStr">
        <is>
          <t>biubiu33（人上人集团版）</t>
        </is>
      </c>
      <c r="G25" t="inlineStr">
        <is>
          <t>四川 成都 温江区</t>
        </is>
      </c>
      <c r="H25" t="inlineStr">
        <is>
          <t>考研过来人, 学生</t>
        </is>
      </c>
      <c r="I25" t="inlineStr">
        <is>
          <t>教育, 生活记录</t>
        </is>
      </c>
      <c r="J25">
        <v>89969</v>
      </c>
      <c r="K25" t="inlineStr">
        <is>
          <t>9.0</t>
        </is>
      </c>
      <c r="L25">
        <v>96956</v>
      </c>
      <c r="M25">
        <v>15093</v>
      </c>
      <c r="N25">
        <v>1189</v>
      </c>
      <c r="O25">
        <v>6000</v>
      </c>
      <c r="P25">
        <v>0.417</v>
      </c>
      <c r="Q25">
        <v>1</v>
      </c>
      <c r="R25">
        <v>96956</v>
      </c>
      <c r="S25">
        <v>15093</v>
      </c>
      <c r="T25">
        <v>1084</v>
      </c>
      <c r="U25">
        <v>0.61</v>
      </c>
      <c r="V25">
        <v>6000</v>
      </c>
      <c r="W25">
        <v>1</v>
      </c>
      <c r="X25">
        <v>0.417</v>
      </c>
      <c r="Y25">
        <v>57.15</v>
      </c>
      <c r="Z25">
        <v>3.84</v>
      </c>
      <c r="AA25">
        <v>0</v>
      </c>
      <c r="AB25">
        <v>0</v>
      </c>
      <c r="AC25">
        <v>0</v>
      </c>
      <c r="AD25">
        <v>0</v>
      </c>
      <c r="AE25">
        <v>0</v>
      </c>
      <c r="AF25">
        <v>0</v>
      </c>
      <c r="AG25">
        <v>0</v>
      </c>
      <c r="AH25">
        <v>0</v>
      </c>
      <c r="AI25">
        <v>0</v>
      </c>
      <c r="AJ25">
        <v>0</v>
      </c>
      <c r="AK25">
        <v>209675</v>
      </c>
      <c r="AL25">
        <v>32351</v>
      </c>
      <c r="AM25">
        <v>2650</v>
      </c>
      <c r="AN25">
        <v>0</v>
      </c>
      <c r="AO25">
        <v>71.3</v>
      </c>
      <c r="AP25">
        <v>0.875999999999999</v>
      </c>
      <c r="AQ25">
        <v>0.084</v>
      </c>
      <c r="AR25">
        <v>0.025</v>
      </c>
      <c r="AS25" s="3">
        <v>46107.76552083333</v>
      </c>
    </row>
    <row r="26" ht="25.5" customHeight="1">
      <c r="A26" t="inlineStr">
        <is>
          <t>5e6a979b000000000100a79e</t>
        </is>
      </c>
      <c r="B26" s="2" t="str">
        <f>=HYPERLINK("https://www.xiaohongshu.com/user/profile/5e6a979b000000000100a79e", "https://www.xiaohongshu.com/user/profile/5e6a979b000000000100a79e")</f>
        <v>https://www.xiaohongshu.com/user/profile/5e6a979b000000000100a79e</v>
      </c>
      <c r="C26" s="2" t="str">
        <f>=HYPERLINK("https://pgy.xiaohongshu.com/solar/pre-trade/blogger-detail/5e6a979b000000000100a79e", "https://pgy.xiaohongshu.com/solar/pre-trade/blogger-detail/5e6a979b000000000100a79e")</f>
        <v>https://pgy.xiaohongshu.com/solar/pre-trade/blogger-detail/5e6a979b000000000100a79e</v>
      </c>
      <c r="D26" t="inlineStr">
        <is>
          <t>女</t>
        </is>
      </c>
      <c r="E26" t="inlineStr">
        <is>
          <t>900087539</t>
        </is>
      </c>
      <c r="F26" t="inlineStr">
        <is>
          <t>Dahlia李</t>
        </is>
      </c>
      <c r="G26" t="inlineStr">
        <is>
          <t>美国</t>
        </is>
      </c>
      <c r="H26"/>
      <c r="I26" t="inlineStr">
        <is>
          <t>教育, 生活记录</t>
        </is>
      </c>
      <c r="J26">
        <v>71619</v>
      </c>
      <c r="K26" t="inlineStr">
        <is>
          <t>7.2</t>
        </is>
      </c>
      <c r="L26">
        <v>71698</v>
      </c>
      <c r="M26">
        <v>21847</v>
      </c>
      <c r="N26">
        <v>1139</v>
      </c>
      <c r="O26">
        <v>4000</v>
      </c>
      <c r="P26">
        <v>0.385</v>
      </c>
      <c r="Q26">
        <v>0.615</v>
      </c>
      <c r="R26">
        <v>0</v>
      </c>
      <c r="S26">
        <v>0</v>
      </c>
      <c r="T26">
        <v>0</v>
      </c>
      <c r="U26">
        <v>0</v>
      </c>
      <c r="V26">
        <v>4000</v>
      </c>
      <c r="W26">
        <v>0</v>
      </c>
      <c r="X26">
        <v>0</v>
      </c>
      <c r="Y26">
        <v>0</v>
      </c>
      <c r="Z26">
        <v>0</v>
      </c>
      <c r="AA26">
        <v>71698</v>
      </c>
      <c r="AB26">
        <v>21847</v>
      </c>
      <c r="AC26">
        <v>933</v>
      </c>
      <c r="AD26">
        <v>1.9</v>
      </c>
      <c r="AE26">
        <v>6000</v>
      </c>
      <c r="AF26">
        <v>0.615</v>
      </c>
      <c r="AG26">
        <v>0.385</v>
      </c>
      <c r="AH26">
        <v>0.28</v>
      </c>
      <c r="AI26">
        <v>116.77</v>
      </c>
      <c r="AJ26">
        <v>6.56</v>
      </c>
      <c r="AK26">
        <v>34521</v>
      </c>
      <c r="AL26">
        <v>8414</v>
      </c>
      <c r="AM26">
        <v>536</v>
      </c>
      <c r="AN26">
        <v>0</v>
      </c>
      <c r="AO26">
        <v>0</v>
      </c>
      <c r="AP26">
        <v>0.994</v>
      </c>
      <c r="AQ26">
        <v>0.185</v>
      </c>
      <c r="AR26">
        <v>0</v>
      </c>
      <c r="AS26" s="3">
        <v>46107.76552083333</v>
      </c>
    </row>
    <row r="27" ht="25.5" customHeight="1">
      <c r="A27" t="inlineStr">
        <is>
          <t>598fdc5650c4b4330f942bc7</t>
        </is>
      </c>
      <c r="B27" s="2" t="str">
        <f>=HYPERLINK("https://www.xiaohongshu.com/user/profile/598fdc5650c4b4330f942bc7", "https://www.xiaohongshu.com/user/profile/598fdc5650c4b4330f942bc7")</f>
        <v>https://www.xiaohongshu.com/user/profile/598fdc5650c4b4330f942bc7</v>
      </c>
      <c r="C27" s="2" t="str">
        <f>=HYPERLINK("https://pgy.xiaohongshu.com/solar/pre-trade/blogger-detail/598fdc5650c4b4330f942bc7", "https://pgy.xiaohongshu.com/solar/pre-trade/blogger-detail/598fdc5650c4b4330f942bc7")</f>
        <v>https://pgy.xiaohongshu.com/solar/pre-trade/blogger-detail/598fdc5650c4b4330f942bc7</v>
      </c>
      <c r="D27" t="inlineStr">
        <is>
          <t>女</t>
        </is>
      </c>
      <c r="E27" t="inlineStr">
        <is>
          <t>115242051</t>
        </is>
      </c>
      <c r="F27" t="inlineStr">
        <is>
          <t>读博士的兔兔</t>
        </is>
      </c>
      <c r="G27" t="inlineStr">
        <is>
          <t>山西 太原 小店区</t>
        </is>
      </c>
      <c r="H27" t="inlineStr">
        <is>
          <t>学生</t>
        </is>
      </c>
      <c r="I27" t="inlineStr">
        <is>
          <t>职场, 教育</t>
        </is>
      </c>
      <c r="J27">
        <v>33440</v>
      </c>
      <c r="K27" t="inlineStr">
        <is>
          <t>3.3</t>
        </is>
      </c>
      <c r="L27">
        <v>15406</v>
      </c>
      <c r="M27">
        <v>3377</v>
      </c>
      <c r="N27">
        <v>346</v>
      </c>
      <c r="O27">
        <v>1200</v>
      </c>
      <c r="P27">
        <v>0.166999999999999</v>
      </c>
      <c r="Q27">
        <v>0.667</v>
      </c>
      <c r="R27">
        <v>0</v>
      </c>
      <c r="S27">
        <v>0</v>
      </c>
      <c r="T27">
        <v>0</v>
      </c>
      <c r="U27">
        <v>0</v>
      </c>
      <c r="V27">
        <v>1200</v>
      </c>
      <c r="W27">
        <v>0</v>
      </c>
      <c r="X27">
        <v>0</v>
      </c>
      <c r="Y27">
        <v>0</v>
      </c>
      <c r="Z27">
        <v>0</v>
      </c>
      <c r="AA27">
        <v>15406</v>
      </c>
      <c r="AB27">
        <v>3377</v>
      </c>
      <c r="AC27">
        <v>265</v>
      </c>
      <c r="AD27">
        <v>2.4</v>
      </c>
      <c r="AE27">
        <v>3200</v>
      </c>
      <c r="AF27">
        <v>0.667</v>
      </c>
      <c r="AG27">
        <v>0.166999999999999</v>
      </c>
      <c r="AH27">
        <v>0.128</v>
      </c>
      <c r="AI27">
        <v>230.65</v>
      </c>
      <c r="AJ27">
        <v>16.93</v>
      </c>
      <c r="AK27">
        <v>22700</v>
      </c>
      <c r="AL27">
        <v>8211</v>
      </c>
      <c r="AM27">
        <v>62</v>
      </c>
      <c r="AN27">
        <v>385</v>
      </c>
      <c r="AO27">
        <v>10.87</v>
      </c>
      <c r="AP27">
        <v>0.875999999999999</v>
      </c>
      <c r="AQ27">
        <v>0.054</v>
      </c>
      <c r="AR27">
        <v>0.036</v>
      </c>
      <c r="AS27" s="3">
        <v>46107.76552083333</v>
      </c>
    </row>
    <row r="28" ht="25.5" customHeight="1">
      <c r="A28" t="inlineStr">
        <is>
          <t>5dad751e0000000001000cd3</t>
        </is>
      </c>
      <c r="B28" s="2" t="str">
        <f>=HYPERLINK("https://www.xiaohongshu.com/user/profile/5dad751e0000000001000cd3", "https://www.xiaohongshu.com/user/profile/5dad751e0000000001000cd3")</f>
        <v>https://www.xiaohongshu.com/user/profile/5dad751e0000000001000cd3</v>
      </c>
      <c r="C28" s="2" t="str">
        <f>=HYPERLINK("https://pgy.xiaohongshu.com/solar/pre-trade/blogger-detail/5dad751e0000000001000cd3", "https://pgy.xiaohongshu.com/solar/pre-trade/blogger-detail/5dad751e0000000001000cd3")</f>
        <v>https://pgy.xiaohongshu.com/solar/pre-trade/blogger-detail/5dad751e0000000001000cd3</v>
      </c>
      <c r="D28" t="inlineStr">
        <is>
          <t>女</t>
        </is>
      </c>
      <c r="E28" t="inlineStr">
        <is>
          <t>983583094</t>
        </is>
      </c>
      <c r="F28" t="inlineStr">
        <is>
          <t>韩嫣儿呀</t>
        </is>
      </c>
      <c r="G28" t="inlineStr">
        <is>
          <t>山东 菏泽 郓城县</t>
        </is>
      </c>
      <c r="H28" t="inlineStr">
        <is>
          <t>考研过来人, 学生</t>
        </is>
      </c>
      <c r="I28" t="inlineStr">
        <is>
          <t>教育</t>
        </is>
      </c>
      <c r="J28">
        <v>31049</v>
      </c>
      <c r="K28" t="inlineStr">
        <is>
          <t>3.1</t>
        </is>
      </c>
      <c r="L28">
        <v>7656</v>
      </c>
      <c r="M28">
        <v>2957</v>
      </c>
      <c r="N28">
        <v>193</v>
      </c>
      <c r="O28">
        <v>1000</v>
      </c>
      <c r="P28">
        <v>0.15</v>
      </c>
      <c r="Q28">
        <v>0.55</v>
      </c>
      <c r="R28">
        <v>0</v>
      </c>
      <c r="S28">
        <v>0</v>
      </c>
      <c r="T28">
        <v>0</v>
      </c>
      <c r="U28">
        <v>0</v>
      </c>
      <c r="V28">
        <v>1000</v>
      </c>
      <c r="W28">
        <v>0</v>
      </c>
      <c r="X28">
        <v>0</v>
      </c>
      <c r="Y28">
        <v>0</v>
      </c>
      <c r="Z28">
        <v>0</v>
      </c>
      <c r="AA28">
        <v>7656</v>
      </c>
      <c r="AB28">
        <v>2957</v>
      </c>
      <c r="AC28">
        <v>164</v>
      </c>
      <c r="AD28">
        <v>2.65</v>
      </c>
      <c r="AE28">
        <v>3500</v>
      </c>
      <c r="AF28">
        <v>0.55</v>
      </c>
      <c r="AG28">
        <v>0.15</v>
      </c>
      <c r="AH28">
        <v>0.032</v>
      </c>
      <c r="AI28">
        <v>368.05</v>
      </c>
      <c r="AJ28">
        <v>16.32</v>
      </c>
      <c r="AK28">
        <v>28921</v>
      </c>
      <c r="AL28">
        <v>4124</v>
      </c>
      <c r="AM28">
        <v>260</v>
      </c>
      <c r="AN28">
        <v>0</v>
      </c>
      <c r="AO28">
        <v>0</v>
      </c>
      <c r="AP28">
        <v>0.869</v>
      </c>
      <c r="AQ28">
        <v>0.151</v>
      </c>
      <c r="AR28">
        <v>0.281</v>
      </c>
      <c r="AS28" s="3">
        <v>46107.76552083333</v>
      </c>
    </row>
    <row r="29" ht="25.5" customHeight="1">
      <c r="A29" t="inlineStr">
        <is>
          <t>624051e600000000100046ac</t>
        </is>
      </c>
      <c r="B29" s="2" t="str">
        <f>=HYPERLINK("https://www.xiaohongshu.com/user/profile/624051e600000000100046ac", "https://www.xiaohongshu.com/user/profile/624051e600000000100046ac")</f>
        <v>https://www.xiaohongshu.com/user/profile/624051e600000000100046ac</v>
      </c>
      <c r="C29" s="2" t="str">
        <f>=HYPERLINK("https://pgy.xiaohongshu.com/solar/pre-trade/blogger-detail/624051e600000000100046ac", "https://pgy.xiaohongshu.com/solar/pre-trade/blogger-detail/624051e600000000100046ac")</f>
        <v>https://pgy.xiaohongshu.com/solar/pre-trade/blogger-detail/624051e600000000100046ac</v>
      </c>
      <c r="D29" t="inlineStr">
        <is>
          <t>女</t>
        </is>
      </c>
      <c r="E29" t="inlineStr">
        <is>
          <t>2821671284</t>
        </is>
      </c>
      <c r="F29" t="inlineStr">
        <is>
          <t>RR 小白鹿</t>
        </is>
      </c>
      <c r="G29" t="inlineStr">
        <is>
          <t>安徽 六安 舒城县</t>
        </is>
      </c>
      <c r="H29"/>
      <c r="I29" t="inlineStr">
        <is>
          <t>教育</t>
        </is>
      </c>
      <c r="J29">
        <v>109577</v>
      </c>
      <c r="K29" t="inlineStr">
        <is>
          <t>11.0</t>
        </is>
      </c>
      <c r="L29">
        <v>10924</v>
      </c>
      <c r="M29">
        <v>3133</v>
      </c>
      <c r="N29">
        <v>193</v>
      </c>
      <c r="O29">
        <v>4000</v>
      </c>
      <c r="P29">
        <v>0</v>
      </c>
      <c r="Q29">
        <v>0.5</v>
      </c>
      <c r="R29">
        <v>0</v>
      </c>
      <c r="S29">
        <v>0</v>
      </c>
      <c r="T29">
        <v>0</v>
      </c>
      <c r="U29">
        <v>0</v>
      </c>
      <c r="V29">
        <v>4000</v>
      </c>
      <c r="W29">
        <v>0</v>
      </c>
      <c r="X29">
        <v>0</v>
      </c>
      <c r="Y29">
        <v>0</v>
      </c>
      <c r="Z29">
        <v>0</v>
      </c>
      <c r="AA29">
        <v>10924</v>
      </c>
      <c r="AB29">
        <v>3133</v>
      </c>
      <c r="AC29">
        <v>174</v>
      </c>
      <c r="AD29">
        <v>3.56</v>
      </c>
      <c r="AE29">
        <v>7200</v>
      </c>
      <c r="AF29">
        <v>0.5</v>
      </c>
      <c r="AG29">
        <v>0</v>
      </c>
      <c r="AH29">
        <v>0.053</v>
      </c>
      <c r="AI29">
        <v>556.39</v>
      </c>
      <c r="AJ29">
        <v>23.84</v>
      </c>
      <c r="AK29">
        <v>30212</v>
      </c>
      <c r="AL29">
        <v>3934</v>
      </c>
      <c r="AM29">
        <v>1156</v>
      </c>
      <c r="AN29">
        <v>0</v>
      </c>
      <c r="AO29">
        <v>0</v>
      </c>
      <c r="AP29">
        <v>0.854</v>
      </c>
      <c r="AQ29">
        <v>0.011</v>
      </c>
      <c r="AR29">
        <v>0.002</v>
      </c>
      <c r="AS29" s="3">
        <v>46107.76552083333</v>
      </c>
    </row>
    <row r="30" ht="25.5" customHeight="1">
      <c r="A30" t="inlineStr">
        <is>
          <t>5fd20039000000000101d89e</t>
        </is>
      </c>
      <c r="B30" s="2" t="str">
        <f>=HYPERLINK("https://www.xiaohongshu.com/user/profile/5fd20039000000000101d89e", "https://www.xiaohongshu.com/user/profile/5fd20039000000000101d89e")</f>
        <v>https://www.xiaohongshu.com/user/profile/5fd20039000000000101d89e</v>
      </c>
      <c r="C30" s="2" t="str">
        <f>=HYPERLINK("https://pgy.xiaohongshu.com/solar/pre-trade/blogger-detail/5fd20039000000000101d89e", "https://pgy.xiaohongshu.com/solar/pre-trade/blogger-detail/5fd20039000000000101d89e")</f>
        <v>https://pgy.xiaohongshu.com/solar/pre-trade/blogger-detail/5fd20039000000000101d89e</v>
      </c>
      <c r="D30" t="inlineStr">
        <is>
          <t>女</t>
        </is>
      </c>
      <c r="E30" t="inlineStr">
        <is>
          <t>1083733452</t>
        </is>
      </c>
      <c r="F30" t="inlineStr">
        <is>
          <t>伟大的小黄鸭</t>
        </is>
      </c>
      <c r="G30" t="inlineStr">
        <is>
          <t>浙江 杭州 西湖区</t>
        </is>
      </c>
      <c r="H30" t="inlineStr">
        <is>
          <t>学生</t>
        </is>
      </c>
      <c r="I30" t="inlineStr">
        <is>
          <t>职场</t>
        </is>
      </c>
      <c r="J30">
        <v>6200</v>
      </c>
      <c r="K30" t="inlineStr">
        <is>
          <t>0.6</t>
        </is>
      </c>
      <c r="L30">
        <v>37769</v>
      </c>
      <c r="M30">
        <v>7103</v>
      </c>
      <c r="N30">
        <v>1300</v>
      </c>
      <c r="O30">
        <v>600</v>
      </c>
      <c r="P30">
        <v>0.332999999999999</v>
      </c>
      <c r="Q30">
        <v>0.667</v>
      </c>
      <c r="R30">
        <v>37769</v>
      </c>
      <c r="S30">
        <v>7103</v>
      </c>
      <c r="T30">
        <v>1204</v>
      </c>
      <c r="U30">
        <v>0.37</v>
      </c>
      <c r="V30">
        <v>600</v>
      </c>
      <c r="W30">
        <v>0.667</v>
      </c>
      <c r="X30">
        <v>0.332999999999999</v>
      </c>
      <c r="Y30">
        <v>16.75</v>
      </c>
      <c r="Z30">
        <v>0.34</v>
      </c>
      <c r="AA30">
        <v>0</v>
      </c>
      <c r="AB30">
        <v>0</v>
      </c>
      <c r="AC30">
        <v>0</v>
      </c>
      <c r="AD30">
        <v>0</v>
      </c>
      <c r="AE30">
        <v>900</v>
      </c>
      <c r="AF30">
        <v>0</v>
      </c>
      <c r="AG30">
        <v>0</v>
      </c>
      <c r="AH30">
        <v>0</v>
      </c>
      <c r="AI30">
        <v>0</v>
      </c>
      <c r="AJ30">
        <v>0</v>
      </c>
      <c r="AK30">
        <v>35830</v>
      </c>
      <c r="AL30">
        <v>8026</v>
      </c>
      <c r="AM30">
        <v>2498</v>
      </c>
      <c r="AN30">
        <v>0</v>
      </c>
      <c r="AO30">
        <v>0</v>
      </c>
      <c r="AP30">
        <v>0.88</v>
      </c>
      <c r="AQ30">
        <v>0.18</v>
      </c>
      <c r="AR30">
        <v>0.181</v>
      </c>
      <c r="AS30" s="3">
        <v>46107.76552083333</v>
      </c>
    </row>
    <row r="31" ht="25.5" customHeight="1">
      <c r="A31" t="inlineStr">
        <is>
          <t>60d90dc1000000002002cab5</t>
        </is>
      </c>
      <c r="B31" s="2" t="str">
        <f>=HYPERLINK("https://www.xiaohongshu.com/user/profile/60d90dc1000000002002cab5", "https://www.xiaohongshu.com/user/profile/60d90dc1000000002002cab5")</f>
        <v>https://www.xiaohongshu.com/user/profile/60d90dc1000000002002cab5</v>
      </c>
      <c r="C31" s="2" t="str">
        <f>=HYPERLINK("https://pgy.xiaohongshu.com/solar/pre-trade/blogger-detail/60d90dc1000000002002cab5", "https://pgy.xiaohongshu.com/solar/pre-trade/blogger-detail/60d90dc1000000002002cab5")</f>
        <v>https://pgy.xiaohongshu.com/solar/pre-trade/blogger-detail/60d90dc1000000002002cab5</v>
      </c>
      <c r="D31" t="inlineStr">
        <is>
          <t>女</t>
        </is>
      </c>
      <c r="E31" t="inlineStr">
        <is>
          <t>maydaypenguin</t>
        </is>
      </c>
      <c r="F31" t="inlineStr">
        <is>
          <t>gogo🥕</t>
        </is>
      </c>
      <c r="G31" t="inlineStr">
        <is>
          <t>美国</t>
        </is>
      </c>
      <c r="H31" t="inlineStr">
        <is>
          <t>学生, 户外爱好者</t>
        </is>
      </c>
      <c r="I31" t="inlineStr">
        <is>
          <t>教育, 生活记录</t>
        </is>
      </c>
      <c r="J31">
        <v>40823</v>
      </c>
      <c r="K31" t="inlineStr">
        <is>
          <t>4.1</t>
        </is>
      </c>
      <c r="L31">
        <v>32196</v>
      </c>
      <c r="M31">
        <v>10921</v>
      </c>
      <c r="N31">
        <v>693</v>
      </c>
      <c r="O31">
        <v>2000</v>
      </c>
      <c r="P31">
        <v>0.2</v>
      </c>
      <c r="Q31">
        <v>0.9</v>
      </c>
      <c r="R31">
        <v>10215</v>
      </c>
      <c r="S31">
        <v>1318</v>
      </c>
      <c r="T31">
        <v>170</v>
      </c>
      <c r="U31">
        <v>1.82</v>
      </c>
      <c r="V31">
        <v>2000</v>
      </c>
      <c r="W31">
        <v>1</v>
      </c>
      <c r="X31">
        <v>0</v>
      </c>
      <c r="Y31">
        <v>195.79</v>
      </c>
      <c r="Z31">
        <v>10.87</v>
      </c>
      <c r="AA31">
        <v>36337</v>
      </c>
      <c r="AB31">
        <v>13667</v>
      </c>
      <c r="AC31">
        <v>539</v>
      </c>
      <c r="AD31">
        <v>1.8</v>
      </c>
      <c r="AE31">
        <v>3555</v>
      </c>
      <c r="AF31">
        <v>0.889</v>
      </c>
      <c r="AG31">
        <v>0.222</v>
      </c>
      <c r="AH31">
        <v>0.152</v>
      </c>
      <c r="AI31">
        <v>97.51</v>
      </c>
      <c r="AJ31">
        <v>4.75</v>
      </c>
      <c r="AK31">
        <v>52337</v>
      </c>
      <c r="AL31">
        <v>10408</v>
      </c>
      <c r="AM31">
        <v>569</v>
      </c>
      <c r="AN31">
        <v>0</v>
      </c>
      <c r="AO31">
        <v>0</v>
      </c>
      <c r="AP31">
        <v>0.893</v>
      </c>
      <c r="AQ31">
        <v>0.038</v>
      </c>
      <c r="AR31">
        <v>0.01</v>
      </c>
      <c r="AS31" s="3">
        <v>46107.76552083333</v>
      </c>
    </row>
    <row r="32" ht="25.5" customHeight="1">
      <c r="A32" t="inlineStr">
        <is>
          <t>629e012a000000001902bb71</t>
        </is>
      </c>
      <c r="B32" s="2" t="str">
        <f>=HYPERLINK("https://www.xiaohongshu.com/user/profile/629e012a000000001902bb71", "https://www.xiaohongshu.com/user/profile/629e012a000000001902bb71")</f>
        <v>https://www.xiaohongshu.com/user/profile/629e012a000000001902bb71</v>
      </c>
      <c r="C32" s="2" t="str">
        <f>=HYPERLINK("https://pgy.xiaohongshu.com/solar/pre-trade/blogger-detail/629e012a000000001902bb71", "https://pgy.xiaohongshu.com/solar/pre-trade/blogger-detail/629e012a000000001902bb71")</f>
        <v>https://pgy.xiaohongshu.com/solar/pre-trade/blogger-detail/629e012a000000001902bb71</v>
      </c>
      <c r="D32" t="inlineStr">
        <is>
          <t>女</t>
        </is>
      </c>
      <c r="E32" t="inlineStr">
        <is>
          <t>5607430046</t>
        </is>
      </c>
      <c r="F32" t="inlineStr">
        <is>
          <t>真理.-JINELLE</t>
        </is>
      </c>
      <c r="G32" t="inlineStr">
        <is>
          <t>山东 青岛 黄岛区</t>
        </is>
      </c>
      <c r="H32" t="inlineStr">
        <is>
          <t>学生, 铲屎官</t>
        </is>
      </c>
      <c r="I32" t="inlineStr">
        <is>
          <t>教育</t>
        </is>
      </c>
      <c r="J32">
        <v>3447</v>
      </c>
      <c r="K32" t="inlineStr">
        <is>
          <t>0.3</t>
        </is>
      </c>
      <c r="L32">
        <v>23190</v>
      </c>
      <c r="M32">
        <v>9557</v>
      </c>
      <c r="N32">
        <v>401</v>
      </c>
      <c r="O32">
        <v>435</v>
      </c>
      <c r="P32">
        <v>0.222</v>
      </c>
      <c r="Q32">
        <v>0.833</v>
      </c>
      <c r="R32">
        <v>0</v>
      </c>
      <c r="S32">
        <v>0</v>
      </c>
      <c r="T32">
        <v>0</v>
      </c>
      <c r="U32">
        <v>0</v>
      </c>
      <c r="V32">
        <v>0</v>
      </c>
      <c r="W32">
        <v>0</v>
      </c>
      <c r="X32">
        <v>0</v>
      </c>
      <c r="Y32">
        <v>0</v>
      </c>
      <c r="Z32">
        <v>0</v>
      </c>
      <c r="AA32">
        <v>27171</v>
      </c>
      <c r="AB32">
        <v>9943</v>
      </c>
      <c r="AC32">
        <v>382</v>
      </c>
      <c r="AD32">
        <v>1.54</v>
      </c>
      <c r="AE32">
        <v>435</v>
      </c>
      <c r="AF32">
        <v>0.833</v>
      </c>
      <c r="AG32">
        <v>0.222</v>
      </c>
      <c r="AH32">
        <v>0.094</v>
      </c>
      <c r="AI32">
        <v>16.01</v>
      </c>
      <c r="AJ32">
        <v>0.99</v>
      </c>
      <c r="AK32">
        <v>0</v>
      </c>
      <c r="AL32">
        <v>0</v>
      </c>
      <c r="AM32">
        <v>0</v>
      </c>
      <c r="AN32">
        <v>0</v>
      </c>
      <c r="AO32">
        <v>0</v>
      </c>
      <c r="AP32">
        <v>0.971</v>
      </c>
      <c r="AQ32">
        <v>0.33</v>
      </c>
      <c r="AR32">
        <v>0.14</v>
      </c>
      <c r="AS32" s="3">
        <v>46107.76552083333</v>
      </c>
    </row>
    <row r="33" ht="25.5" customHeight="1">
      <c r="A33" t="inlineStr">
        <is>
          <t>5d08d67000000000160217ed</t>
        </is>
      </c>
      <c r="B33" s="2" t="str">
        <f>=HYPERLINK("https://www.xiaohongshu.com/user/profile/5d08d67000000000160217ed", "https://www.xiaohongshu.com/user/profile/5d08d67000000000160217ed")</f>
        <v>https://www.xiaohongshu.com/user/profile/5d08d67000000000160217ed</v>
      </c>
      <c r="C33" s="2" t="str">
        <f>=HYPERLINK("https://pgy.xiaohongshu.com/solar/pre-trade/blogger-detail/5d08d67000000000160217ed", "https://pgy.xiaohongshu.com/solar/pre-trade/blogger-detail/5d08d67000000000160217ed")</f>
        <v>https://pgy.xiaohongshu.com/solar/pre-trade/blogger-detail/5d08d67000000000160217ed</v>
      </c>
      <c r="D33" t="inlineStr">
        <is>
          <t>女</t>
        </is>
      </c>
      <c r="E33" t="inlineStr">
        <is>
          <t>991348995</t>
        </is>
      </c>
      <c r="F33" t="inlineStr">
        <is>
          <t>别管我啦</t>
        </is>
      </c>
      <c r="G33" t="inlineStr">
        <is>
          <t>河北 石家庄 裕华区</t>
        </is>
      </c>
      <c r="H33" t="inlineStr">
        <is>
          <t>考研过来人, 学生</t>
        </is>
      </c>
      <c r="I33" t="inlineStr">
        <is>
          <t>教育</t>
        </is>
      </c>
      <c r="J33">
        <v>18007</v>
      </c>
      <c r="K33" t="inlineStr">
        <is>
          <t>1.8</t>
        </is>
      </c>
      <c r="L33">
        <v>6244</v>
      </c>
      <c r="M33">
        <v>1837</v>
      </c>
      <c r="N33">
        <v>207</v>
      </c>
      <c r="O33">
        <v>1000</v>
      </c>
      <c r="P33">
        <v>0.1</v>
      </c>
      <c r="Q33">
        <v>0.5</v>
      </c>
      <c r="R33">
        <v>0</v>
      </c>
      <c r="S33">
        <v>0</v>
      </c>
      <c r="T33">
        <v>0</v>
      </c>
      <c r="U33">
        <v>0</v>
      </c>
      <c r="V33">
        <v>1000</v>
      </c>
      <c r="W33">
        <v>0</v>
      </c>
      <c r="X33">
        <v>0</v>
      </c>
      <c r="Y33">
        <v>0</v>
      </c>
      <c r="Z33">
        <v>0</v>
      </c>
      <c r="AA33">
        <v>6244</v>
      </c>
      <c r="AB33">
        <v>1837</v>
      </c>
      <c r="AC33">
        <v>190</v>
      </c>
      <c r="AD33">
        <v>2.52</v>
      </c>
      <c r="AE33">
        <v>2300</v>
      </c>
      <c r="AF33">
        <v>0.5</v>
      </c>
      <c r="AG33">
        <v>0.1</v>
      </c>
      <c r="AH33">
        <v>0.055</v>
      </c>
      <c r="AI33">
        <v>298.47</v>
      </c>
      <c r="AJ33">
        <v>9.35</v>
      </c>
      <c r="AK33">
        <v>51063</v>
      </c>
      <c r="AL33">
        <v>4217</v>
      </c>
      <c r="AM33">
        <v>1626</v>
      </c>
      <c r="AN33">
        <v>0</v>
      </c>
      <c r="AO33">
        <v>0</v>
      </c>
      <c r="AP33">
        <v>0.768</v>
      </c>
      <c r="AQ33">
        <v>0.061</v>
      </c>
      <c r="AR33">
        <v>0.098</v>
      </c>
      <c r="AS33" s="3">
        <v>46107.76552083333</v>
      </c>
    </row>
    <row r="34" ht="25.5" customHeight="1">
      <c r="A34" t="inlineStr">
        <is>
          <t>5f1b8ae7000000000101d41d</t>
        </is>
      </c>
      <c r="B34" s="2" t="str">
        <f>=HYPERLINK("https://www.xiaohongshu.com/user/profile/5f1b8ae7000000000101d41d", "https://www.xiaohongshu.com/user/profile/5f1b8ae7000000000101d41d")</f>
        <v>https://www.xiaohongshu.com/user/profile/5f1b8ae7000000000101d41d</v>
      </c>
      <c r="C34" s="2" t="str">
        <f>=HYPERLINK("https://pgy.xiaohongshu.com/solar/pre-trade/blogger-detail/5f1b8ae7000000000101d41d", "https://pgy.xiaohongshu.com/solar/pre-trade/blogger-detail/5f1b8ae7000000000101d41d")</f>
        <v>https://pgy.xiaohongshu.com/solar/pre-trade/blogger-detail/5f1b8ae7000000000101d41d</v>
      </c>
      <c r="D34" t="inlineStr">
        <is>
          <t>女</t>
        </is>
      </c>
      <c r="E34" t="inlineStr">
        <is>
          <t>1439658176qqcom</t>
        </is>
      </c>
      <c r="F34" t="inlineStr">
        <is>
          <t>小猴158不是170</t>
        </is>
      </c>
      <c r="G34" t="inlineStr">
        <is>
          <t>黑龙江 哈尔滨 南岗区</t>
        </is>
      </c>
      <c r="H34" t="inlineStr">
        <is>
          <t>学生, 情侣</t>
        </is>
      </c>
      <c r="I34" t="inlineStr">
        <is>
          <t>运动健身</t>
        </is>
      </c>
      <c r="J34">
        <v>19453</v>
      </c>
      <c r="K34" t="inlineStr">
        <is>
          <t>1.9</t>
        </is>
      </c>
      <c r="L34">
        <v>16452</v>
      </c>
      <c r="M34">
        <v>3118</v>
      </c>
      <c r="N34">
        <v>180</v>
      </c>
      <c r="O34">
        <v>1800</v>
      </c>
      <c r="P34">
        <v>0</v>
      </c>
      <c r="Q34">
        <v>0.667</v>
      </c>
      <c r="R34">
        <v>0</v>
      </c>
      <c r="S34">
        <v>0</v>
      </c>
      <c r="T34">
        <v>0</v>
      </c>
      <c r="U34">
        <v>0</v>
      </c>
      <c r="V34">
        <v>600</v>
      </c>
      <c r="W34">
        <v>0</v>
      </c>
      <c r="X34">
        <v>0</v>
      </c>
      <c r="Y34">
        <v>0</v>
      </c>
      <c r="Z34">
        <v>0</v>
      </c>
      <c r="AA34">
        <v>16452</v>
      </c>
      <c r="AB34">
        <v>3118</v>
      </c>
      <c r="AC34">
        <v>177</v>
      </c>
      <c r="AD34">
        <v>2.08</v>
      </c>
      <c r="AE34">
        <v>1800</v>
      </c>
      <c r="AF34">
        <v>0.667</v>
      </c>
      <c r="AG34">
        <v>0</v>
      </c>
      <c r="AH34">
        <v>0.165</v>
      </c>
      <c r="AI34">
        <v>109.41</v>
      </c>
      <c r="AJ34">
        <v>10</v>
      </c>
      <c r="AK34">
        <v>0</v>
      </c>
      <c r="AL34">
        <v>0</v>
      </c>
      <c r="AM34">
        <v>0</v>
      </c>
      <c r="AN34">
        <v>0</v>
      </c>
      <c r="AO34">
        <v>0</v>
      </c>
      <c r="AP34">
        <v>0.787999999999999</v>
      </c>
      <c r="AQ34">
        <v>0.017</v>
      </c>
      <c r="AR34">
        <v>0.001</v>
      </c>
      <c r="AS34" s="3">
        <v>46107.76552083333</v>
      </c>
    </row>
    <row r="35" ht="25.5" customHeight="1">
      <c r="A35" t="inlineStr">
        <is>
          <t>62dfc2da000000001f0179c2</t>
        </is>
      </c>
      <c r="B35" s="2" t="str">
        <f>=HYPERLINK("https://www.xiaohongshu.com/user/profile/62dfc2da000000001f0179c2", "https://www.xiaohongshu.com/user/profile/62dfc2da000000001f0179c2")</f>
        <v>https://www.xiaohongshu.com/user/profile/62dfc2da000000001f0179c2</v>
      </c>
      <c r="C35" s="2" t="str">
        <f>=HYPERLINK("https://pgy.xiaohongshu.com/solar/pre-trade/blogger-detail/62dfc2da000000001f0179c2", "https://pgy.xiaohongshu.com/solar/pre-trade/blogger-detail/62dfc2da000000001f0179c2")</f>
        <v>https://pgy.xiaohongshu.com/solar/pre-trade/blogger-detail/62dfc2da000000001f0179c2</v>
      </c>
      <c r="D35" t="inlineStr">
        <is>
          <t>女</t>
        </is>
      </c>
      <c r="E35" t="inlineStr">
        <is>
          <t>Ch1ps_are_down</t>
        </is>
      </c>
      <c r="F35" t="inlineStr">
        <is>
          <t>芝麻馅</t>
        </is>
      </c>
      <c r="G35" t="inlineStr">
        <is>
          <t>吉林 长春 朝阳区</t>
        </is>
      </c>
      <c r="H35" t="inlineStr">
        <is>
          <t>学生</t>
        </is>
      </c>
      <c r="I35" t="inlineStr">
        <is>
          <t>音乐</t>
        </is>
      </c>
      <c r="J35">
        <v>28812</v>
      </c>
      <c r="K35" t="inlineStr">
        <is>
          <t>2.9</t>
        </is>
      </c>
      <c r="L35">
        <v>42808</v>
      </c>
      <c r="M35">
        <v>6451</v>
      </c>
      <c r="N35">
        <v>625</v>
      </c>
      <c r="O35">
        <v>1800</v>
      </c>
      <c r="P35">
        <v>0.25</v>
      </c>
      <c r="Q35">
        <v>0.875</v>
      </c>
      <c r="R35">
        <v>92807</v>
      </c>
      <c r="S35">
        <v>12105</v>
      </c>
      <c r="T35">
        <v>997</v>
      </c>
      <c r="U35">
        <v>0.45</v>
      </c>
      <c r="V35">
        <v>1800</v>
      </c>
      <c r="W35">
        <v>1</v>
      </c>
      <c r="X35">
        <v>0.5</v>
      </c>
      <c r="Y35">
        <v>19.4</v>
      </c>
      <c r="Z35">
        <v>1.35</v>
      </c>
      <c r="AA35">
        <v>32869</v>
      </c>
      <c r="AB35">
        <v>5121</v>
      </c>
      <c r="AC35">
        <v>463</v>
      </c>
      <c r="AD35">
        <v>1.89</v>
      </c>
      <c r="AE35">
        <v>2500</v>
      </c>
      <c r="AF35">
        <v>0.833</v>
      </c>
      <c r="AG35">
        <v>0.166999999999999</v>
      </c>
      <c r="AH35">
        <v>0.0579999999999999</v>
      </c>
      <c r="AI35">
        <v>76.06</v>
      </c>
      <c r="AJ35">
        <v>3.99</v>
      </c>
      <c r="AK35">
        <v>63234</v>
      </c>
      <c r="AL35">
        <v>12152</v>
      </c>
      <c r="AM35">
        <v>1380</v>
      </c>
      <c r="AN35">
        <v>0</v>
      </c>
      <c r="AO35">
        <v>0</v>
      </c>
      <c r="AP35">
        <v>0.914</v>
      </c>
      <c r="AQ35">
        <v>0.0819999999999999</v>
      </c>
      <c r="AR35">
        <v>0.065</v>
      </c>
      <c r="AS35" s="3">
        <v>46107.76552083333</v>
      </c>
    </row>
    <row r="36" ht="25.5" customHeight="1">
      <c r="A36" t="inlineStr">
        <is>
          <t>610c019d000000000101fff1</t>
        </is>
      </c>
      <c r="B36" s="2" t="str">
        <f>=HYPERLINK("https://www.xiaohongshu.com/user/profile/610c019d000000000101fff1", "https://www.xiaohongshu.com/user/profile/610c019d000000000101fff1")</f>
        <v>https://www.xiaohongshu.com/user/profile/610c019d000000000101fff1</v>
      </c>
      <c r="C36" s="2" t="str">
        <f>=HYPERLINK("https://pgy.xiaohongshu.com/solar/pre-trade/blogger-detail/610c019d000000000101fff1", "https://pgy.xiaohongshu.com/solar/pre-trade/blogger-detail/610c019d000000000101fff1")</f>
        <v>https://pgy.xiaohongshu.com/solar/pre-trade/blogger-detail/610c019d000000000101fff1</v>
      </c>
      <c r="D36" t="inlineStr">
        <is>
          <t>女</t>
        </is>
      </c>
      <c r="E36" t="inlineStr">
        <is>
          <t>2741937914</t>
        </is>
      </c>
      <c r="F36" t="inlineStr">
        <is>
          <t>Cathy的读博日记</t>
        </is>
      </c>
      <c r="G36" t="inlineStr">
        <is>
          <t>美国</t>
        </is>
      </c>
      <c r="H36" t="inlineStr">
        <is>
          <t>海外华人, 留学背景, 学生, 街舞爱好者</t>
        </is>
      </c>
      <c r="I36" t="inlineStr">
        <is>
          <t>教育</t>
        </is>
      </c>
      <c r="J36">
        <v>7319</v>
      </c>
      <c r="K36" t="inlineStr">
        <is>
          <t>0.7</t>
        </is>
      </c>
      <c r="L36">
        <v>16674</v>
      </c>
      <c r="M36">
        <v>4180</v>
      </c>
      <c r="N36">
        <v>317</v>
      </c>
      <c r="O36">
        <v>900</v>
      </c>
      <c r="P36">
        <v>0.143</v>
      </c>
      <c r="Q36">
        <v>0.571</v>
      </c>
      <c r="R36">
        <v>0</v>
      </c>
      <c r="S36">
        <v>0</v>
      </c>
      <c r="T36">
        <v>0</v>
      </c>
      <c r="U36">
        <v>0</v>
      </c>
      <c r="V36">
        <v>900</v>
      </c>
      <c r="W36">
        <v>0</v>
      </c>
      <c r="X36">
        <v>0</v>
      </c>
      <c r="Y36">
        <v>0</v>
      </c>
      <c r="Z36">
        <v>0</v>
      </c>
      <c r="AA36">
        <v>16674</v>
      </c>
      <c r="AB36">
        <v>4180</v>
      </c>
      <c r="AC36">
        <v>188</v>
      </c>
      <c r="AD36">
        <v>2.19</v>
      </c>
      <c r="AE36">
        <v>1500</v>
      </c>
      <c r="AF36">
        <v>0.571</v>
      </c>
      <c r="AG36">
        <v>0.143</v>
      </c>
      <c r="AH36">
        <v>0.084</v>
      </c>
      <c r="AI36">
        <v>118.13</v>
      </c>
      <c r="AJ36">
        <v>6.17</v>
      </c>
      <c r="AK36">
        <v>8721</v>
      </c>
      <c r="AL36">
        <v>2164</v>
      </c>
      <c r="AM36">
        <v>137</v>
      </c>
      <c r="AN36">
        <v>0</v>
      </c>
      <c r="AO36">
        <v>2127.71</v>
      </c>
      <c r="AP36">
        <v>0.977</v>
      </c>
      <c r="AQ36">
        <v>0.159</v>
      </c>
      <c r="AR36">
        <v>0.446</v>
      </c>
      <c r="AS36" s="3">
        <v>46107.76552083333</v>
      </c>
    </row>
    <row r="37" ht="25.5" customHeight="1">
      <c r="A37" t="inlineStr">
        <is>
          <t>637c2c750000000023029cdd</t>
        </is>
      </c>
      <c r="B37" s="2" t="str">
        <f>=HYPERLINK("https://www.xiaohongshu.com/user/profile/637c2c750000000023029cdd", "https://www.xiaohongshu.com/user/profile/637c2c750000000023029cdd")</f>
        <v>https://www.xiaohongshu.com/user/profile/637c2c750000000023029cdd</v>
      </c>
      <c r="C37" s="2" t="str">
        <f>=HYPERLINK("https://pgy.xiaohongshu.com/solar/pre-trade/blogger-detail/637c2c750000000023029cdd", "https://pgy.xiaohongshu.com/solar/pre-trade/blogger-detail/637c2c750000000023029cdd")</f>
        <v>https://pgy.xiaohongshu.com/solar/pre-trade/blogger-detail/637c2c750000000023029cdd</v>
      </c>
      <c r="D37" t="inlineStr">
        <is>
          <t>女</t>
        </is>
      </c>
      <c r="E37" t="inlineStr">
        <is>
          <t>5394146539</t>
        </is>
      </c>
      <c r="F37" t="inlineStr">
        <is>
          <t>太阳雨雨雨【成长版】</t>
        </is>
      </c>
      <c r="G37" t="inlineStr">
        <is>
          <t>山东 临沂 兰山区</t>
        </is>
      </c>
      <c r="H37" t="inlineStr">
        <is>
          <t>学生</t>
        </is>
      </c>
      <c r="I37" t="inlineStr">
        <is>
          <t>教育</t>
        </is>
      </c>
      <c r="J37">
        <v>39736</v>
      </c>
      <c r="K37" t="inlineStr">
        <is>
          <t>4.0</t>
        </is>
      </c>
      <c r="L37">
        <v>10493</v>
      </c>
      <c r="M37">
        <v>4300</v>
      </c>
      <c r="N37">
        <v>428</v>
      </c>
      <c r="O37">
        <v>1053</v>
      </c>
      <c r="P37">
        <v>0.166999999999999</v>
      </c>
      <c r="Q37">
        <v>0.917</v>
      </c>
      <c r="R37">
        <v>0</v>
      </c>
      <c r="S37">
        <v>0</v>
      </c>
      <c r="T37">
        <v>0</v>
      </c>
      <c r="U37">
        <v>0</v>
      </c>
      <c r="V37">
        <v>1053</v>
      </c>
      <c r="W37">
        <v>0</v>
      </c>
      <c r="X37">
        <v>0</v>
      </c>
      <c r="Y37">
        <v>0</v>
      </c>
      <c r="Z37">
        <v>0</v>
      </c>
      <c r="AA37">
        <v>10493</v>
      </c>
      <c r="AB37">
        <v>4300</v>
      </c>
      <c r="AC37">
        <v>388</v>
      </c>
      <c r="AD37">
        <v>2.05</v>
      </c>
      <c r="AE37">
        <v>2371</v>
      </c>
      <c r="AF37">
        <v>0.917</v>
      </c>
      <c r="AG37">
        <v>0.166999999999999</v>
      </c>
      <c r="AH37">
        <v>0.024</v>
      </c>
      <c r="AI37">
        <v>225.96</v>
      </c>
      <c r="AJ37">
        <v>5.53</v>
      </c>
      <c r="AK37">
        <v>0</v>
      </c>
      <c r="AL37">
        <v>0</v>
      </c>
      <c r="AM37">
        <v>0</v>
      </c>
      <c r="AN37">
        <v>0</v>
      </c>
      <c r="AO37">
        <v>0</v>
      </c>
      <c r="AP37">
        <v>0.89</v>
      </c>
      <c r="AQ37">
        <v>0.181</v>
      </c>
      <c r="AR37">
        <v>0.15</v>
      </c>
      <c r="AS37" s="3">
        <v>46107.76552083333</v>
      </c>
    </row>
    <row r="38" ht="25.5" customHeight="1">
      <c r="A38" t="inlineStr">
        <is>
          <t>58efbf4450c4b4167736eaa2</t>
        </is>
      </c>
      <c r="B38" s="2" t="str">
        <f>=HYPERLINK("https://www.xiaohongshu.com/user/profile/58efbf4450c4b4167736eaa2", "https://www.xiaohongshu.com/user/profile/58efbf4450c4b4167736eaa2")</f>
        <v>https://www.xiaohongshu.com/user/profile/58efbf4450c4b4167736eaa2</v>
      </c>
      <c r="C38" s="2" t="str">
        <f>=HYPERLINK("https://pgy.xiaohongshu.com/solar/pre-trade/blogger-detail/58efbf4450c4b4167736eaa2", "https://pgy.xiaohongshu.com/solar/pre-trade/blogger-detail/58efbf4450c4b4167736eaa2")</f>
        <v>https://pgy.xiaohongshu.com/solar/pre-trade/blogger-detail/58efbf4450c4b4167736eaa2</v>
      </c>
      <c r="D38" t="inlineStr">
        <is>
          <t>女</t>
        </is>
      </c>
      <c r="E38" t="inlineStr">
        <is>
          <t>C5222777</t>
        </is>
      </c>
      <c r="F38" t="inlineStr">
        <is>
          <t>Chris22ss</t>
        </is>
      </c>
      <c r="G38" t="inlineStr">
        <is>
          <t>上海</t>
        </is>
      </c>
      <c r="H38" t="inlineStr">
        <is>
          <t>留学背景, 海外华人</t>
        </is>
      </c>
      <c r="I38" t="inlineStr">
        <is>
          <t>搞笑</t>
        </is>
      </c>
      <c r="J38">
        <v>10087</v>
      </c>
      <c r="K38" t="inlineStr">
        <is>
          <t>1.0</t>
        </is>
      </c>
      <c r="L38">
        <v>3273</v>
      </c>
      <c r="M38">
        <v>1807</v>
      </c>
      <c r="N38">
        <v>288</v>
      </c>
      <c r="O38">
        <v>800</v>
      </c>
      <c r="P38">
        <v>0.154</v>
      </c>
      <c r="Q38">
        <v>0.692</v>
      </c>
      <c r="R38">
        <v>0</v>
      </c>
      <c r="S38">
        <v>0</v>
      </c>
      <c r="T38">
        <v>0</v>
      </c>
      <c r="U38">
        <v>0</v>
      </c>
      <c r="V38">
        <v>800</v>
      </c>
      <c r="W38">
        <v>0</v>
      </c>
      <c r="X38">
        <v>0</v>
      </c>
      <c r="Y38">
        <v>0</v>
      </c>
      <c r="Z38">
        <v>0</v>
      </c>
      <c r="AA38">
        <v>3273</v>
      </c>
      <c r="AB38">
        <v>1807</v>
      </c>
      <c r="AC38">
        <v>260</v>
      </c>
      <c r="AD38">
        <v>2.61</v>
      </c>
      <c r="AE38">
        <v>2000</v>
      </c>
      <c r="AF38">
        <v>0.692</v>
      </c>
      <c r="AG38">
        <v>0.154</v>
      </c>
      <c r="AH38">
        <v>0.122</v>
      </c>
      <c r="AI38">
        <v>611.06</v>
      </c>
      <c r="AJ38">
        <v>6.94</v>
      </c>
      <c r="AK38">
        <v>0</v>
      </c>
      <c r="AL38">
        <v>0</v>
      </c>
      <c r="AM38">
        <v>0</v>
      </c>
      <c r="AN38">
        <v>0</v>
      </c>
      <c r="AO38">
        <v>0</v>
      </c>
      <c r="AP38">
        <v>0.763</v>
      </c>
      <c r="AQ38">
        <v>0.218</v>
      </c>
      <c r="AR38">
        <v>0.42</v>
      </c>
      <c r="AS38" s="3">
        <v>46107.76552083333</v>
      </c>
    </row>
    <row r="39" ht="25.5" customHeight="1">
      <c r="A39" t="inlineStr">
        <is>
          <t>60799fde000000000101e705</t>
        </is>
      </c>
      <c r="B39" s="2" t="str">
        <f>=HYPERLINK("https://www.xiaohongshu.com/user/profile/60799fde000000000101e705", "https://www.xiaohongshu.com/user/profile/60799fde000000000101e705")</f>
        <v>https://www.xiaohongshu.com/user/profile/60799fde000000000101e705</v>
      </c>
      <c r="C39" s="2" t="str">
        <f>=HYPERLINK("https://pgy.xiaohongshu.com/solar/pre-trade/blogger-detail/60799fde000000000101e705", "https://pgy.xiaohongshu.com/solar/pre-trade/blogger-detail/60799fde000000000101e705")</f>
        <v>https://pgy.xiaohongshu.com/solar/pre-trade/blogger-detail/60799fde000000000101e705</v>
      </c>
      <c r="D39" t="inlineStr">
        <is>
          <t>男</t>
        </is>
      </c>
      <c r="E39" t="inlineStr">
        <is>
          <t>Wwh04222</t>
        </is>
      </c>
      <c r="F39" t="inlineStr">
        <is>
          <t>开心超人nie</t>
        </is>
      </c>
      <c r="G39" t="inlineStr">
        <is>
          <t>上海</t>
        </is>
      </c>
      <c r="H39" t="inlineStr">
        <is>
          <t>学生</t>
        </is>
      </c>
      <c r="I39" t="inlineStr">
        <is>
          <t>搞笑</t>
        </is>
      </c>
      <c r="J39">
        <v>67478</v>
      </c>
      <c r="K39" t="inlineStr">
        <is>
          <t>6.7</t>
        </is>
      </c>
      <c r="L39">
        <v>108653</v>
      </c>
      <c r="M39">
        <v>52449</v>
      </c>
      <c r="N39">
        <v>5711</v>
      </c>
      <c r="O39">
        <v>3000</v>
      </c>
      <c r="P39">
        <v>0.647</v>
      </c>
      <c r="Q39">
        <v>0.941</v>
      </c>
      <c r="R39">
        <v>0</v>
      </c>
      <c r="S39">
        <v>0</v>
      </c>
      <c r="T39">
        <v>0</v>
      </c>
      <c r="U39">
        <v>0</v>
      </c>
      <c r="V39">
        <v>3000</v>
      </c>
      <c r="W39">
        <v>0</v>
      </c>
      <c r="X39">
        <v>0</v>
      </c>
      <c r="Y39">
        <v>0</v>
      </c>
      <c r="Z39">
        <v>0</v>
      </c>
      <c r="AA39">
        <v>117674</v>
      </c>
      <c r="AB39">
        <v>56219</v>
      </c>
      <c r="AC39">
        <v>4732</v>
      </c>
      <c r="AD39">
        <v>1.62</v>
      </c>
      <c r="AE39">
        <v>6500</v>
      </c>
      <c r="AF39">
        <v>0.941</v>
      </c>
      <c r="AG39">
        <v>0.647</v>
      </c>
      <c r="AH39">
        <v>0.425</v>
      </c>
      <c r="AI39">
        <v>65.24</v>
      </c>
      <c r="AJ39">
        <v>1.41</v>
      </c>
      <c r="AK39">
        <v>610128</v>
      </c>
      <c r="AL39">
        <v>149185</v>
      </c>
      <c r="AM39">
        <v>1935</v>
      </c>
      <c r="AN39">
        <v>0</v>
      </c>
      <c r="AO39">
        <v>0</v>
      </c>
      <c r="AP39">
        <v>0.759</v>
      </c>
      <c r="AQ39">
        <v>0.124</v>
      </c>
      <c r="AR39">
        <v>0.123</v>
      </c>
      <c r="AS39" s="3">
        <v>46107.76552083333</v>
      </c>
    </row>
    <row r="40" ht="25.5" customHeight="1">
      <c r="A40" t="inlineStr">
        <is>
          <t>60e6f43e0000000020027547</t>
        </is>
      </c>
      <c r="B40" s="2" t="str">
        <f>=HYPERLINK("https://www.xiaohongshu.com/user/profile/60e6f43e0000000020027547", "https://www.xiaohongshu.com/user/profile/60e6f43e0000000020027547")</f>
        <v>https://www.xiaohongshu.com/user/profile/60e6f43e0000000020027547</v>
      </c>
      <c r="C40" s="2" t="str">
        <f>=HYPERLINK("https://pgy.xiaohongshu.com/solar/pre-trade/blogger-detail/60e6f43e0000000020027547", "https://pgy.xiaohongshu.com/solar/pre-trade/blogger-detail/60e6f43e0000000020027547")</f>
        <v>https://pgy.xiaohongshu.com/solar/pre-trade/blogger-detail/60e6f43e0000000020027547</v>
      </c>
      <c r="D40" t="inlineStr">
        <is>
          <t>女</t>
        </is>
      </c>
      <c r="E40" t="inlineStr">
        <is>
          <t>6383956053</t>
        </is>
      </c>
      <c r="F40" t="inlineStr">
        <is>
          <t>Werwer大王</t>
        </is>
      </c>
      <c r="G40" t="inlineStr">
        <is>
          <t>韩国</t>
        </is>
      </c>
      <c r="H40" t="inlineStr">
        <is>
          <t>留学背景, 学生</t>
        </is>
      </c>
      <c r="I40" t="inlineStr">
        <is>
          <t>出行旅游, 教育</t>
        </is>
      </c>
      <c r="J40">
        <v>41358</v>
      </c>
      <c r="K40" t="inlineStr">
        <is>
          <t>4.1</t>
        </is>
      </c>
      <c r="L40">
        <v>12885</v>
      </c>
      <c r="M40">
        <v>4216</v>
      </c>
      <c r="N40">
        <v>524</v>
      </c>
      <c r="O40">
        <v>1500</v>
      </c>
      <c r="P40">
        <v>0</v>
      </c>
      <c r="Q40">
        <v>0.857</v>
      </c>
      <c r="R40">
        <v>77</v>
      </c>
      <c r="S40">
        <v>7</v>
      </c>
      <c r="T40">
        <v>2</v>
      </c>
      <c r="U40">
        <v>15.76</v>
      </c>
      <c r="V40">
        <v>1500</v>
      </c>
      <c r="W40">
        <v>0</v>
      </c>
      <c r="X40">
        <v>0</v>
      </c>
      <c r="Y40">
        <v>724.81</v>
      </c>
      <c r="Z40">
        <v>214.29</v>
      </c>
      <c r="AA40">
        <v>13851</v>
      </c>
      <c r="AB40">
        <v>5003</v>
      </c>
      <c r="AC40">
        <v>527</v>
      </c>
      <c r="AD40">
        <v>2.5</v>
      </c>
      <c r="AE40">
        <v>5000</v>
      </c>
      <c r="AF40">
        <v>1</v>
      </c>
      <c r="AG40">
        <v>0</v>
      </c>
      <c r="AH40">
        <v>0.181</v>
      </c>
      <c r="AI40">
        <v>360.98</v>
      </c>
      <c r="AJ40">
        <v>8.93</v>
      </c>
      <c r="AK40">
        <v>4062</v>
      </c>
      <c r="AL40">
        <v>187</v>
      </c>
      <c r="AM40">
        <v>9</v>
      </c>
      <c r="AN40">
        <v>0</v>
      </c>
      <c r="AO40">
        <v>0</v>
      </c>
      <c r="AP40">
        <v>0.937</v>
      </c>
      <c r="AQ40">
        <v>0.038</v>
      </c>
      <c r="AR40">
        <v>0.003</v>
      </c>
      <c r="AS40" s="3">
        <v>46107.76552083333</v>
      </c>
    </row>
    <row r="41" ht="25.5" customHeight="1">
      <c r="A41" t="inlineStr">
        <is>
          <t>666a5d5f000000000b0338a2</t>
        </is>
      </c>
      <c r="B41" s="2" t="str">
        <f>=HYPERLINK("https://www.xiaohongshu.com/user/profile/666a5d5f000000000b0338a2", "https://www.xiaohongshu.com/user/profile/666a5d5f000000000b0338a2")</f>
        <v>https://www.xiaohongshu.com/user/profile/666a5d5f000000000b0338a2</v>
      </c>
      <c r="C41" s="2" t="str">
        <f>=HYPERLINK("https://pgy.xiaohongshu.com/solar/pre-trade/blogger-detail/666a5d5f000000000b0338a2", "https://pgy.xiaohongshu.com/solar/pre-trade/blogger-detail/666a5d5f000000000b0338a2")</f>
        <v>https://pgy.xiaohongshu.com/solar/pre-trade/blogger-detail/666a5d5f000000000b0338a2</v>
      </c>
      <c r="D41" t="inlineStr">
        <is>
          <t>女</t>
        </is>
      </c>
      <c r="E41" t="inlineStr">
        <is>
          <t>26506480923</t>
        </is>
      </c>
      <c r="F41" t="inlineStr">
        <is>
          <t>coookie</t>
        </is>
      </c>
      <c r="G41" t="inlineStr">
        <is>
          <t>云南 昆明 呈贡区</t>
        </is>
      </c>
      <c r="H41" t="inlineStr">
        <is>
          <t>学生, 手账爱好者</t>
        </is>
      </c>
      <c r="I41" t="inlineStr">
        <is>
          <t>兴趣爱好, 教育</t>
        </is>
      </c>
      <c r="J41">
        <v>11943</v>
      </c>
      <c r="K41" t="inlineStr">
        <is>
          <t>1.2</t>
        </is>
      </c>
      <c r="L41">
        <v>11278</v>
      </c>
      <c r="M41">
        <v>4507</v>
      </c>
      <c r="N41">
        <v>350</v>
      </c>
      <c r="O41">
        <v>600</v>
      </c>
      <c r="P41">
        <v>0.24</v>
      </c>
      <c r="Q41">
        <v>0.8</v>
      </c>
      <c r="R41">
        <v>0</v>
      </c>
      <c r="S41">
        <v>0</v>
      </c>
      <c r="T41">
        <v>0</v>
      </c>
      <c r="U41">
        <v>0</v>
      </c>
      <c r="V41">
        <v>600</v>
      </c>
      <c r="W41">
        <v>0</v>
      </c>
      <c r="X41">
        <v>0</v>
      </c>
      <c r="Y41">
        <v>0</v>
      </c>
      <c r="Z41">
        <v>0</v>
      </c>
      <c r="AA41">
        <v>11278</v>
      </c>
      <c r="AB41">
        <v>4507</v>
      </c>
      <c r="AC41">
        <v>312</v>
      </c>
      <c r="AD41">
        <v>1.88</v>
      </c>
      <c r="AE41">
        <v>900</v>
      </c>
      <c r="AF41">
        <v>0.8</v>
      </c>
      <c r="AG41">
        <v>0.24</v>
      </c>
      <c r="AH41">
        <v>0.0409999999999999</v>
      </c>
      <c r="AI41">
        <v>83.21</v>
      </c>
      <c r="AJ41">
        <v>2.69</v>
      </c>
      <c r="AK41">
        <v>5820</v>
      </c>
      <c r="AL41">
        <v>1085</v>
      </c>
      <c r="AM41">
        <v>144</v>
      </c>
      <c r="AN41">
        <v>0</v>
      </c>
      <c r="AO41">
        <v>2420</v>
      </c>
      <c r="AP41">
        <v>0.978</v>
      </c>
      <c r="AQ41">
        <v>0.237</v>
      </c>
      <c r="AR41">
        <v>0.258</v>
      </c>
      <c r="AS41" s="3">
        <v>46107.76552083333</v>
      </c>
    </row>
    <row r="42" ht="25.5" customHeight="1">
      <c r="A42" t="inlineStr">
        <is>
          <t>655b1b13000000001103f19b</t>
        </is>
      </c>
      <c r="B42" s="2" t="str">
        <f>=HYPERLINK("https://www.xiaohongshu.com/user/profile/655b1b13000000001103f19b", "https://www.xiaohongshu.com/user/profile/655b1b13000000001103f19b")</f>
        <v>https://www.xiaohongshu.com/user/profile/655b1b13000000001103f19b</v>
      </c>
      <c r="C42" s="2" t="str">
        <f>=HYPERLINK("https://pgy.xiaohongshu.com/solar/pre-trade/blogger-detail/655b1b13000000001103f19b", "https://pgy.xiaohongshu.com/solar/pre-trade/blogger-detail/655b1b13000000001103f19b")</f>
        <v>https://pgy.xiaohongshu.com/solar/pre-trade/blogger-detail/655b1b13000000001103f19b</v>
      </c>
      <c r="D42" t="inlineStr">
        <is>
          <t>女</t>
        </is>
      </c>
      <c r="E42" t="inlineStr">
        <is>
          <t>9116884703</t>
        </is>
      </c>
      <c r="F42" t="inlineStr">
        <is>
          <t>许我一场白日梦</t>
        </is>
      </c>
      <c r="G42" t="inlineStr">
        <is>
          <t>甘肃 兰州 城关区</t>
        </is>
      </c>
      <c r="H42" t="inlineStr">
        <is>
          <t>考研过来人, 学生</t>
        </is>
      </c>
      <c r="I42" t="inlineStr">
        <is>
          <t>教育, 科技数码</t>
        </is>
      </c>
      <c r="J42">
        <v>13551</v>
      </c>
      <c r="K42" t="inlineStr">
        <is>
          <t>1.4</t>
        </is>
      </c>
      <c r="L42">
        <v>22987</v>
      </c>
      <c r="M42">
        <v>2721</v>
      </c>
      <c r="N42">
        <v>330</v>
      </c>
      <c r="O42">
        <v>1000</v>
      </c>
      <c r="P42">
        <v>0</v>
      </c>
      <c r="Q42">
        <v>0.75</v>
      </c>
      <c r="R42">
        <v>22651</v>
      </c>
      <c r="S42">
        <v>2699</v>
      </c>
      <c r="T42">
        <v>225</v>
      </c>
      <c r="U42">
        <v>0.7</v>
      </c>
      <c r="V42">
        <v>1000</v>
      </c>
      <c r="W42">
        <v>0.714</v>
      </c>
      <c r="X42">
        <v>0</v>
      </c>
      <c r="Y42">
        <v>46.34</v>
      </c>
      <c r="Z42">
        <v>3.44</v>
      </c>
      <c r="AA42">
        <v>27219</v>
      </c>
      <c r="AB42">
        <v>2748</v>
      </c>
      <c r="AC42">
        <v>387</v>
      </c>
      <c r="AD42">
        <v>2.04</v>
      </c>
      <c r="AE42">
        <v>1400</v>
      </c>
      <c r="AF42">
        <v>1</v>
      </c>
      <c r="AG42">
        <v>0</v>
      </c>
      <c r="AH42">
        <v>0.100999999999999</v>
      </c>
      <c r="AI42">
        <v>61.41</v>
      </c>
      <c r="AJ42">
        <v>3.95</v>
      </c>
      <c r="AK42">
        <v>20784</v>
      </c>
      <c r="AL42">
        <v>2396</v>
      </c>
      <c r="AM42">
        <v>284</v>
      </c>
      <c r="AN42">
        <v>0</v>
      </c>
      <c r="AO42">
        <v>12.19</v>
      </c>
      <c r="AP42">
        <v>0.602</v>
      </c>
      <c r="AQ42">
        <v>0.051</v>
      </c>
      <c r="AR42">
        <v>0.048</v>
      </c>
      <c r="AS42" s="3">
        <v>46107.76574074074</v>
      </c>
    </row>
    <row r="43" ht="25.5" customHeight="1">
      <c r="A43" t="inlineStr">
        <is>
          <t>5f12571a000000000101d017</t>
        </is>
      </c>
      <c r="B43" s="2" t="str">
        <f>=HYPERLINK("https://www.xiaohongshu.com/user/profile/5f12571a000000000101d017", "https://www.xiaohongshu.com/user/profile/5f12571a000000000101d017")</f>
        <v>https://www.xiaohongshu.com/user/profile/5f12571a000000000101d017</v>
      </c>
      <c r="C43" s="2" t="str">
        <f>=HYPERLINK("https://pgy.xiaohongshu.com/solar/pre-trade/blogger-detail/5f12571a000000000101d017", "https://pgy.xiaohongshu.com/solar/pre-trade/blogger-detail/5f12571a000000000101d017")</f>
        <v>https://pgy.xiaohongshu.com/solar/pre-trade/blogger-detail/5f12571a000000000101d017</v>
      </c>
      <c r="D43" t="inlineStr">
        <is>
          <t>男</t>
        </is>
      </c>
      <c r="E43" t="inlineStr">
        <is>
          <t>ycj13541708726</t>
        </is>
      </c>
      <c r="F43" t="inlineStr">
        <is>
          <t>半个彭于晏</t>
        </is>
      </c>
      <c r="G43" t="inlineStr">
        <is>
          <t>江苏 徐州 铜山区</t>
        </is>
      </c>
      <c r="H43" t="inlineStr">
        <is>
          <t>学生</t>
        </is>
      </c>
      <c r="I43" t="inlineStr">
        <is>
          <t>教育, 运动健身</t>
        </is>
      </c>
      <c r="J43">
        <v>28111</v>
      </c>
      <c r="K43" t="inlineStr">
        <is>
          <t>2.8</t>
        </is>
      </c>
      <c r="L43">
        <v>11023</v>
      </c>
      <c r="M43">
        <v>2823</v>
      </c>
      <c r="N43">
        <v>534</v>
      </c>
      <c r="O43">
        <v>1500</v>
      </c>
      <c r="P43">
        <v>0.053</v>
      </c>
      <c r="Q43">
        <v>1</v>
      </c>
      <c r="R43">
        <v>0</v>
      </c>
      <c r="S43">
        <v>0</v>
      </c>
      <c r="T43">
        <v>0</v>
      </c>
      <c r="U43">
        <v>0</v>
      </c>
      <c r="V43">
        <v>1500</v>
      </c>
      <c r="W43">
        <v>0</v>
      </c>
      <c r="X43">
        <v>0</v>
      </c>
      <c r="Y43">
        <v>0</v>
      </c>
      <c r="Z43">
        <v>0</v>
      </c>
      <c r="AA43">
        <v>11023</v>
      </c>
      <c r="AB43">
        <v>2823</v>
      </c>
      <c r="AC43">
        <v>468</v>
      </c>
      <c r="AD43">
        <v>2.47</v>
      </c>
      <c r="AE43">
        <v>2800</v>
      </c>
      <c r="AF43">
        <v>1</v>
      </c>
      <c r="AG43">
        <v>0.053</v>
      </c>
      <c r="AH43">
        <v>0.077</v>
      </c>
      <c r="AI43">
        <v>248.67</v>
      </c>
      <c r="AJ43">
        <v>5.24</v>
      </c>
      <c r="AK43">
        <v>37944</v>
      </c>
      <c r="AL43">
        <v>6503</v>
      </c>
      <c r="AM43">
        <v>528</v>
      </c>
      <c r="AN43">
        <v>26</v>
      </c>
      <c r="AO43">
        <v>85.59</v>
      </c>
      <c r="AP43">
        <v>0.895</v>
      </c>
      <c r="AQ43">
        <v>0.108</v>
      </c>
      <c r="AR43">
        <v>0.142</v>
      </c>
      <c r="AS43" s="3">
        <v>46107.76574074074</v>
      </c>
    </row>
    <row r="44" ht="25.5" customHeight="1">
      <c r="A44" t="inlineStr">
        <is>
          <t>6281cb8300000000210295ad</t>
        </is>
      </c>
      <c r="B44" s="2" t="str">
        <f>=HYPERLINK("https://www.xiaohongshu.com/user/profile/6281cb8300000000210295ad", "https://www.xiaohongshu.com/user/profile/6281cb8300000000210295ad")</f>
        <v>https://www.xiaohongshu.com/user/profile/6281cb8300000000210295ad</v>
      </c>
      <c r="C44" s="2" t="str">
        <f>=HYPERLINK("https://pgy.xiaohongshu.com/solar/pre-trade/blogger-detail/6281cb8300000000210295ad", "https://pgy.xiaohongshu.com/solar/pre-trade/blogger-detail/6281cb8300000000210295ad")</f>
        <v>https://pgy.xiaohongshu.com/solar/pre-trade/blogger-detail/6281cb8300000000210295ad</v>
      </c>
      <c r="D44" t="inlineStr">
        <is>
          <t>男</t>
        </is>
      </c>
      <c r="E44" t="inlineStr">
        <is>
          <t>5650687772</t>
        </is>
      </c>
      <c r="F44" t="inlineStr">
        <is>
          <t>家裔</t>
        </is>
      </c>
      <c r="G44" t="inlineStr">
        <is>
          <t>韩国</t>
        </is>
      </c>
      <c r="H44" t="inlineStr">
        <is>
          <t>学生, 留学背景, 独居人群</t>
        </is>
      </c>
      <c r="I44" t="inlineStr">
        <is>
          <t>教育</t>
        </is>
      </c>
      <c r="J44">
        <v>14264</v>
      </c>
      <c r="K44" t="inlineStr">
        <is>
          <t>1.4</t>
        </is>
      </c>
      <c r="L44">
        <v>22622</v>
      </c>
      <c r="M44">
        <v>8156</v>
      </c>
      <c r="N44">
        <v>380</v>
      </c>
      <c r="O44">
        <v>1500</v>
      </c>
      <c r="P44">
        <v>0.166999999999999</v>
      </c>
      <c r="Q44">
        <v>1</v>
      </c>
      <c r="R44">
        <v>0</v>
      </c>
      <c r="S44">
        <v>0</v>
      </c>
      <c r="T44">
        <v>0</v>
      </c>
      <c r="U44">
        <v>0</v>
      </c>
      <c r="V44">
        <v>1500</v>
      </c>
      <c r="W44">
        <v>0</v>
      </c>
      <c r="X44">
        <v>0</v>
      </c>
      <c r="Y44">
        <v>0</v>
      </c>
      <c r="Z44">
        <v>0</v>
      </c>
      <c r="AA44">
        <v>22622</v>
      </c>
      <c r="AB44">
        <v>8156</v>
      </c>
      <c r="AC44">
        <v>339</v>
      </c>
      <c r="AD44">
        <v>1.81</v>
      </c>
      <c r="AE44">
        <v>3000</v>
      </c>
      <c r="AF44">
        <v>1</v>
      </c>
      <c r="AG44">
        <v>0.166999999999999</v>
      </c>
      <c r="AH44">
        <v>0.217</v>
      </c>
      <c r="AI44">
        <v>113.94</v>
      </c>
      <c r="AJ44">
        <v>7.59</v>
      </c>
      <c r="AK44">
        <v>130880</v>
      </c>
      <c r="AL44">
        <v>19200</v>
      </c>
      <c r="AM44">
        <v>519</v>
      </c>
      <c r="AN44">
        <v>0</v>
      </c>
      <c r="AO44">
        <v>0</v>
      </c>
      <c r="AP44">
        <v>0.939</v>
      </c>
      <c r="AQ44">
        <v>0.072</v>
      </c>
      <c r="AR44">
        <v>0.092</v>
      </c>
      <c r="AS44" s="3">
        <v>46107.76574074074</v>
      </c>
    </row>
    <row r="45" ht="25.5" customHeight="1">
      <c r="A45" t="inlineStr">
        <is>
          <t>62daaca2000000001f005752</t>
        </is>
      </c>
      <c r="B45" s="2" t="str">
        <f>=HYPERLINK("https://www.xiaohongshu.com/user/profile/62daaca2000000001f005752", "https://www.xiaohongshu.com/user/profile/62daaca2000000001f005752")</f>
        <v>https://www.xiaohongshu.com/user/profile/62daaca2000000001f005752</v>
      </c>
      <c r="C45" s="2" t="str">
        <f>=HYPERLINK("https://pgy.xiaohongshu.com/solar/pre-trade/blogger-detail/62daaca2000000001f005752", "https://pgy.xiaohongshu.com/solar/pre-trade/blogger-detail/62daaca2000000001f005752")</f>
        <v>https://pgy.xiaohongshu.com/solar/pre-trade/blogger-detail/62daaca2000000001f005752</v>
      </c>
      <c r="D45" t="inlineStr">
        <is>
          <t>女</t>
        </is>
      </c>
      <c r="E45" t="inlineStr">
        <is>
          <t>jufer2023</t>
        </is>
      </c>
      <c r="F45" t="inlineStr">
        <is>
          <t>春山不度</t>
        </is>
      </c>
      <c r="G45" t="inlineStr">
        <is>
          <t>江西 南昌 新建区</t>
        </is>
      </c>
      <c r="H45" t="inlineStr">
        <is>
          <t>考研过来人, 手账爱好者, 学生, 独居人群</t>
        </is>
      </c>
      <c r="I45" t="inlineStr">
        <is>
          <t>教育, 生活记录</t>
        </is>
      </c>
      <c r="J45">
        <v>24633</v>
      </c>
      <c r="K45" t="inlineStr">
        <is>
          <t>2.5</t>
        </is>
      </c>
      <c r="L45">
        <v>40520</v>
      </c>
      <c r="M45">
        <v>9053</v>
      </c>
      <c r="N45">
        <v>920</v>
      </c>
      <c r="O45">
        <v>1550</v>
      </c>
      <c r="P45">
        <v>0.2</v>
      </c>
      <c r="Q45">
        <v>1</v>
      </c>
      <c r="R45">
        <v>3139</v>
      </c>
      <c r="S45">
        <v>1202</v>
      </c>
      <c r="T45">
        <v>160</v>
      </c>
      <c r="U45">
        <v>1.59</v>
      </c>
      <c r="V45">
        <v>1550</v>
      </c>
      <c r="W45">
        <v>1</v>
      </c>
      <c r="X45">
        <v>0</v>
      </c>
      <c r="Y45">
        <v>493.79</v>
      </c>
      <c r="Z45">
        <v>9.39</v>
      </c>
      <c r="AA45">
        <v>46749</v>
      </c>
      <c r="AB45">
        <v>10593</v>
      </c>
      <c r="AC45">
        <v>900</v>
      </c>
      <c r="AD45">
        <v>1.79</v>
      </c>
      <c r="AE45">
        <v>3120</v>
      </c>
      <c r="AF45">
        <v>1</v>
      </c>
      <c r="AG45">
        <v>0.222</v>
      </c>
      <c r="AH45">
        <v>0.076</v>
      </c>
      <c r="AI45">
        <v>95.8</v>
      </c>
      <c r="AJ45">
        <v>3.43</v>
      </c>
      <c r="AK45">
        <v>59135</v>
      </c>
      <c r="AL45">
        <v>12278</v>
      </c>
      <c r="AM45">
        <v>630</v>
      </c>
      <c r="AN45">
        <v>0</v>
      </c>
      <c r="AO45">
        <v>202.45</v>
      </c>
      <c r="AP45">
        <v>0.897</v>
      </c>
      <c r="AQ45">
        <v>0.149</v>
      </c>
      <c r="AR45">
        <v>0.122</v>
      </c>
      <c r="AS45" s="3">
        <v>46107.76574074074</v>
      </c>
    </row>
    <row r="46" ht="25.5" customHeight="1">
      <c r="A46" t="inlineStr">
        <is>
          <t>61e594b0000000001000f68e</t>
        </is>
      </c>
      <c r="B46" s="2" t="str">
        <f>=HYPERLINK("https://www.xiaohongshu.com/user/profile/61e594b0000000001000f68e", "https://www.xiaohongshu.com/user/profile/61e594b0000000001000f68e")</f>
        <v>https://www.xiaohongshu.com/user/profile/61e594b0000000001000f68e</v>
      </c>
      <c r="C46" s="2" t="str">
        <f>=HYPERLINK("https://pgy.xiaohongshu.com/solar/pre-trade/blogger-detail/61e594b0000000001000f68e", "https://pgy.xiaohongshu.com/solar/pre-trade/blogger-detail/61e594b0000000001000f68e")</f>
        <v>https://pgy.xiaohongshu.com/solar/pre-trade/blogger-detail/61e594b0000000001000f68e</v>
      </c>
      <c r="D46" t="inlineStr">
        <is>
          <t>女</t>
        </is>
      </c>
      <c r="E46" t="inlineStr">
        <is>
          <t>tudouniDouble</t>
        </is>
      </c>
      <c r="F46" t="inlineStr">
        <is>
          <t>多多多多土豆泥</t>
        </is>
      </c>
      <c r="G46" t="inlineStr">
        <is>
          <t>江苏 南京 江宁区</t>
        </is>
      </c>
      <c r="H46" t="inlineStr">
        <is>
          <t>学生</t>
        </is>
      </c>
      <c r="I46" t="inlineStr">
        <is>
          <t>教育</t>
        </is>
      </c>
      <c r="J46">
        <v>15383</v>
      </c>
      <c r="K46" t="inlineStr">
        <is>
          <t>1.5</t>
        </is>
      </c>
      <c r="L46">
        <v>17262</v>
      </c>
      <c r="M46">
        <v>3926</v>
      </c>
      <c r="N46">
        <v>344</v>
      </c>
      <c r="O46">
        <v>360</v>
      </c>
      <c r="P46">
        <v>0.182</v>
      </c>
      <c r="Q46">
        <v>0.879</v>
      </c>
      <c r="R46">
        <v>8748</v>
      </c>
      <c r="S46">
        <v>1218</v>
      </c>
      <c r="T46">
        <v>118</v>
      </c>
      <c r="U46">
        <v>0.58</v>
      </c>
      <c r="V46">
        <v>360</v>
      </c>
      <c r="W46">
        <v>0</v>
      </c>
      <c r="X46">
        <v>0</v>
      </c>
      <c r="Y46">
        <v>40.98</v>
      </c>
      <c r="Z46">
        <v>2.79</v>
      </c>
      <c r="AA46">
        <v>17590</v>
      </c>
      <c r="AB46">
        <v>4698</v>
      </c>
      <c r="AC46">
        <v>376</v>
      </c>
      <c r="AD46">
        <v>1.6</v>
      </c>
      <c r="AE46">
        <v>450</v>
      </c>
      <c r="AF46">
        <v>0.935</v>
      </c>
      <c r="AG46">
        <v>0.193999999999999</v>
      </c>
      <c r="AH46">
        <v>0.079</v>
      </c>
      <c r="AI46">
        <v>25.82</v>
      </c>
      <c r="AJ46">
        <v>1.21</v>
      </c>
      <c r="AK46">
        <v>12855</v>
      </c>
      <c r="AL46">
        <v>1858</v>
      </c>
      <c r="AM46">
        <v>253</v>
      </c>
      <c r="AN46">
        <v>72</v>
      </c>
      <c r="AO46">
        <v>4.58</v>
      </c>
      <c r="AP46">
        <v>0.971</v>
      </c>
      <c r="AQ46">
        <v>0.285</v>
      </c>
      <c r="AR46">
        <v>0.33</v>
      </c>
      <c r="AS46" s="3">
        <v>46107.76574074074</v>
      </c>
    </row>
    <row r="47" ht="25.5" customHeight="1">
      <c r="A47" t="inlineStr">
        <is>
          <t>68c063f4000000001900c8e6</t>
        </is>
      </c>
      <c r="B47" s="2" t="str">
        <f>=HYPERLINK("https://www.xiaohongshu.com/user/profile/68c063f4000000001900c8e6", "https://www.xiaohongshu.com/user/profile/68c063f4000000001900c8e6")</f>
        <v>https://www.xiaohongshu.com/user/profile/68c063f4000000001900c8e6</v>
      </c>
      <c r="C47" s="2" t="str">
        <f>=HYPERLINK("https://pgy.xiaohongshu.com/solar/pre-trade/blogger-detail/68c063f4000000001900c8e6", "https://pgy.xiaohongshu.com/solar/pre-trade/blogger-detail/68c063f4000000001900c8e6")</f>
        <v>https://pgy.xiaohongshu.com/solar/pre-trade/blogger-detail/68c063f4000000001900c8e6</v>
      </c>
      <c r="D47" t="inlineStr">
        <is>
          <t>女</t>
        </is>
      </c>
      <c r="E47" t="inlineStr">
        <is>
          <t>18983953192</t>
        </is>
      </c>
      <c r="F47" t="inlineStr">
        <is>
          <t>土猫（小意留学版</t>
        </is>
      </c>
      <c r="G47" t="inlineStr">
        <is>
          <t>意大利</t>
        </is>
      </c>
      <c r="H47" t="inlineStr">
        <is>
          <t>海外华人, 留学背景, 学生, 独居人群</t>
        </is>
      </c>
      <c r="I47" t="inlineStr">
        <is>
          <t>教育, 美食</t>
        </is>
      </c>
      <c r="J47">
        <v>3850</v>
      </c>
      <c r="K47" t="inlineStr">
        <is>
          <t>0.4</t>
        </is>
      </c>
      <c r="L47">
        <v>13961</v>
      </c>
      <c r="M47">
        <v>2889</v>
      </c>
      <c r="N47">
        <v>214</v>
      </c>
      <c r="O47">
        <v>199</v>
      </c>
      <c r="P47">
        <v>0.235</v>
      </c>
      <c r="Q47">
        <v>0.588</v>
      </c>
      <c r="R47">
        <v>3889</v>
      </c>
      <c r="S47">
        <v>494</v>
      </c>
      <c r="T47">
        <v>16</v>
      </c>
      <c r="U47">
        <v>0.6</v>
      </c>
      <c r="V47">
        <v>199</v>
      </c>
      <c r="W47">
        <v>0</v>
      </c>
      <c r="X47">
        <v>0</v>
      </c>
      <c r="Y47">
        <v>39.25</v>
      </c>
      <c r="Z47">
        <v>10.47</v>
      </c>
      <c r="AA47">
        <v>18020</v>
      </c>
      <c r="AB47">
        <v>4503</v>
      </c>
      <c r="AC47">
        <v>281</v>
      </c>
      <c r="AD47">
        <v>1.67</v>
      </c>
      <c r="AE47">
        <v>499</v>
      </c>
      <c r="AF47">
        <v>0.667</v>
      </c>
      <c r="AG47">
        <v>0.267</v>
      </c>
      <c r="AH47">
        <v>0.168</v>
      </c>
      <c r="AI47">
        <v>35.74</v>
      </c>
      <c r="AJ47">
        <v>1.84</v>
      </c>
      <c r="AK47">
        <v>8847</v>
      </c>
      <c r="AL47">
        <v>1102</v>
      </c>
      <c r="AM47">
        <v>43</v>
      </c>
      <c r="AN47">
        <v>0</v>
      </c>
      <c r="AO47">
        <v>0</v>
      </c>
      <c r="AP47">
        <v>0.974</v>
      </c>
      <c r="AQ47">
        <v>0.267</v>
      </c>
      <c r="AR47">
        <v>0.912999999999999</v>
      </c>
      <c r="AS47" s="3">
        <v>46107.76574074074</v>
      </c>
    </row>
    <row r="48" ht="25.5" customHeight="1">
      <c r="A48" t="inlineStr">
        <is>
          <t>64f9e8940000000005001627</t>
        </is>
      </c>
      <c r="B48" s="2" t="str">
        <f>=HYPERLINK("https://www.xiaohongshu.com/user/profile/64f9e8940000000005001627", "https://www.xiaohongshu.com/user/profile/64f9e8940000000005001627")</f>
        <v>https://www.xiaohongshu.com/user/profile/64f9e8940000000005001627</v>
      </c>
      <c r="C48" s="2" t="str">
        <f>=HYPERLINK("https://pgy.xiaohongshu.com/solar/pre-trade/blogger-detail/64f9e8940000000005001627", "https://pgy.xiaohongshu.com/solar/pre-trade/blogger-detail/64f9e8940000000005001627")</f>
        <v>https://pgy.xiaohongshu.com/solar/pre-trade/blogger-detail/64f9e8940000000005001627</v>
      </c>
      <c r="D48" t="inlineStr">
        <is>
          <t>男</t>
        </is>
      </c>
      <c r="E48" t="inlineStr">
        <is>
          <t>3517812954</t>
        </is>
      </c>
      <c r="F48" t="inlineStr">
        <is>
          <t>是子淇呀💡疲惫版</t>
        </is>
      </c>
      <c r="G48" t="inlineStr">
        <is>
          <t>辽宁 沈阳 和平区</t>
        </is>
      </c>
      <c r="H48" t="inlineStr">
        <is>
          <t>考研过来人, 学生</t>
        </is>
      </c>
      <c r="I48" t="inlineStr">
        <is>
          <t>职场, 教育, 健康养生</t>
        </is>
      </c>
      <c r="J48">
        <v>23893</v>
      </c>
      <c r="K48" t="inlineStr">
        <is>
          <t>2.4</t>
        </is>
      </c>
      <c r="L48">
        <v>10058</v>
      </c>
      <c r="M48">
        <v>2397</v>
      </c>
      <c r="N48">
        <v>175</v>
      </c>
      <c r="O48">
        <v>1500</v>
      </c>
      <c r="P48">
        <v>0.091</v>
      </c>
      <c r="Q48">
        <v>0.455</v>
      </c>
      <c r="R48">
        <v>0</v>
      </c>
      <c r="S48">
        <v>0</v>
      </c>
      <c r="T48">
        <v>0</v>
      </c>
      <c r="U48">
        <v>37.8</v>
      </c>
      <c r="V48">
        <v>1500</v>
      </c>
      <c r="W48">
        <v>0</v>
      </c>
      <c r="X48">
        <v>0</v>
      </c>
      <c r="Y48">
        <v>1984.13</v>
      </c>
      <c r="Z48">
        <v>500</v>
      </c>
      <c r="AA48">
        <v>10058</v>
      </c>
      <c r="AB48">
        <v>2397</v>
      </c>
      <c r="AC48">
        <v>166</v>
      </c>
      <c r="AD48">
        <v>2.47</v>
      </c>
      <c r="AE48">
        <v>3000</v>
      </c>
      <c r="AF48">
        <v>0.455</v>
      </c>
      <c r="AG48">
        <v>0.091</v>
      </c>
      <c r="AH48">
        <v>0.079</v>
      </c>
      <c r="AI48">
        <v>221.22</v>
      </c>
      <c r="AJ48">
        <v>16.39</v>
      </c>
      <c r="AK48">
        <v>30817</v>
      </c>
      <c r="AL48">
        <v>5323</v>
      </c>
      <c r="AM48">
        <v>166</v>
      </c>
      <c r="AN48">
        <v>0</v>
      </c>
      <c r="AO48">
        <v>10.38</v>
      </c>
      <c r="AP48">
        <v>0.721</v>
      </c>
      <c r="AQ48">
        <v>0.059</v>
      </c>
      <c r="AR48">
        <v>0.061</v>
      </c>
      <c r="AS48" s="3">
        <v>46107.76574074074</v>
      </c>
    </row>
    <row r="49" ht="25.5" customHeight="1">
      <c r="A49" t="inlineStr">
        <is>
          <t>5f9bc91400000000010054e2</t>
        </is>
      </c>
      <c r="B49" s="2" t="str">
        <f>=HYPERLINK("https://www.xiaohongshu.com/user/profile/5f9bc91400000000010054e2", "https://www.xiaohongshu.com/user/profile/5f9bc91400000000010054e2")</f>
        <v>https://www.xiaohongshu.com/user/profile/5f9bc91400000000010054e2</v>
      </c>
      <c r="C49" s="2" t="str">
        <f>=HYPERLINK("https://pgy.xiaohongshu.com/solar/pre-trade/blogger-detail/5f9bc91400000000010054e2", "https://pgy.xiaohongshu.com/solar/pre-trade/blogger-detail/5f9bc91400000000010054e2")</f>
        <v>https://pgy.xiaohongshu.com/solar/pre-trade/blogger-detail/5f9bc91400000000010054e2</v>
      </c>
      <c r="D49" t="inlineStr">
        <is>
          <t>男</t>
        </is>
      </c>
      <c r="E49" t="inlineStr">
        <is>
          <t>BenBenxuan</t>
        </is>
      </c>
      <c r="F49" t="inlineStr">
        <is>
          <t>猪王本王</t>
        </is>
      </c>
      <c r="G49" t="inlineStr">
        <is>
          <t>日本</t>
        </is>
      </c>
      <c r="H49" t="inlineStr">
        <is>
          <t>留学背景, 海外华人, 学生, 运动员</t>
        </is>
      </c>
      <c r="I49" t="inlineStr">
        <is>
          <t>教育, 生活记录</t>
        </is>
      </c>
      <c r="J49">
        <v>31521</v>
      </c>
      <c r="K49" t="inlineStr">
        <is>
          <t>3.2</t>
        </is>
      </c>
      <c r="L49">
        <v>18267</v>
      </c>
      <c r="M49">
        <v>5792</v>
      </c>
      <c r="N49">
        <v>1122</v>
      </c>
      <c r="O49">
        <v>2000</v>
      </c>
      <c r="P49">
        <v>0.444</v>
      </c>
      <c r="Q49">
        <v>1</v>
      </c>
      <c r="R49">
        <v>0</v>
      </c>
      <c r="S49">
        <v>0</v>
      </c>
      <c r="T49">
        <v>0</v>
      </c>
      <c r="U49">
        <v>0</v>
      </c>
      <c r="V49">
        <v>2000</v>
      </c>
      <c r="W49">
        <v>0</v>
      </c>
      <c r="X49">
        <v>0</v>
      </c>
      <c r="Y49">
        <v>0</v>
      </c>
      <c r="Z49">
        <v>0</v>
      </c>
      <c r="AA49">
        <v>18267</v>
      </c>
      <c r="AB49">
        <v>5792</v>
      </c>
      <c r="AC49">
        <v>1136</v>
      </c>
      <c r="AD49">
        <v>2.14</v>
      </c>
      <c r="AE49">
        <v>3500</v>
      </c>
      <c r="AF49">
        <v>1</v>
      </c>
      <c r="AG49">
        <v>0.444</v>
      </c>
      <c r="AH49">
        <v>0.0969999999999999</v>
      </c>
      <c r="AI49">
        <v>196.02</v>
      </c>
      <c r="AJ49">
        <v>3.12</v>
      </c>
      <c r="AK49">
        <v>4138</v>
      </c>
      <c r="AL49">
        <v>2202</v>
      </c>
      <c r="AM49">
        <v>387</v>
      </c>
      <c r="AN49">
        <v>28</v>
      </c>
      <c r="AO49">
        <v>136.96</v>
      </c>
      <c r="AP49">
        <v>0.912999999999999</v>
      </c>
      <c r="AQ49">
        <v>0.114</v>
      </c>
      <c r="AR49">
        <v>0.045</v>
      </c>
      <c r="AS49" s="3">
        <v>46107.76574074074</v>
      </c>
    </row>
    <row r="50" ht="25.5" customHeight="1">
      <c r="A50" t="inlineStr">
        <is>
          <t>649ec731000000000b014aed</t>
        </is>
      </c>
      <c r="B50" s="2" t="str">
        <f>=HYPERLINK("https://www.xiaohongshu.com/user/profile/649ec731000000000b014aed", "https://www.xiaohongshu.com/user/profile/649ec731000000000b014aed")</f>
        <v>https://www.xiaohongshu.com/user/profile/649ec731000000000b014aed</v>
      </c>
      <c r="C50" s="2" t="str">
        <f>=HYPERLINK("https://pgy.xiaohongshu.com/solar/pre-trade/blogger-detail/649ec731000000000b014aed", "https://pgy.xiaohongshu.com/solar/pre-trade/blogger-detail/649ec731000000000b014aed")</f>
        <v>https://pgy.xiaohongshu.com/solar/pre-trade/blogger-detail/649ec731000000000b014aed</v>
      </c>
      <c r="D50" t="inlineStr">
        <is>
          <t>女</t>
        </is>
      </c>
      <c r="E50" t="inlineStr">
        <is>
          <t>6864702405</t>
        </is>
      </c>
      <c r="F50" t="inlineStr">
        <is>
          <t>酷炫yeye（读博版）🍀</t>
        </is>
      </c>
      <c r="G50" t="inlineStr">
        <is>
          <t>北京</t>
        </is>
      </c>
      <c r="H50" t="inlineStr">
        <is>
          <t>考研过来人, 学生</t>
        </is>
      </c>
      <c r="I50" t="inlineStr">
        <is>
          <t>教育, 文化艺术</t>
        </is>
      </c>
      <c r="J50">
        <v>34984</v>
      </c>
      <c r="K50" t="inlineStr">
        <is>
          <t>3.5</t>
        </is>
      </c>
      <c r="L50">
        <v>36027</v>
      </c>
      <c r="M50">
        <v>9126</v>
      </c>
      <c r="N50">
        <v>805</v>
      </c>
      <c r="O50">
        <v>500</v>
      </c>
      <c r="P50">
        <v>0.286</v>
      </c>
      <c r="Q50">
        <v>0.571</v>
      </c>
      <c r="R50">
        <v>6335</v>
      </c>
      <c r="S50">
        <v>606</v>
      </c>
      <c r="T50">
        <v>140</v>
      </c>
      <c r="U50">
        <v>1.19</v>
      </c>
      <c r="V50">
        <v>500</v>
      </c>
      <c r="W50">
        <v>0</v>
      </c>
      <c r="X50">
        <v>0</v>
      </c>
      <c r="Y50">
        <v>66.6</v>
      </c>
      <c r="Z50">
        <v>71.43</v>
      </c>
      <c r="AA50">
        <v>47408</v>
      </c>
      <c r="AB50">
        <v>9820</v>
      </c>
      <c r="AC50">
        <v>886</v>
      </c>
      <c r="AD50">
        <v>1.58</v>
      </c>
      <c r="AE50">
        <v>800</v>
      </c>
      <c r="AF50">
        <v>0.667</v>
      </c>
      <c r="AG50">
        <v>0.332999999999999</v>
      </c>
      <c r="AH50">
        <v>0.024</v>
      </c>
      <c r="AI50">
        <v>16.87</v>
      </c>
      <c r="AJ50">
        <v>0.82</v>
      </c>
      <c r="AK50">
        <v>9941</v>
      </c>
      <c r="AL50">
        <v>473</v>
      </c>
      <c r="AM50">
        <v>6</v>
      </c>
      <c r="AN50">
        <v>3</v>
      </c>
      <c r="AO50">
        <v>171.2</v>
      </c>
      <c r="AP50">
        <v>0.982</v>
      </c>
      <c r="AQ50">
        <v>0.24</v>
      </c>
      <c r="AR50">
        <v>1.047</v>
      </c>
      <c r="AS50" s="3">
        <v>46107.76574074074</v>
      </c>
    </row>
    <row r="51" ht="25.5" customHeight="1">
      <c r="A51" t="inlineStr">
        <is>
          <t>662fa33b00000000070073de</t>
        </is>
      </c>
      <c r="B51" s="2" t="str">
        <f>=HYPERLINK("https://www.xiaohongshu.com/user/profile/662fa33b00000000070073de", "https://www.xiaohongshu.com/user/profile/662fa33b00000000070073de")</f>
        <v>https://www.xiaohongshu.com/user/profile/662fa33b00000000070073de</v>
      </c>
      <c r="C51" s="2" t="str">
        <f>=HYPERLINK("https://pgy.xiaohongshu.com/solar/pre-trade/blogger-detail/662fa33b00000000070073de", "https://pgy.xiaohongshu.com/solar/pre-trade/blogger-detail/662fa33b00000000070073de")</f>
        <v>https://pgy.xiaohongshu.com/solar/pre-trade/blogger-detail/662fa33b00000000070073de</v>
      </c>
      <c r="D51" t="inlineStr">
        <is>
          <t>女</t>
        </is>
      </c>
      <c r="E51" t="inlineStr">
        <is>
          <t>26560430832</t>
        </is>
      </c>
      <c r="F51" t="inlineStr">
        <is>
          <t>超级小喵^</t>
        </is>
      </c>
      <c r="G51" t="inlineStr">
        <is>
          <t>海南 儋州</t>
        </is>
      </c>
      <c r="H51"/>
      <c r="I51" t="inlineStr">
        <is>
          <t>教育</t>
        </is>
      </c>
      <c r="J51">
        <v>7875</v>
      </c>
      <c r="K51" t="inlineStr">
        <is>
          <t>0.8</t>
        </is>
      </c>
      <c r="L51">
        <v>11096</v>
      </c>
      <c r="M51">
        <v>3107</v>
      </c>
      <c r="N51">
        <v>901</v>
      </c>
      <c r="O51">
        <v>900</v>
      </c>
      <c r="P51">
        <v>0.4</v>
      </c>
      <c r="Q51">
        <v>0.9</v>
      </c>
      <c r="R51">
        <v>0</v>
      </c>
      <c r="S51">
        <v>0</v>
      </c>
      <c r="T51">
        <v>0</v>
      </c>
      <c r="U51">
        <v>0</v>
      </c>
      <c r="V51">
        <v>900</v>
      </c>
      <c r="W51">
        <v>0</v>
      </c>
      <c r="X51">
        <v>0</v>
      </c>
      <c r="Y51">
        <v>0</v>
      </c>
      <c r="Z51">
        <v>0</v>
      </c>
      <c r="AA51">
        <v>11096</v>
      </c>
      <c r="AB51">
        <v>3107</v>
      </c>
      <c r="AC51">
        <v>694</v>
      </c>
      <c r="AD51">
        <v>2.01</v>
      </c>
      <c r="AE51">
        <v>1500</v>
      </c>
      <c r="AF51">
        <v>0.9</v>
      </c>
      <c r="AG51">
        <v>0.4</v>
      </c>
      <c r="AH51">
        <v>0.168999999999999</v>
      </c>
      <c r="AI51">
        <v>127.26</v>
      </c>
      <c r="AJ51">
        <v>3.2</v>
      </c>
      <c r="AK51">
        <v>15718</v>
      </c>
      <c r="AL51">
        <v>2428</v>
      </c>
      <c r="AM51">
        <v>446</v>
      </c>
      <c r="AN51">
        <v>0</v>
      </c>
      <c r="AO51">
        <v>0</v>
      </c>
      <c r="AP51">
        <v>0.96</v>
      </c>
      <c r="AQ51">
        <v>0.28</v>
      </c>
      <c r="AR51">
        <v>0.670999999999999</v>
      </c>
      <c r="AS51" s="3">
        <v>46107.76574074074</v>
      </c>
    </row>
    <row r="52" ht="25.5" customHeight="1">
      <c r="A52" t="inlineStr">
        <is>
          <t>5aa28f2b4eacab316bc8fb59</t>
        </is>
      </c>
      <c r="B52" s="2" t="str">
        <f>=HYPERLINK("https://www.xiaohongshu.com/user/profile/5aa28f2b4eacab316bc8fb59", "https://www.xiaohongshu.com/user/profile/5aa28f2b4eacab316bc8fb59")</f>
        <v>https://www.xiaohongshu.com/user/profile/5aa28f2b4eacab316bc8fb59</v>
      </c>
      <c r="C52" s="2" t="str">
        <f>=HYPERLINK("https://pgy.xiaohongshu.com/solar/pre-trade/blogger-detail/5aa28f2b4eacab316bc8fb59", "https://pgy.xiaohongshu.com/solar/pre-trade/blogger-detail/5aa28f2b4eacab316bc8fb59")</f>
        <v>https://pgy.xiaohongshu.com/solar/pre-trade/blogger-detail/5aa28f2b4eacab316bc8fb59</v>
      </c>
      <c r="D52" t="inlineStr">
        <is>
          <t>女</t>
        </is>
      </c>
      <c r="E52" t="inlineStr">
        <is>
          <t>492794006</t>
        </is>
      </c>
      <c r="F52" t="inlineStr">
        <is>
          <t>去吃火锅</t>
        </is>
      </c>
      <c r="G52" t="inlineStr">
        <is>
          <t>黑龙江 哈尔滨 南岗区</t>
        </is>
      </c>
      <c r="H52" t="inlineStr">
        <is>
          <t>学生</t>
        </is>
      </c>
      <c r="I52" t="inlineStr">
        <is>
          <t>教育</t>
        </is>
      </c>
      <c r="J52">
        <v>12568</v>
      </c>
      <c r="K52" t="inlineStr">
        <is>
          <t>1.3</t>
        </is>
      </c>
      <c r="L52">
        <v>57625</v>
      </c>
      <c r="M52">
        <v>14096</v>
      </c>
      <c r="N52">
        <v>3289</v>
      </c>
      <c r="O52">
        <v>1556</v>
      </c>
      <c r="P52">
        <v>0.5</v>
      </c>
      <c r="Q52">
        <v>0.75</v>
      </c>
      <c r="R52">
        <v>57625</v>
      </c>
      <c r="S52">
        <v>14096</v>
      </c>
      <c r="T52">
        <v>2352</v>
      </c>
      <c r="U52">
        <v>1.29</v>
      </c>
      <c r="V52">
        <v>1556</v>
      </c>
      <c r="W52">
        <v>0.75</v>
      </c>
      <c r="X52">
        <v>0.5</v>
      </c>
      <c r="Y52">
        <v>171.38</v>
      </c>
      <c r="Z52">
        <v>4.4</v>
      </c>
      <c r="AA52">
        <v>0</v>
      </c>
      <c r="AB52">
        <v>0</v>
      </c>
      <c r="AC52">
        <v>0</v>
      </c>
      <c r="AD52">
        <v>0</v>
      </c>
      <c r="AE52">
        <v>3877</v>
      </c>
      <c r="AF52">
        <v>0</v>
      </c>
      <c r="AG52">
        <v>0</v>
      </c>
      <c r="AH52">
        <v>0</v>
      </c>
      <c r="AI52">
        <v>0</v>
      </c>
      <c r="AJ52">
        <v>0</v>
      </c>
      <c r="AK52">
        <v>8672</v>
      </c>
      <c r="AL52">
        <v>1061</v>
      </c>
      <c r="AM52">
        <v>114</v>
      </c>
      <c r="AN52">
        <v>0</v>
      </c>
      <c r="AO52">
        <v>0</v>
      </c>
      <c r="AP52">
        <v>0.863</v>
      </c>
      <c r="AQ52">
        <v>0.105</v>
      </c>
      <c r="AR52">
        <v>0.218999999999999</v>
      </c>
      <c r="AS52" s="3">
        <v>46107.76574074074</v>
      </c>
    </row>
    <row r="53" ht="25.5" customHeight="1">
      <c r="A53" t="inlineStr">
        <is>
          <t>6366584a000000001f01f277</t>
        </is>
      </c>
      <c r="B53" s="2" t="str">
        <f>=HYPERLINK("https://www.xiaohongshu.com/user/profile/6366584a000000001f01f277", "https://www.xiaohongshu.com/user/profile/6366584a000000001f01f277")</f>
        <v>https://www.xiaohongshu.com/user/profile/6366584a000000001f01f277</v>
      </c>
      <c r="C53" s="2" t="str">
        <f>=HYPERLINK("https://pgy.xiaohongshu.com/solar/pre-trade/blogger-detail/6366584a000000001f01f277", "https://pgy.xiaohongshu.com/solar/pre-trade/blogger-detail/6366584a000000001f01f277")</f>
        <v>https://pgy.xiaohongshu.com/solar/pre-trade/blogger-detail/6366584a000000001f01f277</v>
      </c>
      <c r="D53" t="inlineStr">
        <is>
          <t>男</t>
        </is>
      </c>
      <c r="E53" t="inlineStr">
        <is>
          <t>_ryan_0314</t>
        </is>
      </c>
      <c r="F53" t="inlineStr">
        <is>
          <t>暴躁吉娃娃</t>
        </is>
      </c>
      <c r="G53" t="inlineStr">
        <is>
          <t>加拿大</t>
        </is>
      </c>
      <c r="H53" t="inlineStr">
        <is>
          <t>街舞爱好者, 留学背景, 海外华人, 学生, 化妆师</t>
        </is>
      </c>
      <c r="I53" t="inlineStr">
        <is>
          <t>教育</t>
        </is>
      </c>
      <c r="J53">
        <v>34007</v>
      </c>
      <c r="K53" t="inlineStr">
        <is>
          <t>3.4</t>
        </is>
      </c>
      <c r="L53">
        <v>58102</v>
      </c>
      <c r="M53">
        <v>15863</v>
      </c>
      <c r="N53">
        <v>1387</v>
      </c>
      <c r="O53">
        <v>3000</v>
      </c>
      <c r="P53">
        <v>0.5</v>
      </c>
      <c r="Q53">
        <v>1</v>
      </c>
      <c r="R53">
        <v>0</v>
      </c>
      <c r="S53">
        <v>0</v>
      </c>
      <c r="T53">
        <v>0</v>
      </c>
      <c r="U53">
        <v>0</v>
      </c>
      <c r="V53">
        <v>3000</v>
      </c>
      <c r="W53">
        <v>0</v>
      </c>
      <c r="X53">
        <v>0</v>
      </c>
      <c r="Y53">
        <v>0</v>
      </c>
      <c r="Z53">
        <v>0</v>
      </c>
      <c r="AA53">
        <v>58102</v>
      </c>
      <c r="AB53">
        <v>15863</v>
      </c>
      <c r="AC53">
        <v>1178</v>
      </c>
      <c r="AD53">
        <v>1.7</v>
      </c>
      <c r="AE53">
        <v>3200</v>
      </c>
      <c r="AF53">
        <v>1</v>
      </c>
      <c r="AG53">
        <v>0.5</v>
      </c>
      <c r="AH53">
        <v>0.128</v>
      </c>
      <c r="AI53">
        <v>55.08</v>
      </c>
      <c r="AJ53">
        <v>2.31</v>
      </c>
      <c r="AK53">
        <v>0</v>
      </c>
      <c r="AL53">
        <v>0</v>
      </c>
      <c r="AM53">
        <v>0</v>
      </c>
      <c r="AN53">
        <v>0</v>
      </c>
      <c r="AO53">
        <v>0</v>
      </c>
      <c r="AP53">
        <v>0.93</v>
      </c>
      <c r="AQ53">
        <v>0.0559999999999999</v>
      </c>
      <c r="AR53">
        <v>0.025</v>
      </c>
      <c r="AS53" s="3">
        <v>46107.76574074074</v>
      </c>
    </row>
    <row r="54" ht="25.5" customHeight="1">
      <c r="A54" t="inlineStr">
        <is>
          <t>5b7782aa42053200011590ad</t>
        </is>
      </c>
      <c r="B54" s="2" t="str">
        <f>=HYPERLINK("https://www.xiaohongshu.com/user/profile/5b7782aa42053200011590ad", "https://www.xiaohongshu.com/user/profile/5b7782aa42053200011590ad")</f>
        <v>https://www.xiaohongshu.com/user/profile/5b7782aa42053200011590ad</v>
      </c>
      <c r="C54" s="2" t="str">
        <f>=HYPERLINK("https://pgy.xiaohongshu.com/solar/pre-trade/blogger-detail/5b7782aa42053200011590ad", "https://pgy.xiaohongshu.com/solar/pre-trade/blogger-detail/5b7782aa42053200011590ad")</f>
        <v>https://pgy.xiaohongshu.com/solar/pre-trade/blogger-detail/5b7782aa42053200011590ad</v>
      </c>
      <c r="D54" t="inlineStr">
        <is>
          <t>女</t>
        </is>
      </c>
      <c r="E54" t="inlineStr">
        <is>
          <t>605746646</t>
        </is>
      </c>
      <c r="F54" t="inlineStr">
        <is>
          <t>面包铺主Betty</t>
        </is>
      </c>
      <c r="G54" t="inlineStr">
        <is>
          <t>广东 广州 海珠区</t>
        </is>
      </c>
      <c r="H54" t="inlineStr">
        <is>
          <t>学生</t>
        </is>
      </c>
      <c r="I54" t="inlineStr">
        <is>
          <t>教育</t>
        </is>
      </c>
      <c r="J54">
        <v>18486</v>
      </c>
      <c r="K54" t="inlineStr">
        <is>
          <t>1.8</t>
        </is>
      </c>
      <c r="L54">
        <v>10146</v>
      </c>
      <c r="M54">
        <v>1430</v>
      </c>
      <c r="N54">
        <v>269</v>
      </c>
      <c r="O54">
        <v>1200</v>
      </c>
      <c r="P54">
        <v>0.25</v>
      </c>
      <c r="Q54">
        <v>0.75</v>
      </c>
      <c r="R54">
        <v>0</v>
      </c>
      <c r="S54">
        <v>0</v>
      </c>
      <c r="T54">
        <v>0</v>
      </c>
      <c r="U54">
        <v>0</v>
      </c>
      <c r="V54">
        <v>1200</v>
      </c>
      <c r="W54">
        <v>0</v>
      </c>
      <c r="X54">
        <v>0</v>
      </c>
      <c r="Y54">
        <v>0</v>
      </c>
      <c r="Z54">
        <v>0</v>
      </c>
      <c r="AA54">
        <v>10146</v>
      </c>
      <c r="AB54">
        <v>1430</v>
      </c>
      <c r="AC54">
        <v>256</v>
      </c>
      <c r="AD54">
        <v>4.33</v>
      </c>
      <c r="AE54">
        <v>4500</v>
      </c>
      <c r="AF54">
        <v>0.75</v>
      </c>
      <c r="AG54">
        <v>0.25</v>
      </c>
      <c r="AH54">
        <v>0.031</v>
      </c>
      <c r="AI54">
        <v>425.89</v>
      </c>
      <c r="AJ54">
        <v>13.98</v>
      </c>
      <c r="AK54">
        <v>478590</v>
      </c>
      <c r="AL54">
        <v>31752</v>
      </c>
      <c r="AM54">
        <v>1006</v>
      </c>
      <c r="AN54">
        <v>0</v>
      </c>
      <c r="AO54">
        <v>0</v>
      </c>
      <c r="AP54">
        <v>0.82</v>
      </c>
      <c r="AQ54">
        <v>0.05</v>
      </c>
      <c r="AR54">
        <v>0.044</v>
      </c>
      <c r="AS54" s="3">
        <v>46107.76574074074</v>
      </c>
    </row>
    <row r="55" ht="25.5" customHeight="1">
      <c r="A55" t="inlineStr">
        <is>
          <t>5a01cc8f4eacab7e95fff321</t>
        </is>
      </c>
      <c r="B55" s="2" t="str">
        <f>=HYPERLINK("https://www.xiaohongshu.com/user/profile/5a01cc8f4eacab7e95fff321", "https://www.xiaohongshu.com/user/profile/5a01cc8f4eacab7e95fff321")</f>
        <v>https://www.xiaohongshu.com/user/profile/5a01cc8f4eacab7e95fff321</v>
      </c>
      <c r="C55" s="2" t="str">
        <f>=HYPERLINK("https://pgy.xiaohongshu.com/solar/pre-trade/blogger-detail/5a01cc8f4eacab7e95fff321", "https://pgy.xiaohongshu.com/solar/pre-trade/blogger-detail/5a01cc8f4eacab7e95fff321")</f>
        <v>https://pgy.xiaohongshu.com/solar/pre-trade/blogger-detail/5a01cc8f4eacab7e95fff321</v>
      </c>
      <c r="D55" t="inlineStr">
        <is>
          <t>女</t>
        </is>
      </c>
      <c r="E55" t="inlineStr">
        <is>
          <t>496499748</t>
        </is>
      </c>
      <c r="F55" t="inlineStr">
        <is>
          <t>弗兰基</t>
        </is>
      </c>
      <c r="G55" t="inlineStr">
        <is>
          <t>福建 厦门 翔安区</t>
        </is>
      </c>
      <c r="H55" t="inlineStr">
        <is>
          <t>学生</t>
        </is>
      </c>
      <c r="I55" t="inlineStr">
        <is>
          <t>教育, 美妆</t>
        </is>
      </c>
      <c r="J55">
        <v>13785</v>
      </c>
      <c r="K55" t="inlineStr">
        <is>
          <t>1.4</t>
        </is>
      </c>
      <c r="L55">
        <v>76562</v>
      </c>
      <c r="M55">
        <v>18127</v>
      </c>
      <c r="N55">
        <v>940</v>
      </c>
      <c r="O55">
        <v>6000</v>
      </c>
      <c r="P55">
        <v>0.3</v>
      </c>
      <c r="Q55">
        <v>1</v>
      </c>
      <c r="R55">
        <v>0</v>
      </c>
      <c r="S55">
        <v>0</v>
      </c>
      <c r="T55">
        <v>0</v>
      </c>
      <c r="U55">
        <v>0</v>
      </c>
      <c r="V55">
        <v>6000</v>
      </c>
      <c r="W55">
        <v>0</v>
      </c>
      <c r="X55">
        <v>0</v>
      </c>
      <c r="Y55">
        <v>0</v>
      </c>
      <c r="Z55">
        <v>0</v>
      </c>
      <c r="AA55">
        <v>76562</v>
      </c>
      <c r="AB55">
        <v>18127</v>
      </c>
      <c r="AC55">
        <v>790</v>
      </c>
      <c r="AD55">
        <v>1.85</v>
      </c>
      <c r="AE55">
        <v>6000</v>
      </c>
      <c r="AF55">
        <v>1</v>
      </c>
      <c r="AG55">
        <v>0.3</v>
      </c>
      <c r="AH55">
        <v>0.239</v>
      </c>
      <c r="AI55">
        <v>82.44</v>
      </c>
      <c r="AJ55">
        <v>6.38</v>
      </c>
      <c r="AK55">
        <v>41974</v>
      </c>
      <c r="AL55">
        <v>9270</v>
      </c>
      <c r="AM55">
        <v>685</v>
      </c>
      <c r="AN55">
        <v>225</v>
      </c>
      <c r="AO55">
        <v>6.59</v>
      </c>
      <c r="AP55">
        <v>0.943</v>
      </c>
      <c r="AQ55">
        <v>0.185</v>
      </c>
      <c r="AR55">
        <v>0.198</v>
      </c>
      <c r="AS55" s="3">
        <v>46107.76574074074</v>
      </c>
    </row>
    <row r="56" ht="25.5" customHeight="1">
      <c r="A56" t="inlineStr">
        <is>
          <t>5c779e0100000000120277d9</t>
        </is>
      </c>
      <c r="B56" s="2" t="str">
        <f>=HYPERLINK("https://www.xiaohongshu.com/user/profile/5c779e0100000000120277d9", "https://www.xiaohongshu.com/user/profile/5c779e0100000000120277d9")</f>
        <v>https://www.xiaohongshu.com/user/profile/5c779e0100000000120277d9</v>
      </c>
      <c r="C56" s="2" t="str">
        <f>=HYPERLINK("https://pgy.xiaohongshu.com/solar/pre-trade/blogger-detail/5c779e0100000000120277d9", "https://pgy.xiaohongshu.com/solar/pre-trade/blogger-detail/5c779e0100000000120277d9")</f>
        <v>https://pgy.xiaohongshu.com/solar/pre-trade/blogger-detail/5c779e0100000000120277d9</v>
      </c>
      <c r="D56" t="inlineStr">
        <is>
          <t>男</t>
        </is>
      </c>
      <c r="E56" t="inlineStr">
        <is>
          <t>977231898</t>
        </is>
      </c>
      <c r="F56" t="inlineStr">
        <is>
          <t>野生Acheng🌌</t>
        </is>
      </c>
      <c r="G56" t="inlineStr">
        <is>
          <t>广东 东莞</t>
        </is>
      </c>
      <c r="H56" t="inlineStr">
        <is>
          <t>考研过来人, 学生</t>
        </is>
      </c>
      <c r="I56" t="inlineStr">
        <is>
          <t>教育</t>
        </is>
      </c>
      <c r="J56">
        <v>21136</v>
      </c>
      <c r="K56" t="inlineStr">
        <is>
          <t>2.1</t>
        </is>
      </c>
      <c r="L56">
        <v>18237</v>
      </c>
      <c r="M56">
        <v>3861</v>
      </c>
      <c r="N56">
        <v>465</v>
      </c>
      <c r="O56">
        <v>2100</v>
      </c>
      <c r="P56">
        <v>0.166999999999999</v>
      </c>
      <c r="Q56">
        <v>0.667</v>
      </c>
      <c r="R56">
        <v>32</v>
      </c>
      <c r="S56">
        <v>0</v>
      </c>
      <c r="T56">
        <v>0</v>
      </c>
      <c r="U56">
        <v>0</v>
      </c>
      <c r="V56">
        <v>2100</v>
      </c>
      <c r="W56">
        <v>0</v>
      </c>
      <c r="X56">
        <v>0</v>
      </c>
      <c r="Y56">
        <v>64615.38</v>
      </c>
      <c r="Z56">
        <v>0</v>
      </c>
      <c r="AA56">
        <v>31073</v>
      </c>
      <c r="AB56">
        <v>5912</v>
      </c>
      <c r="AC56">
        <v>680</v>
      </c>
      <c r="AD56">
        <v>1.85</v>
      </c>
      <c r="AE56">
        <v>3000</v>
      </c>
      <c r="AF56">
        <v>1</v>
      </c>
      <c r="AG56">
        <v>0.25</v>
      </c>
      <c r="AH56">
        <v>0.086</v>
      </c>
      <c r="AI56">
        <v>98.4</v>
      </c>
      <c r="AJ56">
        <v>1.54</v>
      </c>
      <c r="AK56">
        <v>91861</v>
      </c>
      <c r="AL56">
        <v>19218</v>
      </c>
      <c r="AM56">
        <v>2353</v>
      </c>
      <c r="AN56">
        <v>0</v>
      </c>
      <c r="AO56">
        <v>92.63</v>
      </c>
      <c r="AP56">
        <v>0.867</v>
      </c>
      <c r="AQ56">
        <v>0.043</v>
      </c>
      <c r="AR56">
        <v>0.013</v>
      </c>
      <c r="AS56" s="3">
        <v>46107.76574074074</v>
      </c>
    </row>
    <row r="57" ht="25.5" customHeight="1">
      <c r="A57" t="inlineStr">
        <is>
          <t>5ea698d90000000001007af8</t>
        </is>
      </c>
      <c r="B57" s="2" t="str">
        <f>=HYPERLINK("https://www.xiaohongshu.com/user/profile/5ea698d90000000001007af8", "https://www.xiaohongshu.com/user/profile/5ea698d90000000001007af8")</f>
        <v>https://www.xiaohongshu.com/user/profile/5ea698d90000000001007af8</v>
      </c>
      <c r="C57" s="2" t="str">
        <f>=HYPERLINK("https://pgy.xiaohongshu.com/solar/pre-trade/blogger-detail/5ea698d90000000001007af8", "https://pgy.xiaohongshu.com/solar/pre-trade/blogger-detail/5ea698d90000000001007af8")</f>
        <v>https://pgy.xiaohongshu.com/solar/pre-trade/blogger-detail/5ea698d90000000001007af8</v>
      </c>
      <c r="D57" t="inlineStr">
        <is>
          <t>女</t>
        </is>
      </c>
      <c r="E57" t="inlineStr">
        <is>
          <t>253568620</t>
        </is>
      </c>
      <c r="F57" t="inlineStr">
        <is>
          <t>汉堡汉堡han</t>
        </is>
      </c>
      <c r="G57" t="inlineStr">
        <is>
          <t>美国</t>
        </is>
      </c>
      <c r="H57" t="inlineStr">
        <is>
          <t>留学背景, 海外华人, 学生, 独居人群</t>
        </is>
      </c>
      <c r="I57" t="inlineStr">
        <is>
          <t>出行旅游, 教育</t>
        </is>
      </c>
      <c r="J57">
        <v>47151</v>
      </c>
      <c r="K57" t="inlineStr">
        <is>
          <t>4.7</t>
        </is>
      </c>
      <c r="L57">
        <v>15528</v>
      </c>
      <c r="M57">
        <v>3262</v>
      </c>
      <c r="N57">
        <v>370</v>
      </c>
      <c r="O57">
        <v>4000</v>
      </c>
      <c r="P57">
        <v>0</v>
      </c>
      <c r="Q57">
        <v>1</v>
      </c>
      <c r="R57">
        <v>9878</v>
      </c>
      <c r="S57">
        <v>2644</v>
      </c>
      <c r="T57">
        <v>282</v>
      </c>
      <c r="U57">
        <v>1.81</v>
      </c>
      <c r="V57">
        <v>4000</v>
      </c>
      <c r="W57">
        <v>1</v>
      </c>
      <c r="X57">
        <v>0</v>
      </c>
      <c r="Y57">
        <v>404.94</v>
      </c>
      <c r="Z57">
        <v>13.51</v>
      </c>
      <c r="AA57">
        <v>15746</v>
      </c>
      <c r="AB57">
        <v>3314</v>
      </c>
      <c r="AC57">
        <v>367</v>
      </c>
      <c r="AD57">
        <v>2.64</v>
      </c>
      <c r="AE57">
        <v>6000</v>
      </c>
      <c r="AF57">
        <v>1</v>
      </c>
      <c r="AG57">
        <v>0</v>
      </c>
      <c r="AH57">
        <v>0.107</v>
      </c>
      <c r="AI57">
        <v>381.05</v>
      </c>
      <c r="AJ57">
        <v>12.36</v>
      </c>
      <c r="AK57">
        <v>30424</v>
      </c>
      <c r="AL57">
        <v>12197</v>
      </c>
      <c r="AM57">
        <v>787</v>
      </c>
      <c r="AN57">
        <v>0</v>
      </c>
      <c r="AO57">
        <v>8867.15</v>
      </c>
      <c r="AP57">
        <v>0.810999999999999</v>
      </c>
      <c r="AQ57">
        <v>0.036</v>
      </c>
      <c r="AR57">
        <v>0.04</v>
      </c>
      <c r="AS57" s="3">
        <v>46107.76574074074</v>
      </c>
    </row>
    <row r="58" ht="25.5" customHeight="1">
      <c r="A58" t="inlineStr">
        <is>
          <t>5bca8176152e660001a68b79</t>
        </is>
      </c>
      <c r="B58" s="2" t="str">
        <f>=HYPERLINK("https://www.xiaohongshu.com/user/profile/5bca8176152e660001a68b79", "https://www.xiaohongshu.com/user/profile/5bca8176152e660001a68b79")</f>
        <v>https://www.xiaohongshu.com/user/profile/5bca8176152e660001a68b79</v>
      </c>
      <c r="C58" s="2" t="str">
        <f>=HYPERLINK("https://pgy.xiaohongshu.com/solar/pre-trade/blogger-detail/5bca8176152e660001a68b79", "https://pgy.xiaohongshu.com/solar/pre-trade/blogger-detail/5bca8176152e660001a68b79")</f>
        <v>https://pgy.xiaohongshu.com/solar/pre-trade/blogger-detail/5bca8176152e660001a68b79</v>
      </c>
      <c r="D58" t="inlineStr">
        <is>
          <t>女</t>
        </is>
      </c>
      <c r="E58" t="inlineStr">
        <is>
          <t>543605472</t>
        </is>
      </c>
      <c r="F58" t="inlineStr">
        <is>
          <t>健哥的晚安安</t>
        </is>
      </c>
      <c r="G58" t="inlineStr">
        <is>
          <t>山东 济南 市中区</t>
        </is>
      </c>
      <c r="H58"/>
      <c r="I58" t="inlineStr">
        <is>
          <t>教育</t>
        </is>
      </c>
      <c r="J58">
        <v>58793</v>
      </c>
      <c r="K58" t="inlineStr">
        <is>
          <t>5.9</t>
        </is>
      </c>
      <c r="L58">
        <v>10343</v>
      </c>
      <c r="M58">
        <v>3061</v>
      </c>
      <c r="N58">
        <v>320</v>
      </c>
      <c r="O58">
        <v>400</v>
      </c>
      <c r="P58">
        <v>0.0409999999999999</v>
      </c>
      <c r="Q58">
        <v>0.863</v>
      </c>
      <c r="R58">
        <v>0</v>
      </c>
      <c r="S58">
        <v>0</v>
      </c>
      <c r="T58">
        <v>0</v>
      </c>
      <c r="U58">
        <v>1.7</v>
      </c>
      <c r="V58">
        <v>400</v>
      </c>
      <c r="W58">
        <v>0</v>
      </c>
      <c r="X58">
        <v>0</v>
      </c>
      <c r="Y58">
        <v>66.17</v>
      </c>
      <c r="Z58">
        <v>42.11</v>
      </c>
      <c r="AA58">
        <v>10343</v>
      </c>
      <c r="AB58">
        <v>3061</v>
      </c>
      <c r="AC58">
        <v>298</v>
      </c>
      <c r="AD58">
        <v>2.38</v>
      </c>
      <c r="AE58">
        <v>2691</v>
      </c>
      <c r="AF58">
        <v>0.863</v>
      </c>
      <c r="AG58">
        <v>0.0409999999999999</v>
      </c>
      <c r="AH58">
        <v>0.095</v>
      </c>
      <c r="AI58">
        <v>260.18</v>
      </c>
      <c r="AJ58">
        <v>8.41</v>
      </c>
      <c r="AK58">
        <v>6210</v>
      </c>
      <c r="AL58">
        <v>285</v>
      </c>
      <c r="AM58">
        <v>6</v>
      </c>
      <c r="AN58">
        <v>0</v>
      </c>
      <c r="AO58">
        <v>0</v>
      </c>
      <c r="AP58">
        <v>0.939</v>
      </c>
      <c r="AQ58">
        <v>0.257</v>
      </c>
      <c r="AR58">
        <v>0.529</v>
      </c>
      <c r="AS58" s="3">
        <v>46107.76574074074</v>
      </c>
    </row>
    <row r="59" ht="25.5" customHeight="1">
      <c r="A59" t="inlineStr">
        <is>
          <t>6017f6f7000000000101d203</t>
        </is>
      </c>
      <c r="B59" s="2" t="str">
        <f>=HYPERLINK("https://www.xiaohongshu.com/user/profile/6017f6f7000000000101d203", "https://www.xiaohongshu.com/user/profile/6017f6f7000000000101d203")</f>
        <v>https://www.xiaohongshu.com/user/profile/6017f6f7000000000101d203</v>
      </c>
      <c r="C59" s="2" t="str">
        <f>=HYPERLINK("https://pgy.xiaohongshu.com/solar/pre-trade/blogger-detail/6017f6f7000000000101d203", "https://pgy.xiaohongshu.com/solar/pre-trade/blogger-detail/6017f6f7000000000101d203")</f>
        <v>https://pgy.xiaohongshu.com/solar/pre-trade/blogger-detail/6017f6f7000000000101d203</v>
      </c>
      <c r="D59" t="inlineStr">
        <is>
          <t>女</t>
        </is>
      </c>
      <c r="E59" t="inlineStr">
        <is>
          <t>9493400182</t>
        </is>
      </c>
      <c r="F59" t="inlineStr">
        <is>
          <t>福星里里</t>
        </is>
      </c>
      <c r="G59" t="inlineStr">
        <is>
          <t>陕西 西安 雁塔区</t>
        </is>
      </c>
      <c r="H59"/>
      <c r="I59" t="inlineStr">
        <is>
          <t>教育</t>
        </is>
      </c>
      <c r="J59">
        <v>30724</v>
      </c>
      <c r="K59" t="inlineStr">
        <is>
          <t>3.1</t>
        </is>
      </c>
      <c r="L59">
        <v>5944</v>
      </c>
      <c r="M59">
        <v>1947</v>
      </c>
      <c r="N59">
        <v>195</v>
      </c>
      <c r="O59">
        <v>1550</v>
      </c>
      <c r="P59">
        <v>0.159</v>
      </c>
      <c r="Q59">
        <v>0.5</v>
      </c>
      <c r="R59">
        <v>0</v>
      </c>
      <c r="S59">
        <v>0</v>
      </c>
      <c r="T59">
        <v>0</v>
      </c>
      <c r="U59">
        <v>0</v>
      </c>
      <c r="V59">
        <v>1550</v>
      </c>
      <c r="W59">
        <v>0</v>
      </c>
      <c r="X59">
        <v>0</v>
      </c>
      <c r="Y59">
        <v>0</v>
      </c>
      <c r="Z59">
        <v>0</v>
      </c>
      <c r="AA59">
        <v>5944</v>
      </c>
      <c r="AB59">
        <v>1947</v>
      </c>
      <c r="AC59">
        <v>193</v>
      </c>
      <c r="AD59">
        <v>3.04</v>
      </c>
      <c r="AE59">
        <v>2700</v>
      </c>
      <c r="AF59">
        <v>0.5</v>
      </c>
      <c r="AG59">
        <v>0.159</v>
      </c>
      <c r="AH59">
        <v>0.049</v>
      </c>
      <c r="AI59">
        <v>451.13</v>
      </c>
      <c r="AJ59">
        <v>14.06</v>
      </c>
      <c r="AK59">
        <v>13748</v>
      </c>
      <c r="AL59">
        <v>1596</v>
      </c>
      <c r="AM59">
        <v>152</v>
      </c>
      <c r="AN59">
        <v>0</v>
      </c>
      <c r="AO59">
        <v>0</v>
      </c>
      <c r="AP59">
        <v>0.897</v>
      </c>
      <c r="AQ59">
        <v>0.136999999999999</v>
      </c>
      <c r="AR59">
        <v>0.074</v>
      </c>
      <c r="AS59" s="3">
        <v>46107.76574074074</v>
      </c>
    </row>
    <row r="60" ht="25.5" customHeight="1">
      <c r="A60" t="inlineStr">
        <is>
          <t>60ec353200000000010021c6</t>
        </is>
      </c>
      <c r="B60" s="2" t="str">
        <f>=HYPERLINK("https://www.xiaohongshu.com/user/profile/60ec353200000000010021c6", "https://www.xiaohongshu.com/user/profile/60ec353200000000010021c6")</f>
        <v>https://www.xiaohongshu.com/user/profile/60ec353200000000010021c6</v>
      </c>
      <c r="C60" s="2" t="str">
        <f>=HYPERLINK("https://pgy.xiaohongshu.com/solar/pre-trade/blogger-detail/60ec353200000000010021c6", "https://pgy.xiaohongshu.com/solar/pre-trade/blogger-detail/60ec353200000000010021c6")</f>
        <v>https://pgy.xiaohongshu.com/solar/pre-trade/blogger-detail/60ec353200000000010021c6</v>
      </c>
      <c r="D60" t="inlineStr">
        <is>
          <t>女</t>
        </is>
      </c>
      <c r="E60" t="inlineStr">
        <is>
          <t>9534807763</t>
        </is>
      </c>
      <c r="F60" t="inlineStr">
        <is>
          <t>爱折腾的小羊</t>
        </is>
      </c>
      <c r="G60" t="inlineStr">
        <is>
          <t>浙江 宁波 镇海区</t>
        </is>
      </c>
      <c r="H60" t="inlineStr">
        <is>
          <t>创业者, 学生</t>
        </is>
      </c>
      <c r="I60" t="inlineStr">
        <is>
          <t>教育</t>
        </is>
      </c>
      <c r="J60">
        <v>18855</v>
      </c>
      <c r="K60" t="inlineStr">
        <is>
          <t>1.9</t>
        </is>
      </c>
      <c r="L60">
        <v>3653</v>
      </c>
      <c r="M60">
        <v>1287</v>
      </c>
      <c r="N60">
        <v>184</v>
      </c>
      <c r="O60">
        <v>900</v>
      </c>
      <c r="P60">
        <v>0.063</v>
      </c>
      <c r="Q60">
        <v>0.563</v>
      </c>
      <c r="R60">
        <v>0</v>
      </c>
      <c r="S60">
        <v>0</v>
      </c>
      <c r="T60">
        <v>0</v>
      </c>
      <c r="U60">
        <v>0</v>
      </c>
      <c r="V60">
        <v>900</v>
      </c>
      <c r="W60">
        <v>0</v>
      </c>
      <c r="X60">
        <v>0</v>
      </c>
      <c r="Y60">
        <v>0</v>
      </c>
      <c r="Z60">
        <v>0</v>
      </c>
      <c r="AA60">
        <v>3653</v>
      </c>
      <c r="AB60">
        <v>1287</v>
      </c>
      <c r="AC60">
        <v>194</v>
      </c>
      <c r="AD60">
        <v>2.65</v>
      </c>
      <c r="AE60">
        <v>1700</v>
      </c>
      <c r="AF60">
        <v>0.563</v>
      </c>
      <c r="AG60">
        <v>0.063</v>
      </c>
      <c r="AH60">
        <v>0.16</v>
      </c>
      <c r="AI60">
        <v>419.65</v>
      </c>
      <c r="AJ60">
        <v>7.42</v>
      </c>
      <c r="AK60">
        <v>38271</v>
      </c>
      <c r="AL60">
        <v>3148</v>
      </c>
      <c r="AM60">
        <v>765</v>
      </c>
      <c r="AN60">
        <v>0</v>
      </c>
      <c r="AO60">
        <v>0</v>
      </c>
      <c r="AP60">
        <v>0.829</v>
      </c>
      <c r="AQ60">
        <v>0.04</v>
      </c>
      <c r="AR60">
        <v>0.026</v>
      </c>
      <c r="AS60" s="3">
        <v>46107.76574074074</v>
      </c>
    </row>
    <row r="61" ht="25.5" customHeight="1">
      <c r="A61" t="inlineStr">
        <is>
          <t>5a7a7013e8ac2b2e3b849950</t>
        </is>
      </c>
      <c r="B61" s="2" t="str">
        <f>=HYPERLINK("https://www.xiaohongshu.com/user/profile/5a7a7013e8ac2b2e3b849950", "https://www.xiaohongshu.com/user/profile/5a7a7013e8ac2b2e3b849950")</f>
        <v>https://www.xiaohongshu.com/user/profile/5a7a7013e8ac2b2e3b849950</v>
      </c>
      <c r="C61" s="2" t="str">
        <f>=HYPERLINK("https://pgy.xiaohongshu.com/solar/pre-trade/blogger-detail/5a7a7013e8ac2b2e3b849950", "https://pgy.xiaohongshu.com/solar/pre-trade/blogger-detail/5a7a7013e8ac2b2e3b849950")</f>
        <v>https://pgy.xiaohongshu.com/solar/pre-trade/blogger-detail/5a7a7013e8ac2b2e3b849950</v>
      </c>
      <c r="D61" t="inlineStr">
        <is>
          <t>女</t>
        </is>
      </c>
      <c r="E61" t="inlineStr">
        <is>
          <t>moonshine1999</t>
        </is>
      </c>
      <c r="F61" t="inlineStr">
        <is>
          <t>Moonshine</t>
        </is>
      </c>
      <c r="G61" t="inlineStr">
        <is>
          <t>美国</t>
        </is>
      </c>
      <c r="H61" t="inlineStr">
        <is>
          <t>留学背景, 海外华人, 学生, 情侣</t>
        </is>
      </c>
      <c r="I61" t="inlineStr">
        <is>
          <t>教育, 情感</t>
        </is>
      </c>
      <c r="J61">
        <v>13039</v>
      </c>
      <c r="K61" t="inlineStr">
        <is>
          <t>1.3</t>
        </is>
      </c>
      <c r="L61">
        <v>19436</v>
      </c>
      <c r="M61">
        <v>3879</v>
      </c>
      <c r="N61">
        <v>116</v>
      </c>
      <c r="O61">
        <v>2000</v>
      </c>
      <c r="P61">
        <v>0</v>
      </c>
      <c r="Q61">
        <v>0.118</v>
      </c>
      <c r="R61">
        <v>22422</v>
      </c>
      <c r="S61">
        <v>3879</v>
      </c>
      <c r="T61">
        <v>107</v>
      </c>
      <c r="U61">
        <v>0.82</v>
      </c>
      <c r="V61">
        <v>2000</v>
      </c>
      <c r="W61">
        <v>0.111</v>
      </c>
      <c r="X61">
        <v>0</v>
      </c>
      <c r="Y61">
        <v>89.2</v>
      </c>
      <c r="Z61">
        <v>14.71</v>
      </c>
      <c r="AA61">
        <v>18624</v>
      </c>
      <c r="AB61">
        <v>3922</v>
      </c>
      <c r="AC61">
        <v>86</v>
      </c>
      <c r="AD61">
        <v>2.38</v>
      </c>
      <c r="AE61">
        <v>3500</v>
      </c>
      <c r="AF61">
        <v>0.125</v>
      </c>
      <c r="AG61">
        <v>0</v>
      </c>
      <c r="AH61">
        <v>0.433</v>
      </c>
      <c r="AI61">
        <v>180.34</v>
      </c>
      <c r="AJ61">
        <v>32.11</v>
      </c>
      <c r="AK61">
        <v>31628</v>
      </c>
      <c r="AL61">
        <v>5121</v>
      </c>
      <c r="AM61">
        <v>108</v>
      </c>
      <c r="AN61">
        <v>0</v>
      </c>
      <c r="AO61">
        <v>0</v>
      </c>
      <c r="AP61">
        <v>0.838</v>
      </c>
      <c r="AQ61">
        <v>0.042</v>
      </c>
      <c r="AR61">
        <v>0.016</v>
      </c>
      <c r="AS61" s="3">
        <v>46107.76574074074</v>
      </c>
    </row>
    <row r="62" ht="25.5" customHeight="1">
      <c r="A62" t="inlineStr">
        <is>
          <t>64dc95ae00000000010048e3</t>
        </is>
      </c>
      <c r="B62" s="2" t="str">
        <f>=HYPERLINK("https://www.xiaohongshu.com/user/profile/64dc95ae00000000010048e3", "https://www.xiaohongshu.com/user/profile/64dc95ae00000000010048e3")</f>
        <v>https://www.xiaohongshu.com/user/profile/64dc95ae00000000010048e3</v>
      </c>
      <c r="C62" s="2" t="str">
        <f>=HYPERLINK("https://pgy.xiaohongshu.com/solar/pre-trade/blogger-detail/64dc95ae00000000010048e3", "https://pgy.xiaohongshu.com/solar/pre-trade/blogger-detail/64dc95ae00000000010048e3")</f>
        <v>https://pgy.xiaohongshu.com/solar/pre-trade/blogger-detail/64dc95ae00000000010048e3</v>
      </c>
      <c r="D62" t="inlineStr">
        <is>
          <t>男</t>
        </is>
      </c>
      <c r="E62" t="inlineStr">
        <is>
          <t>V18022784356</t>
        </is>
      </c>
      <c r="F62" t="inlineStr">
        <is>
          <t>John真实外贸英语教练</t>
        </is>
      </c>
      <c r="G62" t="inlineStr">
        <is>
          <t>广东 佛山 顺德区</t>
        </is>
      </c>
      <c r="H62"/>
      <c r="I62" t="inlineStr">
        <is>
          <t>职场, 教育</t>
        </is>
      </c>
      <c r="J62">
        <v>65062</v>
      </c>
      <c r="K62" t="inlineStr">
        <is>
          <t>6.5</t>
        </is>
      </c>
      <c r="L62">
        <v>32358</v>
      </c>
      <c r="M62">
        <v>7725</v>
      </c>
      <c r="N62">
        <v>505</v>
      </c>
      <c r="O62">
        <v>1713</v>
      </c>
      <c r="P62">
        <v>0.278</v>
      </c>
      <c r="Q62">
        <v>0.833</v>
      </c>
      <c r="R62">
        <v>0</v>
      </c>
      <c r="S62">
        <v>0</v>
      </c>
      <c r="T62">
        <v>0</v>
      </c>
      <c r="U62">
        <v>0</v>
      </c>
      <c r="V62">
        <v>1713</v>
      </c>
      <c r="W62">
        <v>0</v>
      </c>
      <c r="X62">
        <v>0</v>
      </c>
      <c r="Y62">
        <v>0</v>
      </c>
      <c r="Z62">
        <v>0</v>
      </c>
      <c r="AA62">
        <v>32358</v>
      </c>
      <c r="AB62">
        <v>7725</v>
      </c>
      <c r="AC62">
        <v>432</v>
      </c>
      <c r="AD62">
        <v>2.28</v>
      </c>
      <c r="AE62">
        <v>5999</v>
      </c>
      <c r="AF62">
        <v>0.833</v>
      </c>
      <c r="AG62">
        <v>0.278</v>
      </c>
      <c r="AH62">
        <v>0.0819999999999999</v>
      </c>
      <c r="AI62">
        <v>185.39</v>
      </c>
      <c r="AJ62">
        <v>11.87</v>
      </c>
      <c r="AK62">
        <v>0</v>
      </c>
      <c r="AL62">
        <v>0</v>
      </c>
      <c r="AM62">
        <v>0</v>
      </c>
      <c r="AN62">
        <v>0</v>
      </c>
      <c r="AO62">
        <v>0</v>
      </c>
      <c r="AP62">
        <v>0.94</v>
      </c>
      <c r="AQ62">
        <v>0.104</v>
      </c>
      <c r="AR62">
        <v>0.198</v>
      </c>
      <c r="AS62" s="3">
        <v>46107.76592592592</v>
      </c>
    </row>
    <row r="63" ht="25.5" customHeight="1">
      <c r="A63" t="inlineStr">
        <is>
          <t>63ca24b4000000002702a261</t>
        </is>
      </c>
      <c r="B63" s="2" t="str">
        <f>=HYPERLINK("https://www.xiaohongshu.com/user/profile/63ca24b4000000002702a261", "https://www.xiaohongshu.com/user/profile/63ca24b4000000002702a261")</f>
        <v>https://www.xiaohongshu.com/user/profile/63ca24b4000000002702a261</v>
      </c>
      <c r="C63" s="2" t="str">
        <f>=HYPERLINK("https://pgy.xiaohongshu.com/solar/pre-trade/blogger-detail/63ca24b4000000002702a261", "https://pgy.xiaohongshu.com/solar/pre-trade/blogger-detail/63ca24b4000000002702a261")</f>
        <v>https://pgy.xiaohongshu.com/solar/pre-trade/blogger-detail/63ca24b4000000002702a261</v>
      </c>
      <c r="D63" t="inlineStr">
        <is>
          <t>女</t>
        </is>
      </c>
      <c r="E63" t="inlineStr">
        <is>
          <t>5021465313</t>
        </is>
      </c>
      <c r="F63" t="inlineStr">
        <is>
          <t>中国著名宗教学家雪茄</t>
        </is>
      </c>
      <c r="G63" t="inlineStr">
        <is>
          <t>四川 成都 锦江区</t>
        </is>
      </c>
      <c r="H63" t="inlineStr">
        <is>
          <t>学生</t>
        </is>
      </c>
      <c r="I63" t="inlineStr">
        <is>
          <t>教育</t>
        </is>
      </c>
      <c r="J63">
        <v>21461</v>
      </c>
      <c r="K63" t="inlineStr">
        <is>
          <t>2.1</t>
        </is>
      </c>
      <c r="L63">
        <v>114293</v>
      </c>
      <c r="M63">
        <v>39297</v>
      </c>
      <c r="N63">
        <v>2558</v>
      </c>
      <c r="O63">
        <v>1888</v>
      </c>
      <c r="P63">
        <v>0.583</v>
      </c>
      <c r="Q63">
        <v>0.917</v>
      </c>
      <c r="R63">
        <v>305278</v>
      </c>
      <c r="S63">
        <v>42861</v>
      </c>
      <c r="T63">
        <v>4504</v>
      </c>
      <c r="U63">
        <v>0.34</v>
      </c>
      <c r="V63">
        <v>1888</v>
      </c>
      <c r="W63">
        <v>1</v>
      </c>
      <c r="X63">
        <v>1</v>
      </c>
      <c r="Y63">
        <v>6.18</v>
      </c>
      <c r="Z63">
        <v>0.4</v>
      </c>
      <c r="AA63">
        <v>84943</v>
      </c>
      <c r="AB63">
        <v>35734</v>
      </c>
      <c r="AC63">
        <v>2147</v>
      </c>
      <c r="AD63">
        <v>1.56</v>
      </c>
      <c r="AE63">
        <v>1919</v>
      </c>
      <c r="AF63">
        <v>0.909</v>
      </c>
      <c r="AG63">
        <v>0.545</v>
      </c>
      <c r="AH63">
        <v>0.061</v>
      </c>
      <c r="AI63">
        <v>24.13</v>
      </c>
      <c r="AJ63">
        <v>1.44</v>
      </c>
      <c r="AK63">
        <v>21783</v>
      </c>
      <c r="AL63">
        <v>2444</v>
      </c>
      <c r="AM63">
        <v>269</v>
      </c>
      <c r="AN63">
        <v>0</v>
      </c>
      <c r="AO63">
        <v>0</v>
      </c>
      <c r="AP63">
        <v>0.973</v>
      </c>
      <c r="AQ63">
        <v>0.328999999999999</v>
      </c>
      <c r="AR63">
        <v>0.880999999999999</v>
      </c>
      <c r="AS63" s="3">
        <v>46107.76592592592</v>
      </c>
    </row>
    <row r="64" ht="25.5" customHeight="1">
      <c r="A64" t="inlineStr">
        <is>
          <t>6419aee60000000011020cc5</t>
        </is>
      </c>
      <c r="B64" s="2" t="str">
        <f>=HYPERLINK("https://www.xiaohongshu.com/user/profile/6419aee60000000011020cc5", "https://www.xiaohongshu.com/user/profile/6419aee60000000011020cc5")</f>
        <v>https://www.xiaohongshu.com/user/profile/6419aee60000000011020cc5</v>
      </c>
      <c r="C64" s="2" t="str">
        <f>=HYPERLINK("https://pgy.xiaohongshu.com/solar/pre-trade/blogger-detail/6419aee60000000011020cc5", "https://pgy.xiaohongshu.com/solar/pre-trade/blogger-detail/6419aee60000000011020cc5")</f>
        <v>https://pgy.xiaohongshu.com/solar/pre-trade/blogger-detail/6419aee60000000011020cc5</v>
      </c>
      <c r="D64" t="inlineStr">
        <is>
          <t>女</t>
        </is>
      </c>
      <c r="E64" t="inlineStr">
        <is>
          <t>2216474333</t>
        </is>
      </c>
      <c r="F64" t="inlineStr">
        <is>
          <t>海盗路</t>
        </is>
      </c>
      <c r="G64" t="inlineStr">
        <is>
          <t>河南 郑州 二七区</t>
        </is>
      </c>
      <c r="H64"/>
      <c r="I64" t="inlineStr">
        <is>
          <t>教育</t>
        </is>
      </c>
      <c r="J64">
        <v>72829</v>
      </c>
      <c r="K64" t="inlineStr">
        <is>
          <t>7.3</t>
        </is>
      </c>
      <c r="L64">
        <v>51365</v>
      </c>
      <c r="M64">
        <v>22057</v>
      </c>
      <c r="N64">
        <v>4643</v>
      </c>
      <c r="O64">
        <v>900</v>
      </c>
      <c r="P64">
        <v>0.667</v>
      </c>
      <c r="Q64">
        <v>1</v>
      </c>
      <c r="R64">
        <v>0</v>
      </c>
      <c r="S64">
        <v>0</v>
      </c>
      <c r="T64">
        <v>0</v>
      </c>
      <c r="U64">
        <v>0</v>
      </c>
      <c r="V64">
        <v>900</v>
      </c>
      <c r="W64">
        <v>0</v>
      </c>
      <c r="X64">
        <v>0</v>
      </c>
      <c r="Y64">
        <v>0</v>
      </c>
      <c r="Z64">
        <v>0</v>
      </c>
      <c r="AA64">
        <v>51365</v>
      </c>
      <c r="AB64">
        <v>22057</v>
      </c>
      <c r="AC64">
        <v>4223</v>
      </c>
      <c r="AD64">
        <v>1.63</v>
      </c>
      <c r="AE64">
        <v>2800</v>
      </c>
      <c r="AF64">
        <v>1</v>
      </c>
      <c r="AG64">
        <v>0.667</v>
      </c>
      <c r="AH64">
        <v>0.012</v>
      </c>
      <c r="AI64">
        <v>54.51</v>
      </c>
      <c r="AJ64">
        <v>0.6</v>
      </c>
      <c r="AK64">
        <v>0</v>
      </c>
      <c r="AL64">
        <v>0</v>
      </c>
      <c r="AM64">
        <v>0</v>
      </c>
      <c r="AN64">
        <v>0</v>
      </c>
      <c r="AO64">
        <v>0</v>
      </c>
      <c r="AP64">
        <v>0.938</v>
      </c>
      <c r="AQ64">
        <v>0.107</v>
      </c>
      <c r="AR64">
        <v>0.126</v>
      </c>
      <c r="AS64" s="3">
        <v>46107.76592592592</v>
      </c>
    </row>
    <row r="65" ht="25.5" customHeight="1">
      <c r="A65" t="inlineStr">
        <is>
          <t>5ceb4a4f00000000100157ab</t>
        </is>
      </c>
      <c r="B65" s="2" t="str">
        <f>=HYPERLINK("https://www.xiaohongshu.com/user/profile/5ceb4a4f00000000100157ab", "https://www.xiaohongshu.com/user/profile/5ceb4a4f00000000100157ab")</f>
        <v>https://www.xiaohongshu.com/user/profile/5ceb4a4f00000000100157ab</v>
      </c>
      <c r="C65" s="2" t="str">
        <f>=HYPERLINK("https://pgy.xiaohongshu.com/solar/pre-trade/blogger-detail/5ceb4a4f00000000100157ab", "https://pgy.xiaohongshu.com/solar/pre-trade/blogger-detail/5ceb4a4f00000000100157ab")</f>
        <v>https://pgy.xiaohongshu.com/solar/pre-trade/blogger-detail/5ceb4a4f00000000100157ab</v>
      </c>
      <c r="D65" t="inlineStr">
        <is>
          <t>女</t>
        </is>
      </c>
      <c r="E65" t="inlineStr">
        <is>
          <t>vivian20040815</t>
        </is>
      </c>
      <c r="F65" t="inlineStr">
        <is>
          <t>Meliora_cc^</t>
        </is>
      </c>
      <c r="G65" t="inlineStr">
        <is>
          <t>北京</t>
        </is>
      </c>
      <c r="H65" t="inlineStr">
        <is>
          <t>学生, 情侣</t>
        </is>
      </c>
      <c r="I65" t="inlineStr">
        <is>
          <t>教育</t>
        </is>
      </c>
      <c r="J65">
        <v>63363</v>
      </c>
      <c r="K65" t="inlineStr">
        <is>
          <t>6.3</t>
        </is>
      </c>
      <c r="L65">
        <v>34211</v>
      </c>
      <c r="M65">
        <v>7350</v>
      </c>
      <c r="N65">
        <v>389</v>
      </c>
      <c r="O65">
        <v>3900</v>
      </c>
      <c r="P65">
        <v>0</v>
      </c>
      <c r="Q65">
        <v>1</v>
      </c>
      <c r="R65">
        <v>34211</v>
      </c>
      <c r="S65">
        <v>7350</v>
      </c>
      <c r="T65">
        <v>383</v>
      </c>
      <c r="U65">
        <v>0.85</v>
      </c>
      <c r="V65">
        <v>3900</v>
      </c>
      <c r="W65">
        <v>1</v>
      </c>
      <c r="X65">
        <v>0</v>
      </c>
      <c r="Y65">
        <v>135.85</v>
      </c>
      <c r="Z65">
        <v>12.5</v>
      </c>
      <c r="AA65">
        <v>0</v>
      </c>
      <c r="AB65">
        <v>0</v>
      </c>
      <c r="AC65">
        <v>0</v>
      </c>
      <c r="AD65">
        <v>0</v>
      </c>
      <c r="AE65">
        <v>5500</v>
      </c>
      <c r="AF65">
        <v>0</v>
      </c>
      <c r="AG65">
        <v>0</v>
      </c>
      <c r="AH65">
        <v>0</v>
      </c>
      <c r="AI65">
        <v>0</v>
      </c>
      <c r="AJ65">
        <v>0</v>
      </c>
      <c r="AK65">
        <v>29626</v>
      </c>
      <c r="AL65">
        <v>5238</v>
      </c>
      <c r="AM65">
        <v>188</v>
      </c>
      <c r="AN65">
        <v>0</v>
      </c>
      <c r="AO65">
        <v>0</v>
      </c>
      <c r="AP65">
        <v>0.804</v>
      </c>
      <c r="AQ65">
        <v>0.027</v>
      </c>
      <c r="AR65">
        <v>-0.005</v>
      </c>
      <c r="AS65" s="3">
        <v>46107.76592592592</v>
      </c>
    </row>
    <row r="66" ht="25.5" customHeight="1">
      <c r="A66" t="inlineStr">
        <is>
          <t>68024c08000000000e012158</t>
        </is>
      </c>
      <c r="B66" s="2" t="str">
        <f>=HYPERLINK("https://www.xiaohongshu.com/user/profile/68024c08000000000e012158", "https://www.xiaohongshu.com/user/profile/68024c08000000000e012158")</f>
        <v>https://www.xiaohongshu.com/user/profile/68024c08000000000e012158</v>
      </c>
      <c r="C66" s="2" t="str">
        <f>=HYPERLINK("https://pgy.xiaohongshu.com/solar/pre-trade/blogger-detail/68024c08000000000e012158", "https://pgy.xiaohongshu.com/solar/pre-trade/blogger-detail/68024c08000000000e012158")</f>
        <v>https://pgy.xiaohongshu.com/solar/pre-trade/blogger-detail/68024c08000000000e012158</v>
      </c>
      <c r="D66" t="inlineStr">
        <is>
          <t>男</t>
        </is>
      </c>
      <c r="E66" t="inlineStr">
        <is>
          <t>95312014953</t>
        </is>
      </c>
      <c r="F66" t="inlineStr">
        <is>
          <t>加菲猫爱吃千层面</t>
        </is>
      </c>
      <c r="G66" t="inlineStr">
        <is>
          <t>英国</t>
        </is>
      </c>
      <c r="H66" t="inlineStr">
        <is>
          <t>留学背景, 学生</t>
        </is>
      </c>
      <c r="I66" t="inlineStr">
        <is>
          <t>教育</t>
        </is>
      </c>
      <c r="J66">
        <v>10402</v>
      </c>
      <c r="K66" t="inlineStr">
        <is>
          <t>1.0</t>
        </is>
      </c>
      <c r="L66">
        <v>40861</v>
      </c>
      <c r="M66">
        <v>5719</v>
      </c>
      <c r="N66">
        <v>449</v>
      </c>
      <c r="O66">
        <v>500</v>
      </c>
      <c r="P66">
        <v>0.125</v>
      </c>
      <c r="Q66">
        <v>0.75</v>
      </c>
      <c r="R66">
        <v>20115</v>
      </c>
      <c r="S66">
        <v>3837</v>
      </c>
      <c r="T66">
        <v>214</v>
      </c>
      <c r="U66">
        <v>0.65</v>
      </c>
      <c r="V66">
        <v>500</v>
      </c>
      <c r="W66">
        <v>1</v>
      </c>
      <c r="X66">
        <v>0</v>
      </c>
      <c r="Y66">
        <v>48.33</v>
      </c>
      <c r="Z66">
        <v>3.25</v>
      </c>
      <c r="AA66">
        <v>60615</v>
      </c>
      <c r="AB66">
        <v>7601</v>
      </c>
      <c r="AC66">
        <v>518</v>
      </c>
      <c r="AD66">
        <v>1.73</v>
      </c>
      <c r="AE66">
        <v>1200</v>
      </c>
      <c r="AF66">
        <v>0.714</v>
      </c>
      <c r="AG66">
        <v>0.143</v>
      </c>
      <c r="AH66">
        <v>0.0969999999999999</v>
      </c>
      <c r="AI66">
        <v>60.51</v>
      </c>
      <c r="AJ66">
        <v>2.04</v>
      </c>
      <c r="AK66">
        <v>10345</v>
      </c>
      <c r="AL66">
        <v>1422</v>
      </c>
      <c r="AM66">
        <v>149</v>
      </c>
      <c r="AN66">
        <v>0</v>
      </c>
      <c r="AO66">
        <v>0</v>
      </c>
      <c r="AP66">
        <v>0.971</v>
      </c>
      <c r="AQ66">
        <v>0.18</v>
      </c>
      <c r="AR66">
        <v>0.45</v>
      </c>
      <c r="AS66" s="3">
        <v>46107.76592592592</v>
      </c>
    </row>
    <row r="67" ht="25.5" customHeight="1">
      <c r="A67" t="inlineStr">
        <is>
          <t>61a9d12f000000001000a8eb</t>
        </is>
      </c>
      <c r="B67" s="2" t="str">
        <f>=HYPERLINK("https://www.xiaohongshu.com/user/profile/61a9d12f000000001000a8eb", "https://www.xiaohongshu.com/user/profile/61a9d12f000000001000a8eb")</f>
        <v>https://www.xiaohongshu.com/user/profile/61a9d12f000000001000a8eb</v>
      </c>
      <c r="C67" s="2" t="str">
        <f>=HYPERLINK("https://pgy.xiaohongshu.com/solar/pre-trade/blogger-detail/61a9d12f000000001000a8eb", "https://pgy.xiaohongshu.com/solar/pre-trade/blogger-detail/61a9d12f000000001000a8eb")</f>
        <v>https://pgy.xiaohongshu.com/solar/pre-trade/blogger-detail/61a9d12f000000001000a8eb</v>
      </c>
      <c r="D67" t="inlineStr">
        <is>
          <t>男</t>
        </is>
      </c>
      <c r="E67" t="inlineStr">
        <is>
          <t>a12138z12138</t>
        </is>
      </c>
      <c r="F67" t="inlineStr">
        <is>
          <t>艾斯姐</t>
        </is>
      </c>
      <c r="G67" t="inlineStr">
        <is>
          <t>辽宁 沈阳 法库县</t>
        </is>
      </c>
      <c r="H67"/>
      <c r="I67" t="inlineStr">
        <is>
          <t>教育</t>
        </is>
      </c>
      <c r="J67">
        <v>34725</v>
      </c>
      <c r="K67" t="inlineStr">
        <is>
          <t>3.5</t>
        </is>
      </c>
      <c r="L67">
        <v>30832</v>
      </c>
      <c r="M67">
        <v>6874</v>
      </c>
      <c r="N67">
        <v>312</v>
      </c>
      <c r="O67">
        <v>1500</v>
      </c>
      <c r="P67">
        <v>0</v>
      </c>
      <c r="Q67">
        <v>1</v>
      </c>
      <c r="R67">
        <v>0</v>
      </c>
      <c r="S67">
        <v>0</v>
      </c>
      <c r="T67">
        <v>0</v>
      </c>
      <c r="U67">
        <v>0</v>
      </c>
      <c r="V67">
        <v>1500</v>
      </c>
      <c r="W67">
        <v>0</v>
      </c>
      <c r="X67">
        <v>0</v>
      </c>
      <c r="Y67">
        <v>0</v>
      </c>
      <c r="Z67">
        <v>0</v>
      </c>
      <c r="AA67">
        <v>30832</v>
      </c>
      <c r="AB67">
        <v>6874</v>
      </c>
      <c r="AC67">
        <v>288</v>
      </c>
      <c r="AD67">
        <v>2.01</v>
      </c>
      <c r="AE67">
        <v>3500</v>
      </c>
      <c r="AF67">
        <v>1</v>
      </c>
      <c r="AG67">
        <v>0</v>
      </c>
      <c r="AH67">
        <v>0.068</v>
      </c>
      <c r="AI67">
        <v>113.52</v>
      </c>
      <c r="AJ67">
        <v>11.2</v>
      </c>
      <c r="AK67">
        <v>0</v>
      </c>
      <c r="AL67">
        <v>0</v>
      </c>
      <c r="AM67">
        <v>0</v>
      </c>
      <c r="AN67">
        <v>0</v>
      </c>
      <c r="AO67">
        <v>0</v>
      </c>
      <c r="AP67">
        <v>0.852</v>
      </c>
      <c r="AQ67">
        <v>0.019</v>
      </c>
      <c r="AR67">
        <v>-0.006</v>
      </c>
      <c r="AS67" s="3">
        <v>46107.76592592592</v>
      </c>
    </row>
    <row r="68" ht="25.5" customHeight="1">
      <c r="A68" t="inlineStr">
        <is>
          <t>6369fbab000000001f0198b1</t>
        </is>
      </c>
      <c r="B68" s="2" t="str">
        <f>=HYPERLINK("https://www.xiaohongshu.com/user/profile/6369fbab000000001f0198b1", "https://www.xiaohongshu.com/user/profile/6369fbab000000001f0198b1")</f>
        <v>https://www.xiaohongshu.com/user/profile/6369fbab000000001f0198b1</v>
      </c>
      <c r="C68" s="2" t="str">
        <f>=HYPERLINK("https://pgy.xiaohongshu.com/solar/pre-trade/blogger-detail/6369fbab000000001f0198b1", "https://pgy.xiaohongshu.com/solar/pre-trade/blogger-detail/6369fbab000000001f0198b1")</f>
        <v>https://pgy.xiaohongshu.com/solar/pre-trade/blogger-detail/6369fbab000000001f0198b1</v>
      </c>
      <c r="D68" t="inlineStr">
        <is>
          <t>男</t>
        </is>
      </c>
      <c r="E68" t="inlineStr">
        <is>
          <t>5331582397</t>
        </is>
      </c>
      <c r="F68" t="inlineStr">
        <is>
          <t>Ethan-小位位</t>
        </is>
      </c>
      <c r="G68" t="inlineStr">
        <is>
          <t>澳大利亚</t>
        </is>
      </c>
      <c r="H68"/>
      <c r="I68" t="inlineStr">
        <is>
          <t>教育, 生活记录</t>
        </is>
      </c>
      <c r="J68">
        <v>10022</v>
      </c>
      <c r="K68" t="inlineStr">
        <is>
          <t>1.0</t>
        </is>
      </c>
      <c r="L68">
        <v>7116</v>
      </c>
      <c r="M68">
        <v>2640</v>
      </c>
      <c r="N68">
        <v>135</v>
      </c>
      <c r="O68">
        <v>1000</v>
      </c>
      <c r="P68">
        <v>0</v>
      </c>
      <c r="Q68">
        <v>0.5</v>
      </c>
      <c r="R68">
        <v>0</v>
      </c>
      <c r="S68">
        <v>0</v>
      </c>
      <c r="T68">
        <v>0</v>
      </c>
      <c r="U68">
        <v>0</v>
      </c>
      <c r="V68">
        <v>1000</v>
      </c>
      <c r="W68">
        <v>0</v>
      </c>
      <c r="X68">
        <v>0</v>
      </c>
      <c r="Y68">
        <v>0</v>
      </c>
      <c r="Z68">
        <v>0</v>
      </c>
      <c r="AA68">
        <v>7116</v>
      </c>
      <c r="AB68">
        <v>2640</v>
      </c>
      <c r="AC68">
        <v>118</v>
      </c>
      <c r="AD68">
        <v>2.32</v>
      </c>
      <c r="AE68">
        <v>1400</v>
      </c>
      <c r="AF68">
        <v>0.5</v>
      </c>
      <c r="AG68">
        <v>0</v>
      </c>
      <c r="AH68">
        <v>0.322</v>
      </c>
      <c r="AI68">
        <v>168.35</v>
      </c>
      <c r="AJ68">
        <v>8.81</v>
      </c>
      <c r="AK68">
        <v>8834</v>
      </c>
      <c r="AL68">
        <v>1468</v>
      </c>
      <c r="AM68">
        <v>150</v>
      </c>
      <c r="AN68">
        <v>0</v>
      </c>
      <c r="AO68">
        <v>0</v>
      </c>
      <c r="AP68">
        <v>0.900999999999999</v>
      </c>
      <c r="AQ68">
        <v>0.033</v>
      </c>
      <c r="AR68">
        <v>0.009</v>
      </c>
      <c r="AS68" s="3">
        <v>46107.76592592592</v>
      </c>
    </row>
    <row r="69" ht="25.5" customHeight="1">
      <c r="A69" t="inlineStr">
        <is>
          <t>55fb2ab762a60c4b87472e1b</t>
        </is>
      </c>
      <c r="B69" s="2" t="str">
        <f>=HYPERLINK("https://www.xiaohongshu.com/user/profile/55fb2ab762a60c4b87472e1b", "https://www.xiaohongshu.com/user/profile/55fb2ab762a60c4b87472e1b")</f>
        <v>https://www.xiaohongshu.com/user/profile/55fb2ab762a60c4b87472e1b</v>
      </c>
      <c r="C69" s="2" t="str">
        <f>=HYPERLINK("https://pgy.xiaohongshu.com/solar/pre-trade/blogger-detail/55fb2ab762a60c4b87472e1b", "https://pgy.xiaohongshu.com/solar/pre-trade/blogger-detail/55fb2ab762a60c4b87472e1b")</f>
        <v>https://pgy.xiaohongshu.com/solar/pre-trade/blogger-detail/55fb2ab762a60c4b87472e1b</v>
      </c>
      <c r="D69" t="inlineStr">
        <is>
          <t>女</t>
        </is>
      </c>
      <c r="E69" t="inlineStr">
        <is>
          <t>100799333</t>
        </is>
      </c>
      <c r="F69" t="inlineStr">
        <is>
          <t>HanyuZ</t>
        </is>
      </c>
      <c r="G69" t="inlineStr">
        <is>
          <t>浙江 衢州 柯城区</t>
        </is>
      </c>
      <c r="H69" t="inlineStr">
        <is>
          <t>建筑设计师</t>
        </is>
      </c>
      <c r="I69" t="inlineStr">
        <is>
          <t>教育, 生活记录</t>
        </is>
      </c>
      <c r="J69">
        <v>17540</v>
      </c>
      <c r="K69" t="inlineStr">
        <is>
          <t>1.8</t>
        </is>
      </c>
      <c r="L69">
        <v>11887</v>
      </c>
      <c r="M69">
        <v>3517</v>
      </c>
      <c r="N69">
        <v>458</v>
      </c>
      <c r="O69">
        <v>2000</v>
      </c>
      <c r="P69">
        <v>0.286</v>
      </c>
      <c r="Q69">
        <v>0.714</v>
      </c>
      <c r="R69">
        <v>13539</v>
      </c>
      <c r="S69">
        <v>2029</v>
      </c>
      <c r="T69">
        <v>228</v>
      </c>
      <c r="U69">
        <v>1.29</v>
      </c>
      <c r="V69">
        <v>2000</v>
      </c>
      <c r="W69">
        <v>0.5</v>
      </c>
      <c r="X69">
        <v>0</v>
      </c>
      <c r="Y69">
        <v>147.72</v>
      </c>
      <c r="Z69">
        <v>7.27</v>
      </c>
      <c r="AA69">
        <v>11887</v>
      </c>
      <c r="AB69">
        <v>3517</v>
      </c>
      <c r="AC69">
        <v>394</v>
      </c>
      <c r="AD69">
        <v>2.35</v>
      </c>
      <c r="AE69">
        <v>3000</v>
      </c>
      <c r="AF69">
        <v>0.8</v>
      </c>
      <c r="AG69">
        <v>0.4</v>
      </c>
      <c r="AH69">
        <v>0.034</v>
      </c>
      <c r="AI69">
        <v>252.38</v>
      </c>
      <c r="AJ69">
        <v>6.55</v>
      </c>
      <c r="AK69">
        <v>34592</v>
      </c>
      <c r="AL69">
        <v>5523</v>
      </c>
      <c r="AM69">
        <v>728</v>
      </c>
      <c r="AN69">
        <v>0</v>
      </c>
      <c r="AO69">
        <v>0</v>
      </c>
      <c r="AP69">
        <v>0.863</v>
      </c>
      <c r="AQ69">
        <v>0.148</v>
      </c>
      <c r="AR69">
        <v>0.28</v>
      </c>
      <c r="AS69" s="3">
        <v>46107.76592592592</v>
      </c>
    </row>
    <row r="70" ht="25.5" customHeight="1">
      <c r="A70" t="inlineStr">
        <is>
          <t>5ad378d6e8ac2b5376002315</t>
        </is>
      </c>
      <c r="B70" s="2" t="str">
        <f>=HYPERLINK("https://www.xiaohongshu.com/user/profile/5ad378d6e8ac2b5376002315", "https://www.xiaohongshu.com/user/profile/5ad378d6e8ac2b5376002315")</f>
        <v>https://www.xiaohongshu.com/user/profile/5ad378d6e8ac2b5376002315</v>
      </c>
      <c r="C70" s="2" t="str">
        <f>=HYPERLINK("https://pgy.xiaohongshu.com/solar/pre-trade/blogger-detail/5ad378d6e8ac2b5376002315", "https://pgy.xiaohongshu.com/solar/pre-trade/blogger-detail/5ad378d6e8ac2b5376002315")</f>
        <v>https://pgy.xiaohongshu.com/solar/pre-trade/blogger-detail/5ad378d6e8ac2b5376002315</v>
      </c>
      <c r="D70" t="inlineStr">
        <is>
          <t>女</t>
        </is>
      </c>
      <c r="E70" t="inlineStr">
        <is>
          <t>492431876</t>
        </is>
      </c>
      <c r="F70" t="inlineStr">
        <is>
          <t>kary凯锐</t>
        </is>
      </c>
      <c r="G70" t="inlineStr">
        <is>
          <t>北京</t>
        </is>
      </c>
      <c r="H70"/>
      <c r="I70" t="inlineStr">
        <is>
          <t>教育</t>
        </is>
      </c>
      <c r="J70">
        <v>25538</v>
      </c>
      <c r="K70" t="inlineStr">
        <is>
          <t>2.6</t>
        </is>
      </c>
      <c r="L70">
        <v>135151</v>
      </c>
      <c r="M70">
        <v>19545</v>
      </c>
      <c r="N70">
        <v>2913</v>
      </c>
      <c r="O70">
        <v>2000</v>
      </c>
      <c r="P70">
        <v>0</v>
      </c>
      <c r="Q70">
        <v>1</v>
      </c>
      <c r="R70">
        <v>0</v>
      </c>
      <c r="S70">
        <v>0</v>
      </c>
      <c r="T70">
        <v>0</v>
      </c>
      <c r="U70">
        <v>0</v>
      </c>
      <c r="V70">
        <v>800</v>
      </c>
      <c r="W70">
        <v>0</v>
      </c>
      <c r="X70">
        <v>0</v>
      </c>
      <c r="Y70">
        <v>0</v>
      </c>
      <c r="Z70">
        <v>0</v>
      </c>
      <c r="AA70">
        <v>135151</v>
      </c>
      <c r="AB70">
        <v>19545</v>
      </c>
      <c r="AC70">
        <v>1507</v>
      </c>
      <c r="AD70">
        <v>1.6</v>
      </c>
      <c r="AE70">
        <v>2000</v>
      </c>
      <c r="AF70">
        <v>1</v>
      </c>
      <c r="AG70">
        <v>0</v>
      </c>
      <c r="AH70">
        <v>0.113</v>
      </c>
      <c r="AI70">
        <v>14.8</v>
      </c>
      <c r="AJ70">
        <v>0.69</v>
      </c>
      <c r="AK70">
        <v>0</v>
      </c>
      <c r="AL70">
        <v>0</v>
      </c>
      <c r="AM70">
        <v>0</v>
      </c>
      <c r="AN70">
        <v>0</v>
      </c>
      <c r="AO70">
        <v>0</v>
      </c>
      <c r="AP70">
        <v>0.794</v>
      </c>
      <c r="AQ70">
        <v>0.024</v>
      </c>
      <c r="AR70">
        <v>0.035</v>
      </c>
      <c r="AS70" s="3">
        <v>46107.76592592592</v>
      </c>
    </row>
    <row r="71" ht="25.5" customHeight="1">
      <c r="A71" t="inlineStr">
        <is>
          <t>66b2426b000000001d031fe1</t>
        </is>
      </c>
      <c r="B71" s="2" t="str">
        <f>=HYPERLINK("https://www.xiaohongshu.com/user/profile/66b2426b000000001d031fe1", "https://www.xiaohongshu.com/user/profile/66b2426b000000001d031fe1")</f>
        <v>https://www.xiaohongshu.com/user/profile/66b2426b000000001d031fe1</v>
      </c>
      <c r="C71" s="2" t="str">
        <f>=HYPERLINK("https://pgy.xiaohongshu.com/solar/pre-trade/blogger-detail/66b2426b000000001d031fe1", "https://pgy.xiaohongshu.com/solar/pre-trade/blogger-detail/66b2426b000000001d031fe1")</f>
        <v>https://pgy.xiaohongshu.com/solar/pre-trade/blogger-detail/66b2426b000000001d031fe1</v>
      </c>
      <c r="D71" t="inlineStr">
        <is>
          <t>男</t>
        </is>
      </c>
      <c r="E71" t="inlineStr">
        <is>
          <t>95421863221</t>
        </is>
      </c>
      <c r="F71" t="inlineStr">
        <is>
          <t>就是乐le_</t>
        </is>
      </c>
      <c r="G71" t="inlineStr">
        <is>
          <t>天津</t>
        </is>
      </c>
      <c r="H71" t="inlineStr">
        <is>
          <t>数码爱好者, 学生</t>
        </is>
      </c>
      <c r="I71" t="inlineStr">
        <is>
          <t>教育</t>
        </is>
      </c>
      <c r="J71">
        <v>27080</v>
      </c>
      <c r="K71" t="inlineStr">
        <is>
          <t>2.7</t>
        </is>
      </c>
      <c r="L71">
        <v>85066</v>
      </c>
      <c r="M71">
        <v>11159</v>
      </c>
      <c r="N71">
        <v>1947</v>
      </c>
      <c r="O71">
        <v>2300</v>
      </c>
      <c r="P71">
        <v>1</v>
      </c>
      <c r="Q71">
        <v>1</v>
      </c>
      <c r="R71">
        <v>0</v>
      </c>
      <c r="S71">
        <v>0</v>
      </c>
      <c r="T71">
        <v>0</v>
      </c>
      <c r="U71">
        <v>0</v>
      </c>
      <c r="V71">
        <v>2300</v>
      </c>
      <c r="W71">
        <v>0</v>
      </c>
      <c r="X71">
        <v>0</v>
      </c>
      <c r="Y71">
        <v>0</v>
      </c>
      <c r="Z71">
        <v>0</v>
      </c>
      <c r="AA71">
        <v>85066</v>
      </c>
      <c r="AB71">
        <v>11159</v>
      </c>
      <c r="AC71">
        <v>1848</v>
      </c>
      <c r="AD71">
        <v>2.04</v>
      </c>
      <c r="AE71">
        <v>3300</v>
      </c>
      <c r="AF71">
        <v>1</v>
      </c>
      <c r="AG71">
        <v>1</v>
      </c>
      <c r="AH71">
        <v>0.04</v>
      </c>
      <c r="AI71">
        <v>108.08</v>
      </c>
      <c r="AJ71">
        <v>3.04</v>
      </c>
      <c r="AK71">
        <v>9329</v>
      </c>
      <c r="AL71">
        <v>1074</v>
      </c>
      <c r="AM71">
        <v>203</v>
      </c>
      <c r="AN71">
        <v>0</v>
      </c>
      <c r="AO71">
        <v>0</v>
      </c>
      <c r="AP71">
        <v>0.854</v>
      </c>
      <c r="AQ71">
        <v>0.022</v>
      </c>
      <c r="AR71">
        <v>0.012</v>
      </c>
      <c r="AS71" s="3">
        <v>46107.76592592592</v>
      </c>
    </row>
    <row r="72" ht="25.5" customHeight="1">
      <c r="A72" t="inlineStr">
        <is>
          <t>643baec3000000001400d3c8</t>
        </is>
      </c>
      <c r="B72" s="2" t="str">
        <f>=HYPERLINK("https://www.xiaohongshu.com/user/profile/643baec3000000001400d3c8", "https://www.xiaohongshu.com/user/profile/643baec3000000001400d3c8")</f>
        <v>https://www.xiaohongshu.com/user/profile/643baec3000000001400d3c8</v>
      </c>
      <c r="C72" s="2" t="str">
        <f>=HYPERLINK("https://pgy.xiaohongshu.com/solar/pre-trade/blogger-detail/643baec3000000001400d3c8", "https://pgy.xiaohongshu.com/solar/pre-trade/blogger-detail/643baec3000000001400d3c8")</f>
        <v>https://pgy.xiaohongshu.com/solar/pre-trade/blogger-detail/643baec3000000001400d3c8</v>
      </c>
      <c r="D72" t="inlineStr">
        <is>
          <t>男</t>
        </is>
      </c>
      <c r="E72" t="inlineStr">
        <is>
          <t>5560897045</t>
        </is>
      </c>
      <c r="F72" t="inlineStr">
        <is>
          <t>屿小屿</t>
        </is>
      </c>
      <c r="G72" t="inlineStr">
        <is>
          <t>美国</t>
        </is>
      </c>
      <c r="H72" t="inlineStr">
        <is>
          <t>留学背景, 学生</t>
        </is>
      </c>
      <c r="I72" t="inlineStr">
        <is>
          <t>教育</t>
        </is>
      </c>
      <c r="J72">
        <v>8621</v>
      </c>
      <c r="K72" t="inlineStr">
        <is>
          <t>0.9</t>
        </is>
      </c>
      <c r="L72">
        <v>26540</v>
      </c>
      <c r="M72">
        <v>4467</v>
      </c>
      <c r="N72">
        <v>573</v>
      </c>
      <c r="O72">
        <v>900</v>
      </c>
      <c r="P72">
        <v>0.25</v>
      </c>
      <c r="Q72">
        <v>0.5</v>
      </c>
      <c r="R72">
        <v>26540</v>
      </c>
      <c r="S72">
        <v>4467</v>
      </c>
      <c r="T72">
        <v>481</v>
      </c>
      <c r="U72">
        <v>0.43</v>
      </c>
      <c r="V72">
        <v>900</v>
      </c>
      <c r="W72">
        <v>0.5</v>
      </c>
      <c r="X72">
        <v>0.25</v>
      </c>
      <c r="Y72">
        <v>22.74</v>
      </c>
      <c r="Z72">
        <v>0.94</v>
      </c>
      <c r="AA72">
        <v>0</v>
      </c>
      <c r="AB72">
        <v>0</v>
      </c>
      <c r="AC72">
        <v>0</v>
      </c>
      <c r="AD72">
        <v>0</v>
      </c>
      <c r="AE72">
        <v>1184</v>
      </c>
      <c r="AF72">
        <v>0</v>
      </c>
      <c r="AG72">
        <v>0</v>
      </c>
      <c r="AH72">
        <v>0</v>
      </c>
      <c r="AI72">
        <v>0</v>
      </c>
      <c r="AJ72">
        <v>0</v>
      </c>
      <c r="AK72">
        <v>51951</v>
      </c>
      <c r="AL72">
        <v>8315</v>
      </c>
      <c r="AM72">
        <v>1494</v>
      </c>
      <c r="AN72">
        <v>0</v>
      </c>
      <c r="AO72">
        <v>0</v>
      </c>
      <c r="AP72">
        <v>0.868</v>
      </c>
      <c r="AQ72">
        <v>0.099</v>
      </c>
      <c r="AR72">
        <v>0.063</v>
      </c>
      <c r="AS72" s="3">
        <v>46107.76592592592</v>
      </c>
    </row>
    <row r="73" ht="25.5" customHeight="1">
      <c r="A73" t="inlineStr">
        <is>
          <t>62442cb1000000002102154c</t>
        </is>
      </c>
      <c r="B73" s="2" t="str">
        <f>=HYPERLINK("https://www.xiaohongshu.com/user/profile/62442cb1000000002102154c", "https://www.xiaohongshu.com/user/profile/62442cb1000000002102154c")</f>
        <v>https://www.xiaohongshu.com/user/profile/62442cb1000000002102154c</v>
      </c>
      <c r="C73" s="2" t="str">
        <f>=HYPERLINK("https://pgy.xiaohongshu.com/solar/pre-trade/blogger-detail/62442cb1000000002102154c", "https://pgy.xiaohongshu.com/solar/pre-trade/blogger-detail/62442cb1000000002102154c")</f>
        <v>https://pgy.xiaohongshu.com/solar/pre-trade/blogger-detail/62442cb1000000002102154c</v>
      </c>
      <c r="D73" t="inlineStr">
        <is>
          <t>女</t>
        </is>
      </c>
      <c r="E73" t="inlineStr">
        <is>
          <t>4784306497</t>
        </is>
      </c>
      <c r="F73" t="inlineStr">
        <is>
          <t>Lucky Cookie</t>
        </is>
      </c>
      <c r="G73" t="inlineStr">
        <is>
          <t>广东 深圳 福田区</t>
        </is>
      </c>
      <c r="H73"/>
      <c r="I73" t="inlineStr">
        <is>
          <t>职场, 教育</t>
        </is>
      </c>
      <c r="J73">
        <v>4587</v>
      </c>
      <c r="K73" t="inlineStr">
        <is>
          <t>0.5</t>
        </is>
      </c>
      <c r="L73">
        <v>23717</v>
      </c>
      <c r="M73">
        <v>5305</v>
      </c>
      <c r="N73">
        <v>158</v>
      </c>
      <c r="O73">
        <v>800</v>
      </c>
      <c r="P73">
        <v>0</v>
      </c>
      <c r="Q73">
        <v>0.6</v>
      </c>
      <c r="R73">
        <v>23717</v>
      </c>
      <c r="S73">
        <v>5305</v>
      </c>
      <c r="T73">
        <v>154</v>
      </c>
      <c r="U73">
        <v>0.66</v>
      </c>
      <c r="V73">
        <v>800</v>
      </c>
      <c r="W73">
        <v>0.6</v>
      </c>
      <c r="X73">
        <v>0</v>
      </c>
      <c r="Y73">
        <v>65.02</v>
      </c>
      <c r="Z73">
        <v>6.3</v>
      </c>
      <c r="AA73">
        <v>0</v>
      </c>
      <c r="AB73">
        <v>0</v>
      </c>
      <c r="AC73">
        <v>0</v>
      </c>
      <c r="AD73">
        <v>0</v>
      </c>
      <c r="AE73">
        <v>2000</v>
      </c>
      <c r="AF73">
        <v>0</v>
      </c>
      <c r="AG73">
        <v>0</v>
      </c>
      <c r="AH73">
        <v>0</v>
      </c>
      <c r="AI73">
        <v>0</v>
      </c>
      <c r="AJ73">
        <v>0</v>
      </c>
      <c r="AK73">
        <v>9651</v>
      </c>
      <c r="AL73">
        <v>1132</v>
      </c>
      <c r="AM73">
        <v>91</v>
      </c>
      <c r="AN73">
        <v>0</v>
      </c>
      <c r="AO73">
        <v>669.17</v>
      </c>
      <c r="AP73">
        <v>0.874</v>
      </c>
      <c r="AQ73">
        <v>0.061</v>
      </c>
      <c r="AR73">
        <v>0.055</v>
      </c>
      <c r="AS73" s="3">
        <v>46107.76592592592</v>
      </c>
    </row>
    <row r="74" ht="25.5" customHeight="1">
      <c r="A74" t="inlineStr">
        <is>
          <t>61b719df0000000010008c23</t>
        </is>
      </c>
      <c r="B74" s="2" t="str">
        <f>=HYPERLINK("https://www.xiaohongshu.com/user/profile/61b719df0000000010008c23", "https://www.xiaohongshu.com/user/profile/61b719df0000000010008c23")</f>
        <v>https://www.xiaohongshu.com/user/profile/61b719df0000000010008c23</v>
      </c>
      <c r="C74" s="2" t="str">
        <f>=HYPERLINK("https://pgy.xiaohongshu.com/solar/pre-trade/blogger-detail/61b719df0000000010008c23", "https://pgy.xiaohongshu.com/solar/pre-trade/blogger-detail/61b719df0000000010008c23")</f>
        <v>https://pgy.xiaohongshu.com/solar/pre-trade/blogger-detail/61b719df0000000010008c23</v>
      </c>
      <c r="D74" t="inlineStr">
        <is>
          <t>女</t>
        </is>
      </c>
      <c r="E74" t="inlineStr">
        <is>
          <t>lzxlzxlzx555</t>
        </is>
      </c>
      <c r="F74" t="inlineStr">
        <is>
          <t>芙罗拉廖小姐</t>
        </is>
      </c>
      <c r="G74" t="inlineStr">
        <is>
          <t>瑞典</t>
        </is>
      </c>
      <c r="H74" t="inlineStr">
        <is>
          <t>留学背景</t>
        </is>
      </c>
      <c r="I74" t="inlineStr">
        <is>
          <t>教育, 生活记录</t>
        </is>
      </c>
      <c r="J74">
        <v>49407</v>
      </c>
      <c r="K74" t="inlineStr">
        <is>
          <t>4.9</t>
        </is>
      </c>
      <c r="L74">
        <v>41445</v>
      </c>
      <c r="M74">
        <v>13751</v>
      </c>
      <c r="N74">
        <v>1265</v>
      </c>
      <c r="O74">
        <v>8000</v>
      </c>
      <c r="P74">
        <v>0.4</v>
      </c>
      <c r="Q74">
        <v>1</v>
      </c>
      <c r="R74">
        <v>0</v>
      </c>
      <c r="S74">
        <v>0</v>
      </c>
      <c r="T74">
        <v>0</v>
      </c>
      <c r="U74">
        <v>0</v>
      </c>
      <c r="V74">
        <v>2500</v>
      </c>
      <c r="W74">
        <v>0</v>
      </c>
      <c r="X74">
        <v>0</v>
      </c>
      <c r="Y74">
        <v>0</v>
      </c>
      <c r="Z74">
        <v>0</v>
      </c>
      <c r="AA74">
        <v>44959</v>
      </c>
      <c r="AB74">
        <v>15125</v>
      </c>
      <c r="AC74">
        <v>1167</v>
      </c>
      <c r="AD74">
        <v>2.03</v>
      </c>
      <c r="AE74">
        <v>8000</v>
      </c>
      <c r="AF74">
        <v>1</v>
      </c>
      <c r="AG74">
        <v>0.4</v>
      </c>
      <c r="AH74">
        <v>0.183</v>
      </c>
      <c r="AI74">
        <v>179.42</v>
      </c>
      <c r="AJ74">
        <v>5.49</v>
      </c>
      <c r="AK74">
        <v>92445</v>
      </c>
      <c r="AL74">
        <v>13815</v>
      </c>
      <c r="AM74">
        <v>1174</v>
      </c>
      <c r="AN74">
        <v>0</v>
      </c>
      <c r="AO74">
        <v>0</v>
      </c>
      <c r="AP74">
        <v>0.943</v>
      </c>
      <c r="AQ74">
        <v>0.11</v>
      </c>
      <c r="AR74">
        <v>0.045</v>
      </c>
      <c r="AS74" s="3">
        <v>46107.76592592592</v>
      </c>
    </row>
    <row r="75" ht="25.5" customHeight="1">
      <c r="A75" t="inlineStr">
        <is>
          <t>5c60112e000000001a03983a</t>
        </is>
      </c>
      <c r="B75" s="2" t="str">
        <f>=HYPERLINK("https://www.xiaohongshu.com/user/profile/5c60112e000000001a03983a", "https://www.xiaohongshu.com/user/profile/5c60112e000000001a03983a")</f>
        <v>https://www.xiaohongshu.com/user/profile/5c60112e000000001a03983a</v>
      </c>
      <c r="C75" s="2" t="str">
        <f>=HYPERLINK("https://pgy.xiaohongshu.com/solar/pre-trade/blogger-detail/5c60112e000000001a03983a", "https://pgy.xiaohongshu.com/solar/pre-trade/blogger-detail/5c60112e000000001a03983a")</f>
        <v>https://pgy.xiaohongshu.com/solar/pre-trade/blogger-detail/5c60112e000000001a03983a</v>
      </c>
      <c r="D75" t="inlineStr">
        <is>
          <t>女</t>
        </is>
      </c>
      <c r="E75" t="inlineStr">
        <is>
          <t>florarara</t>
        </is>
      </c>
      <c r="F75" t="inlineStr">
        <is>
          <t>🌸芙洛拉啦啦</t>
        </is>
      </c>
      <c r="G75" t="inlineStr">
        <is>
          <t>湖北 武汉 蔡甸区</t>
        </is>
      </c>
      <c r="H75" t="inlineStr">
        <is>
          <t>妈妈, 翻译</t>
        </is>
      </c>
      <c r="I75" t="inlineStr">
        <is>
          <t>教育</t>
        </is>
      </c>
      <c r="J75">
        <v>137240</v>
      </c>
      <c r="K75" t="inlineStr">
        <is>
          <t>13.7</t>
        </is>
      </c>
      <c r="L75">
        <v>47117</v>
      </c>
      <c r="M75">
        <v>11143</v>
      </c>
      <c r="N75">
        <v>688</v>
      </c>
      <c r="O75">
        <v>6000</v>
      </c>
      <c r="P75">
        <v>0</v>
      </c>
      <c r="Q75">
        <v>1</v>
      </c>
      <c r="R75">
        <v>0</v>
      </c>
      <c r="S75">
        <v>0</v>
      </c>
      <c r="T75">
        <v>0</v>
      </c>
      <c r="U75">
        <v>0</v>
      </c>
      <c r="V75">
        <v>6000</v>
      </c>
      <c r="W75">
        <v>0</v>
      </c>
      <c r="X75">
        <v>0</v>
      </c>
      <c r="Y75">
        <v>0</v>
      </c>
      <c r="Z75">
        <v>0</v>
      </c>
      <c r="AA75">
        <v>47117</v>
      </c>
      <c r="AB75">
        <v>11143</v>
      </c>
      <c r="AC75">
        <v>581</v>
      </c>
      <c r="AD75">
        <v>3.43</v>
      </c>
      <c r="AE75">
        <v>16888</v>
      </c>
      <c r="AF75">
        <v>1</v>
      </c>
      <c r="AG75">
        <v>0</v>
      </c>
      <c r="AH75">
        <v>0.099</v>
      </c>
      <c r="AI75">
        <v>386.18</v>
      </c>
      <c r="AJ75">
        <v>33.64</v>
      </c>
      <c r="AK75">
        <v>4124</v>
      </c>
      <c r="AL75">
        <v>556</v>
      </c>
      <c r="AM75">
        <v>43</v>
      </c>
      <c r="AN75">
        <v>0</v>
      </c>
      <c r="AO75">
        <v>0</v>
      </c>
      <c r="AP75">
        <v>0.854</v>
      </c>
      <c r="AQ75">
        <v>0.018</v>
      </c>
      <c r="AR75">
        <v>-0.001</v>
      </c>
      <c r="AS75" s="3">
        <v>46107.76592592592</v>
      </c>
    </row>
    <row r="76" ht="25.5" customHeight="1">
      <c r="A76" t="inlineStr">
        <is>
          <t>629733510000000021024e65</t>
        </is>
      </c>
      <c r="B76" s="2" t="str">
        <f>=HYPERLINK("https://www.xiaohongshu.com/user/profile/629733510000000021024e65", "https://www.xiaohongshu.com/user/profile/629733510000000021024e65")</f>
        <v>https://www.xiaohongshu.com/user/profile/629733510000000021024e65</v>
      </c>
      <c r="C76" s="2" t="str">
        <f>=HYPERLINK("https://pgy.xiaohongshu.com/solar/pre-trade/blogger-detail/629733510000000021024e65", "https://pgy.xiaohongshu.com/solar/pre-trade/blogger-detail/629733510000000021024e65")</f>
        <v>https://pgy.xiaohongshu.com/solar/pre-trade/blogger-detail/629733510000000021024e65</v>
      </c>
      <c r="D76" t="inlineStr">
        <is>
          <t>男</t>
        </is>
      </c>
      <c r="E76" t="inlineStr">
        <is>
          <t>4133439731</t>
        </is>
      </c>
      <c r="F76" t="inlineStr">
        <is>
          <t>平陆成江</t>
        </is>
      </c>
      <c r="G76" t="inlineStr">
        <is>
          <t>英国</t>
        </is>
      </c>
      <c r="H76" t="inlineStr">
        <is>
          <t>留学背景, 学生</t>
        </is>
      </c>
      <c r="I76" t="inlineStr">
        <is>
          <t>教育</t>
        </is>
      </c>
      <c r="J76">
        <v>24590</v>
      </c>
      <c r="K76" t="inlineStr">
        <is>
          <t>2.5</t>
        </is>
      </c>
      <c r="L76">
        <v>11648</v>
      </c>
      <c r="M76">
        <v>1766</v>
      </c>
      <c r="N76">
        <v>154</v>
      </c>
      <c r="O76">
        <v>1400</v>
      </c>
      <c r="P76">
        <v>0</v>
      </c>
      <c r="Q76">
        <v>0.571</v>
      </c>
      <c r="R76">
        <v>11648</v>
      </c>
      <c r="S76">
        <v>1473</v>
      </c>
      <c r="T76">
        <v>140</v>
      </c>
      <c r="U76">
        <v>1.25</v>
      </c>
      <c r="V76">
        <v>1400</v>
      </c>
      <c r="W76">
        <v>0.667</v>
      </c>
      <c r="X76">
        <v>0</v>
      </c>
      <c r="Y76">
        <v>120.19</v>
      </c>
      <c r="Z76">
        <v>9.09</v>
      </c>
      <c r="AA76">
        <v>11218</v>
      </c>
      <c r="AB76">
        <v>2270</v>
      </c>
      <c r="AC76">
        <v>210</v>
      </c>
      <c r="AD76">
        <v>3.15</v>
      </c>
      <c r="AE76">
        <v>2911</v>
      </c>
      <c r="AF76">
        <v>0.5</v>
      </c>
      <c r="AG76">
        <v>0</v>
      </c>
      <c r="AH76">
        <v>0.18</v>
      </c>
      <c r="AI76">
        <v>285.64</v>
      </c>
      <c r="AJ76">
        <v>19.15</v>
      </c>
      <c r="AK76">
        <v>9587</v>
      </c>
      <c r="AL76">
        <v>1205</v>
      </c>
      <c r="AM76">
        <v>123</v>
      </c>
      <c r="AN76">
        <v>0</v>
      </c>
      <c r="AO76">
        <v>0</v>
      </c>
      <c r="AP76">
        <v>0.909</v>
      </c>
      <c r="AQ76">
        <v>0.047</v>
      </c>
      <c r="AR76">
        <v>0.022</v>
      </c>
      <c r="AS76" s="3">
        <v>46107.76592592592</v>
      </c>
    </row>
    <row r="77" ht="25.5" customHeight="1">
      <c r="A77" t="inlineStr">
        <is>
          <t>5e566b9a0000000001009988</t>
        </is>
      </c>
      <c r="B77" s="2" t="str">
        <f>=HYPERLINK("https://www.xiaohongshu.com/user/profile/5e566b9a0000000001009988", "https://www.xiaohongshu.com/user/profile/5e566b9a0000000001009988")</f>
        <v>https://www.xiaohongshu.com/user/profile/5e566b9a0000000001009988</v>
      </c>
      <c r="C77" s="2" t="str">
        <f>=HYPERLINK("https://pgy.xiaohongshu.com/solar/pre-trade/blogger-detail/5e566b9a0000000001009988", "https://pgy.xiaohongshu.com/solar/pre-trade/blogger-detail/5e566b9a0000000001009988")</f>
        <v>https://pgy.xiaohongshu.com/solar/pre-trade/blogger-detail/5e566b9a0000000001009988</v>
      </c>
      <c r="D77" t="inlineStr">
        <is>
          <t>女</t>
        </is>
      </c>
      <c r="E77" t="inlineStr">
        <is>
          <t>571277914</t>
        </is>
      </c>
      <c r="F77" t="inlineStr">
        <is>
          <t>Sylvia is lucky💐</t>
        </is>
      </c>
      <c r="G77" t="inlineStr">
        <is>
          <t>山东 济南 历下区</t>
        </is>
      </c>
      <c r="H77" t="inlineStr">
        <is>
          <t>考研过来人</t>
        </is>
      </c>
      <c r="I77" t="inlineStr">
        <is>
          <t>教育</t>
        </is>
      </c>
      <c r="J77">
        <v>16665</v>
      </c>
      <c r="K77" t="inlineStr">
        <is>
          <t>1.7</t>
        </is>
      </c>
      <c r="L77">
        <v>8202</v>
      </c>
      <c r="M77">
        <v>1500</v>
      </c>
      <c r="N77">
        <v>370</v>
      </c>
      <c r="O77">
        <v>1200</v>
      </c>
      <c r="P77">
        <v>0</v>
      </c>
      <c r="Q77">
        <v>0.7</v>
      </c>
      <c r="R77">
        <v>8740</v>
      </c>
      <c r="S77">
        <v>1015</v>
      </c>
      <c r="T77">
        <v>255</v>
      </c>
      <c r="U77">
        <v>1.48</v>
      </c>
      <c r="V77">
        <v>1200</v>
      </c>
      <c r="W77">
        <v>1</v>
      </c>
      <c r="X77">
        <v>0</v>
      </c>
      <c r="Y77">
        <v>137.3</v>
      </c>
      <c r="Z77">
        <v>4.48</v>
      </c>
      <c r="AA77">
        <v>7665</v>
      </c>
      <c r="AB77">
        <v>1792</v>
      </c>
      <c r="AC77">
        <v>419</v>
      </c>
      <c r="AD77">
        <v>2.49</v>
      </c>
      <c r="AE77">
        <v>2400</v>
      </c>
      <c r="AF77">
        <v>0.667</v>
      </c>
      <c r="AG77">
        <v>0</v>
      </c>
      <c r="AH77">
        <v>0.07</v>
      </c>
      <c r="AI77">
        <v>265.31</v>
      </c>
      <c r="AJ77">
        <v>4.21</v>
      </c>
      <c r="AK77">
        <v>15798</v>
      </c>
      <c r="AL77">
        <v>7009</v>
      </c>
      <c r="AM77">
        <v>744</v>
      </c>
      <c r="AN77">
        <v>0</v>
      </c>
      <c r="AO77">
        <v>24.72</v>
      </c>
      <c r="AP77">
        <v>0.857</v>
      </c>
      <c r="AQ77">
        <v>0.067</v>
      </c>
      <c r="AR77">
        <v>0.02</v>
      </c>
      <c r="AS77" s="3">
        <v>46107.76592592592</v>
      </c>
    </row>
    <row r="78" ht="25.5" customHeight="1">
      <c r="A78" t="inlineStr">
        <is>
          <t>61f67465000000001000d8f4</t>
        </is>
      </c>
      <c r="B78" s="2" t="str">
        <f>=HYPERLINK("https://www.xiaohongshu.com/user/profile/61f67465000000001000d8f4", "https://www.xiaohongshu.com/user/profile/61f67465000000001000d8f4")</f>
        <v>https://www.xiaohongshu.com/user/profile/61f67465000000001000d8f4</v>
      </c>
      <c r="C78" s="2" t="str">
        <f>=HYPERLINK("https://pgy.xiaohongshu.com/solar/pre-trade/blogger-detail/61f67465000000001000d8f4", "https://pgy.xiaohongshu.com/solar/pre-trade/blogger-detail/61f67465000000001000d8f4")</f>
        <v>https://pgy.xiaohongshu.com/solar/pre-trade/blogger-detail/61f67465000000001000d8f4</v>
      </c>
      <c r="D78" t="inlineStr">
        <is>
          <t>女</t>
        </is>
      </c>
      <c r="E78" t="inlineStr">
        <is>
          <t>2895250002</t>
        </is>
      </c>
      <c r="F78" t="inlineStr">
        <is>
          <t>欧洲致命女人</t>
        </is>
      </c>
      <c r="G78" t="inlineStr">
        <is>
          <t>德国</t>
        </is>
      </c>
      <c r="H78" t="inlineStr">
        <is>
          <t>学生, 留学背景, 海外华人</t>
        </is>
      </c>
      <c r="I78" t="inlineStr">
        <is>
          <t>教育, 生活记录</t>
        </is>
      </c>
      <c r="J78">
        <v>23584</v>
      </c>
      <c r="K78" t="inlineStr">
        <is>
          <t>2.4</t>
        </is>
      </c>
      <c r="L78">
        <v>78951</v>
      </c>
      <c r="M78">
        <v>24240</v>
      </c>
      <c r="N78">
        <v>1001</v>
      </c>
      <c r="O78">
        <v>1500</v>
      </c>
      <c r="P78">
        <v>0.332999999999999</v>
      </c>
      <c r="Q78">
        <v>0.917</v>
      </c>
      <c r="R78">
        <v>0</v>
      </c>
      <c r="S78">
        <v>0</v>
      </c>
      <c r="T78">
        <v>0</v>
      </c>
      <c r="U78">
        <v>0</v>
      </c>
      <c r="V78">
        <v>1500</v>
      </c>
      <c r="W78">
        <v>0</v>
      </c>
      <c r="X78">
        <v>0</v>
      </c>
      <c r="Y78">
        <v>0</v>
      </c>
      <c r="Z78">
        <v>0</v>
      </c>
      <c r="AA78">
        <v>78951</v>
      </c>
      <c r="AB78">
        <v>24240</v>
      </c>
      <c r="AC78">
        <v>959</v>
      </c>
      <c r="AD78">
        <v>1.64</v>
      </c>
      <c r="AE78">
        <v>3000</v>
      </c>
      <c r="AF78">
        <v>0.917</v>
      </c>
      <c r="AG78">
        <v>0.332999999999999</v>
      </c>
      <c r="AH78">
        <v>0.298</v>
      </c>
      <c r="AI78">
        <v>38</v>
      </c>
      <c r="AJ78">
        <v>3</v>
      </c>
      <c r="AK78">
        <v>76559</v>
      </c>
      <c r="AL78">
        <v>16734</v>
      </c>
      <c r="AM78">
        <v>1270</v>
      </c>
      <c r="AN78">
        <v>55</v>
      </c>
      <c r="AO78">
        <v>55.79</v>
      </c>
      <c r="AP78">
        <v>0.957</v>
      </c>
      <c r="AQ78">
        <v>0.25</v>
      </c>
      <c r="AR78">
        <v>0.563</v>
      </c>
      <c r="AS78" s="3">
        <v>46107.76592592592</v>
      </c>
    </row>
    <row r="79" ht="25.5" customHeight="1">
      <c r="A79" t="inlineStr">
        <is>
          <t>5d27432100000000160096b5</t>
        </is>
      </c>
      <c r="B79" s="2" t="str">
        <f>=HYPERLINK("https://www.xiaohongshu.com/user/profile/5d27432100000000160096b5", "https://www.xiaohongshu.com/user/profile/5d27432100000000160096b5")</f>
        <v>https://www.xiaohongshu.com/user/profile/5d27432100000000160096b5</v>
      </c>
      <c r="C79" s="2" t="str">
        <f>=HYPERLINK("https://pgy.xiaohongshu.com/solar/pre-trade/blogger-detail/5d27432100000000160096b5", "https://pgy.xiaohongshu.com/solar/pre-trade/blogger-detail/5d27432100000000160096b5")</f>
        <v>https://pgy.xiaohongshu.com/solar/pre-trade/blogger-detail/5d27432100000000160096b5</v>
      </c>
      <c r="D79" t="inlineStr">
        <is>
          <t>女</t>
        </is>
      </c>
      <c r="E79" t="inlineStr">
        <is>
          <t>810339370</t>
        </is>
      </c>
      <c r="F79" t="inlineStr">
        <is>
          <t>Banana</t>
        </is>
      </c>
      <c r="G79" t="inlineStr">
        <is>
          <t>广东 广州 番禺区</t>
        </is>
      </c>
      <c r="H79" t="inlineStr">
        <is>
          <t>学生</t>
        </is>
      </c>
      <c r="I79" t="inlineStr">
        <is>
          <t>教育</t>
        </is>
      </c>
      <c r="J79">
        <v>10160</v>
      </c>
      <c r="K79" t="inlineStr">
        <is>
          <t>1.0</t>
        </is>
      </c>
      <c r="L79">
        <v>43677</v>
      </c>
      <c r="M79">
        <v>3905</v>
      </c>
      <c r="N79">
        <v>1571</v>
      </c>
      <c r="O79">
        <v>500</v>
      </c>
      <c r="P79">
        <v>0</v>
      </c>
      <c r="Q79">
        <v>1</v>
      </c>
      <c r="R79">
        <v>0</v>
      </c>
      <c r="S79">
        <v>0</v>
      </c>
      <c r="T79">
        <v>0</v>
      </c>
      <c r="U79">
        <v>0</v>
      </c>
      <c r="V79">
        <v>500</v>
      </c>
      <c r="W79">
        <v>0</v>
      </c>
      <c r="X79">
        <v>0</v>
      </c>
      <c r="Y79">
        <v>0</v>
      </c>
      <c r="Z79">
        <v>0</v>
      </c>
      <c r="AA79">
        <v>43677</v>
      </c>
      <c r="AB79">
        <v>3905</v>
      </c>
      <c r="AC79">
        <v>1502</v>
      </c>
      <c r="AD79">
        <v>2.01</v>
      </c>
      <c r="AE79">
        <v>2000</v>
      </c>
      <c r="AF79">
        <v>1</v>
      </c>
      <c r="AG79">
        <v>0</v>
      </c>
      <c r="AH79">
        <v>0.042</v>
      </c>
      <c r="AI79">
        <v>45.79</v>
      </c>
      <c r="AJ79">
        <v>1.27</v>
      </c>
      <c r="AK79">
        <v>0</v>
      </c>
      <c r="AL79">
        <v>0</v>
      </c>
      <c r="AM79">
        <v>0</v>
      </c>
      <c r="AN79">
        <v>0</v>
      </c>
      <c r="AO79">
        <v>0</v>
      </c>
      <c r="AP79">
        <v>0.807</v>
      </c>
      <c r="AQ79">
        <v>0.0139999999999999</v>
      </c>
      <c r="AR79">
        <v>0.006</v>
      </c>
      <c r="AS79" s="3">
        <v>46107.76592592592</v>
      </c>
    </row>
    <row r="80" ht="25.5" customHeight="1">
      <c r="A80" t="inlineStr">
        <is>
          <t>65d4b726000000000d025f67</t>
        </is>
      </c>
      <c r="B80" s="2" t="str">
        <f>=HYPERLINK("https://www.xiaohongshu.com/user/profile/65d4b726000000000d025f67", "https://www.xiaohongshu.com/user/profile/65d4b726000000000d025f67")</f>
        <v>https://www.xiaohongshu.com/user/profile/65d4b726000000000d025f67</v>
      </c>
      <c r="C80" s="2" t="str">
        <f>=HYPERLINK("https://pgy.xiaohongshu.com/solar/pre-trade/blogger-detail/65d4b726000000000d025f67", "https://pgy.xiaohongshu.com/solar/pre-trade/blogger-detail/65d4b726000000000d025f67")</f>
        <v>https://pgy.xiaohongshu.com/solar/pre-trade/blogger-detail/65d4b726000000000d025f67</v>
      </c>
      <c r="D80" t="inlineStr">
        <is>
          <t>女</t>
        </is>
      </c>
      <c r="E80" t="inlineStr">
        <is>
          <t>10736310887</t>
        </is>
      </c>
      <c r="F80" t="inlineStr">
        <is>
          <t>超A酸奶-读博版</t>
        </is>
      </c>
      <c r="G80" t="inlineStr">
        <is>
          <t>天津</t>
        </is>
      </c>
      <c r="H80"/>
      <c r="I80" t="inlineStr">
        <is>
          <t>教育</t>
        </is>
      </c>
      <c r="J80">
        <v>22587</v>
      </c>
      <c r="K80" t="inlineStr">
        <is>
          <t>2.3</t>
        </is>
      </c>
      <c r="L80">
        <v>53697</v>
      </c>
      <c r="M80">
        <v>11915</v>
      </c>
      <c r="N80">
        <v>818</v>
      </c>
      <c r="O80">
        <v>1500</v>
      </c>
      <c r="P80">
        <v>0</v>
      </c>
      <c r="Q80">
        <v>1</v>
      </c>
      <c r="R80">
        <v>53697</v>
      </c>
      <c r="S80">
        <v>15410</v>
      </c>
      <c r="T80">
        <v>798</v>
      </c>
      <c r="U80">
        <v>0.4</v>
      </c>
      <c r="V80">
        <v>1500</v>
      </c>
      <c r="W80">
        <v>1</v>
      </c>
      <c r="X80">
        <v>0</v>
      </c>
      <c r="Y80">
        <v>27.93</v>
      </c>
      <c r="Z80">
        <v>1.83</v>
      </c>
      <c r="AA80">
        <v>43941</v>
      </c>
      <c r="AB80">
        <v>6736</v>
      </c>
      <c r="AC80">
        <v>460</v>
      </c>
      <c r="AD80">
        <v>1.89</v>
      </c>
      <c r="AE80">
        <v>2600</v>
      </c>
      <c r="AF80">
        <v>1</v>
      </c>
      <c r="AG80">
        <v>0</v>
      </c>
      <c r="AH80">
        <v>0.203</v>
      </c>
      <c r="AI80">
        <v>59.17</v>
      </c>
      <c r="AJ80">
        <v>5.04</v>
      </c>
      <c r="AK80">
        <v>0</v>
      </c>
      <c r="AL80">
        <v>0</v>
      </c>
      <c r="AM80">
        <v>0</v>
      </c>
      <c r="AN80">
        <v>0</v>
      </c>
      <c r="AO80">
        <v>0</v>
      </c>
      <c r="AP80">
        <v>0.867</v>
      </c>
      <c r="AQ80">
        <v>0.013</v>
      </c>
      <c r="AR80">
        <v>0.006</v>
      </c>
      <c r="AS80" s="3">
        <v>46107.76592592592</v>
      </c>
    </row>
    <row r="81" ht="25.5" customHeight="1">
      <c r="A81" t="inlineStr">
        <is>
          <t>63553d1100000000120254f2</t>
        </is>
      </c>
      <c r="B81" s="2" t="str">
        <f>=HYPERLINK("https://www.xiaohongshu.com/user/profile/63553d1100000000120254f2", "https://www.xiaohongshu.com/user/profile/63553d1100000000120254f2")</f>
        <v>https://www.xiaohongshu.com/user/profile/63553d1100000000120254f2</v>
      </c>
      <c r="C81" s="2" t="str">
        <f>=HYPERLINK("https://pgy.xiaohongshu.com/solar/pre-trade/blogger-detail/63553d1100000000120254f2", "https://pgy.xiaohongshu.com/solar/pre-trade/blogger-detail/63553d1100000000120254f2")</f>
        <v>https://pgy.xiaohongshu.com/solar/pre-trade/blogger-detail/63553d1100000000120254f2</v>
      </c>
      <c r="D81" t="inlineStr">
        <is>
          <t>女</t>
        </is>
      </c>
      <c r="E81" t="inlineStr">
        <is>
          <t>nunnuuiil</t>
        </is>
      </c>
      <c r="F81" t="inlineStr">
        <is>
          <t>小鱼饼饼👀</t>
        </is>
      </c>
      <c r="G81" t="inlineStr">
        <is>
          <t>山西 太原 小店区</t>
        </is>
      </c>
      <c r="H81" t="inlineStr">
        <is>
          <t>学生</t>
        </is>
      </c>
      <c r="I81" t="inlineStr">
        <is>
          <t>兴趣爱好, 教育, 文化艺术</t>
        </is>
      </c>
      <c r="J81">
        <v>17332</v>
      </c>
      <c r="K81" t="inlineStr">
        <is>
          <t>1.7</t>
        </is>
      </c>
      <c r="L81">
        <v>32757</v>
      </c>
      <c r="M81">
        <v>4761</v>
      </c>
      <c r="N81">
        <v>477</v>
      </c>
      <c r="O81">
        <v>500</v>
      </c>
      <c r="P81">
        <v>0.231</v>
      </c>
      <c r="Q81">
        <v>1</v>
      </c>
      <c r="R81">
        <v>0</v>
      </c>
      <c r="S81">
        <v>0</v>
      </c>
      <c r="T81">
        <v>0</v>
      </c>
      <c r="U81">
        <v>0</v>
      </c>
      <c r="V81">
        <v>500</v>
      </c>
      <c r="W81">
        <v>0</v>
      </c>
      <c r="X81">
        <v>0</v>
      </c>
      <c r="Y81">
        <v>0</v>
      </c>
      <c r="Z81">
        <v>0</v>
      </c>
      <c r="AA81">
        <v>32757</v>
      </c>
      <c r="AB81">
        <v>4761</v>
      </c>
      <c r="AC81">
        <v>446</v>
      </c>
      <c r="AD81">
        <v>1.75</v>
      </c>
      <c r="AE81">
        <v>1500</v>
      </c>
      <c r="AF81">
        <v>1</v>
      </c>
      <c r="AG81">
        <v>0.231</v>
      </c>
      <c r="AH81">
        <v>0.0139999999999999</v>
      </c>
      <c r="AI81">
        <v>43.59</v>
      </c>
      <c r="AJ81">
        <v>2.16</v>
      </c>
      <c r="AK81">
        <v>44537</v>
      </c>
      <c r="AL81">
        <v>6755</v>
      </c>
      <c r="AM81">
        <v>1375</v>
      </c>
      <c r="AN81">
        <v>0</v>
      </c>
      <c r="AO81">
        <v>0</v>
      </c>
      <c r="AP81">
        <v>0.905999999999999</v>
      </c>
      <c r="AQ81">
        <v>0.111</v>
      </c>
      <c r="AR81">
        <v>0.054</v>
      </c>
      <c r="AS81" s="3">
        <v>46107.76592592592</v>
      </c>
    </row>
    <row r="82" ht="25.5" customHeight="1">
      <c r="A82" t="inlineStr">
        <is>
          <t>6196dce30000000010008364</t>
        </is>
      </c>
      <c r="B82" s="2" t="str">
        <f>=HYPERLINK("https://www.xiaohongshu.com/user/profile/6196dce30000000010008364", "https://www.xiaohongshu.com/user/profile/6196dce30000000010008364")</f>
        <v>https://www.xiaohongshu.com/user/profile/6196dce30000000010008364</v>
      </c>
      <c r="C82" s="2" t="str">
        <f>=HYPERLINK("https://pgy.xiaohongshu.com/solar/pre-trade/blogger-detail/6196dce30000000010008364", "https://pgy.xiaohongshu.com/solar/pre-trade/blogger-detail/6196dce30000000010008364")</f>
        <v>https://pgy.xiaohongshu.com/solar/pre-trade/blogger-detail/6196dce30000000010008364</v>
      </c>
      <c r="D82" t="inlineStr">
        <is>
          <t>女</t>
        </is>
      </c>
      <c r="E82" t="inlineStr">
        <is>
          <t>95060956362</t>
        </is>
      </c>
      <c r="F82" t="inlineStr">
        <is>
          <t>花落花开花琪琪</t>
        </is>
      </c>
      <c r="G82" t="inlineStr">
        <is>
          <t>北京</t>
        </is>
      </c>
      <c r="H82" t="inlineStr">
        <is>
          <t>学生, 留学背景, 汉服爱好者, 外国人</t>
        </is>
      </c>
      <c r="I82" t="inlineStr">
        <is>
          <t>出行旅游, 生活记录</t>
        </is>
      </c>
      <c r="J82">
        <v>27928</v>
      </c>
      <c r="K82" t="inlineStr">
        <is>
          <t>2.8</t>
        </is>
      </c>
      <c r="L82">
        <v>34979</v>
      </c>
      <c r="M82">
        <v>6399</v>
      </c>
      <c r="N82">
        <v>263</v>
      </c>
      <c r="O82">
        <v>2500</v>
      </c>
      <c r="P82">
        <v>0</v>
      </c>
      <c r="Q82">
        <v>1</v>
      </c>
      <c r="R82">
        <v>34979</v>
      </c>
      <c r="S82">
        <v>6399</v>
      </c>
      <c r="T82">
        <v>248</v>
      </c>
      <c r="U82">
        <v>0.69</v>
      </c>
      <c r="V82">
        <v>2500</v>
      </c>
      <c r="W82">
        <v>1</v>
      </c>
      <c r="X82">
        <v>0</v>
      </c>
      <c r="Y82">
        <v>71.47</v>
      </c>
      <c r="Z82">
        <v>9.49</v>
      </c>
      <c r="AA82">
        <v>0</v>
      </c>
      <c r="AB82">
        <v>0</v>
      </c>
      <c r="AC82">
        <v>0</v>
      </c>
      <c r="AD82">
        <v>1.98</v>
      </c>
      <c r="AE82">
        <v>4150</v>
      </c>
      <c r="AF82">
        <v>0</v>
      </c>
      <c r="AG82">
        <v>0</v>
      </c>
      <c r="AH82">
        <v>0</v>
      </c>
      <c r="AI82">
        <v>18.14</v>
      </c>
      <c r="AJ82">
        <v>2.29</v>
      </c>
      <c r="AK82">
        <v>236522</v>
      </c>
      <c r="AL82">
        <v>8576</v>
      </c>
      <c r="AM82">
        <v>1771</v>
      </c>
      <c r="AN82">
        <v>0</v>
      </c>
      <c r="AO82">
        <v>0</v>
      </c>
      <c r="AP82">
        <v>0.785</v>
      </c>
      <c r="AQ82">
        <v>0.016</v>
      </c>
      <c r="AR82">
        <v>-0.002</v>
      </c>
      <c r="AS82" s="3">
        <v>46107.766180555554</v>
      </c>
    </row>
    <row r="83" ht="25.5" customHeight="1">
      <c r="A83" t="inlineStr">
        <is>
          <t>5ba76c6be839fb0001c4f1b2</t>
        </is>
      </c>
      <c r="B83" s="2" t="str">
        <f>=HYPERLINK("https://www.xiaohongshu.com/user/profile/5ba76c6be839fb0001c4f1b2", "https://www.xiaohongshu.com/user/profile/5ba76c6be839fb0001c4f1b2")</f>
        <v>https://www.xiaohongshu.com/user/profile/5ba76c6be839fb0001c4f1b2</v>
      </c>
      <c r="C83" s="2" t="str">
        <f>=HYPERLINK("https://pgy.xiaohongshu.com/solar/pre-trade/blogger-detail/5ba76c6be839fb0001c4f1b2", "https://pgy.xiaohongshu.com/solar/pre-trade/blogger-detail/5ba76c6be839fb0001c4f1b2")</f>
        <v>https://pgy.xiaohongshu.com/solar/pre-trade/blogger-detail/5ba76c6be839fb0001c4f1b2</v>
      </c>
      <c r="D83" t="inlineStr">
        <is>
          <t>女</t>
        </is>
      </c>
      <c r="E83" t="inlineStr">
        <is>
          <t>569033341</t>
        </is>
      </c>
      <c r="F83" t="inlineStr">
        <is>
          <t>小薇日记</t>
        </is>
      </c>
      <c r="G83" t="inlineStr">
        <is>
          <t>河南 新乡 红旗区</t>
        </is>
      </c>
      <c r="H83" t="inlineStr">
        <is>
          <t>学生</t>
        </is>
      </c>
      <c r="I83" t="inlineStr">
        <is>
          <t>教育, 文化艺术</t>
        </is>
      </c>
      <c r="J83">
        <v>22326</v>
      </c>
      <c r="K83" t="inlineStr">
        <is>
          <t>2.2</t>
        </is>
      </c>
      <c r="L83">
        <v>14065</v>
      </c>
      <c r="M83">
        <v>2059</v>
      </c>
      <c r="N83">
        <v>296</v>
      </c>
      <c r="O83">
        <v>369</v>
      </c>
      <c r="P83">
        <v>0.166999999999999</v>
      </c>
      <c r="Q83">
        <v>0.5</v>
      </c>
      <c r="R83">
        <v>8545</v>
      </c>
      <c r="S83">
        <v>671</v>
      </c>
      <c r="T83">
        <v>121</v>
      </c>
      <c r="U83">
        <v>0.73</v>
      </c>
      <c r="V83">
        <v>369</v>
      </c>
      <c r="W83">
        <v>0</v>
      </c>
      <c r="X83">
        <v>0</v>
      </c>
      <c r="Y83">
        <v>35</v>
      </c>
      <c r="Z83">
        <v>2.82</v>
      </c>
      <c r="AA83">
        <v>37627</v>
      </c>
      <c r="AB83">
        <v>6514</v>
      </c>
      <c r="AC83">
        <v>908</v>
      </c>
      <c r="AD83">
        <v>1.79</v>
      </c>
      <c r="AE83">
        <v>890</v>
      </c>
      <c r="AF83">
        <v>0.75</v>
      </c>
      <c r="AG83">
        <v>0.25</v>
      </c>
      <c r="AH83">
        <v>0.012</v>
      </c>
      <c r="AI83">
        <v>55.71</v>
      </c>
      <c r="AJ83">
        <v>2.18</v>
      </c>
      <c r="AK83">
        <v>8934</v>
      </c>
      <c r="AL83">
        <v>771</v>
      </c>
      <c r="AM83">
        <v>17</v>
      </c>
      <c r="AN83">
        <v>0</v>
      </c>
      <c r="AO83">
        <v>0</v>
      </c>
      <c r="AP83">
        <v>0.909</v>
      </c>
      <c r="AQ83">
        <v>0.08</v>
      </c>
      <c r="AR83">
        <v>0.042</v>
      </c>
      <c r="AS83" s="3">
        <v>46107.766180555554</v>
      </c>
    </row>
    <row r="84" ht="25.5" customHeight="1">
      <c r="A84" t="inlineStr">
        <is>
          <t>65ae72e4000000001001f889</t>
        </is>
      </c>
      <c r="B84" s="2" t="str">
        <f>=HYPERLINK("https://www.xiaohongshu.com/user/profile/65ae72e4000000001001f889", "https://www.xiaohongshu.com/user/profile/65ae72e4000000001001f889")</f>
        <v>https://www.xiaohongshu.com/user/profile/65ae72e4000000001001f889</v>
      </c>
      <c r="C84" s="2" t="str">
        <f>=HYPERLINK("https://pgy.xiaohongshu.com/solar/pre-trade/blogger-detail/65ae72e4000000001001f889", "https://pgy.xiaohongshu.com/solar/pre-trade/blogger-detail/65ae72e4000000001001f889")</f>
        <v>https://pgy.xiaohongshu.com/solar/pre-trade/blogger-detail/65ae72e4000000001001f889</v>
      </c>
      <c r="D84" t="inlineStr">
        <is>
          <t>女</t>
        </is>
      </c>
      <c r="E84" t="inlineStr">
        <is>
          <t>4642226659</t>
        </is>
      </c>
      <c r="F84" t="inlineStr">
        <is>
          <t>桥你妹儿</t>
        </is>
      </c>
      <c r="G84" t="inlineStr">
        <is>
          <t>广东 深圳 福田区</t>
        </is>
      </c>
      <c r="H84" t="inlineStr">
        <is>
          <t>留学背景</t>
        </is>
      </c>
      <c r="I84" t="inlineStr">
        <is>
          <t>教育, 音乐</t>
        </is>
      </c>
      <c r="J84">
        <v>98138</v>
      </c>
      <c r="K84" t="inlineStr">
        <is>
          <t>9.8</t>
        </is>
      </c>
      <c r="L84">
        <v>83286</v>
      </c>
      <c r="M84">
        <v>26681</v>
      </c>
      <c r="N84">
        <v>3339</v>
      </c>
      <c r="O84">
        <v>7000</v>
      </c>
      <c r="P84">
        <v>0.85</v>
      </c>
      <c r="Q84">
        <v>0.95</v>
      </c>
      <c r="R84">
        <v>0</v>
      </c>
      <c r="S84">
        <v>0</v>
      </c>
      <c r="T84">
        <v>0</v>
      </c>
      <c r="U84">
        <v>0</v>
      </c>
      <c r="V84">
        <v>7000</v>
      </c>
      <c r="W84">
        <v>0</v>
      </c>
      <c r="X84">
        <v>0</v>
      </c>
      <c r="Y84">
        <v>0</v>
      </c>
      <c r="Z84">
        <v>0</v>
      </c>
      <c r="AA84">
        <v>83286</v>
      </c>
      <c r="AB84">
        <v>26681</v>
      </c>
      <c r="AC84">
        <v>2912</v>
      </c>
      <c r="AD84">
        <v>1.87</v>
      </c>
      <c r="AE84">
        <v>10000</v>
      </c>
      <c r="AF84">
        <v>0.95</v>
      </c>
      <c r="AG84">
        <v>0.85</v>
      </c>
      <c r="AH84">
        <v>0.179</v>
      </c>
      <c r="AI84">
        <v>116.21</v>
      </c>
      <c r="AJ84">
        <v>2.99</v>
      </c>
      <c r="AK84">
        <v>292354</v>
      </c>
      <c r="AL84">
        <v>81431</v>
      </c>
      <c r="AM84">
        <v>12641</v>
      </c>
      <c r="AN84">
        <v>0</v>
      </c>
      <c r="AO84">
        <v>0</v>
      </c>
      <c r="AP84">
        <v>0.96</v>
      </c>
      <c r="AQ84">
        <v>0.244</v>
      </c>
      <c r="AR84">
        <v>0.215</v>
      </c>
      <c r="AS84" s="3">
        <v>46107.766180555554</v>
      </c>
    </row>
    <row r="85" ht="25.5" customHeight="1">
      <c r="A85" t="inlineStr">
        <is>
          <t>62a28e60000000001b027d4c</t>
        </is>
      </c>
      <c r="B85" s="2" t="str">
        <f>=HYPERLINK("https://www.xiaohongshu.com/user/profile/62a28e60000000001b027d4c", "https://www.xiaohongshu.com/user/profile/62a28e60000000001b027d4c")</f>
        <v>https://www.xiaohongshu.com/user/profile/62a28e60000000001b027d4c</v>
      </c>
      <c r="C85" s="2" t="str">
        <f>=HYPERLINK("https://pgy.xiaohongshu.com/solar/pre-trade/blogger-detail/62a28e60000000001b027d4c", "https://pgy.xiaohongshu.com/solar/pre-trade/blogger-detail/62a28e60000000001b027d4c")</f>
        <v>https://pgy.xiaohongshu.com/solar/pre-trade/blogger-detail/62a28e60000000001b027d4c</v>
      </c>
      <c r="D85" t="inlineStr">
        <is>
          <t>女</t>
        </is>
      </c>
      <c r="E85" t="inlineStr">
        <is>
          <t>hanyidao2333</t>
        </is>
      </c>
      <c r="F85" t="inlineStr">
        <is>
          <t>韩一刀</t>
        </is>
      </c>
      <c r="G85" t="inlineStr">
        <is>
          <t>北京</t>
        </is>
      </c>
      <c r="H85" t="inlineStr">
        <is>
          <t>学生</t>
        </is>
      </c>
      <c r="I85" t="inlineStr">
        <is>
          <t>教育</t>
        </is>
      </c>
      <c r="J85">
        <v>125292</v>
      </c>
      <c r="K85" t="inlineStr">
        <is>
          <t>12.5</t>
        </is>
      </c>
      <c r="L85">
        <v>21859</v>
      </c>
      <c r="M85">
        <v>9332</v>
      </c>
      <c r="N85">
        <v>1955</v>
      </c>
      <c r="O85">
        <v>4000</v>
      </c>
      <c r="P85">
        <v>0.45</v>
      </c>
      <c r="Q85">
        <v>1</v>
      </c>
      <c r="R85">
        <v>0</v>
      </c>
      <c r="S85">
        <v>0</v>
      </c>
      <c r="T85">
        <v>0</v>
      </c>
      <c r="U85">
        <v>0</v>
      </c>
      <c r="V85">
        <v>4000</v>
      </c>
      <c r="W85">
        <v>0</v>
      </c>
      <c r="X85">
        <v>0</v>
      </c>
      <c r="Y85">
        <v>0</v>
      </c>
      <c r="Z85">
        <v>0</v>
      </c>
      <c r="AA85">
        <v>21859</v>
      </c>
      <c r="AB85">
        <v>9332</v>
      </c>
      <c r="AC85">
        <v>1725</v>
      </c>
      <c r="AD85">
        <v>2.25</v>
      </c>
      <c r="AE85">
        <v>7000</v>
      </c>
      <c r="AF85">
        <v>1</v>
      </c>
      <c r="AG85">
        <v>0.45</v>
      </c>
      <c r="AH85">
        <v>0.019</v>
      </c>
      <c r="AI85">
        <v>294.74</v>
      </c>
      <c r="AJ85">
        <v>3.64</v>
      </c>
      <c r="AK85">
        <v>42675</v>
      </c>
      <c r="AL85">
        <v>10081</v>
      </c>
      <c r="AM85">
        <v>1272</v>
      </c>
      <c r="AN85">
        <v>0</v>
      </c>
      <c r="AO85">
        <v>16.99</v>
      </c>
      <c r="AP85">
        <v>0.782999999999999</v>
      </c>
      <c r="AQ85">
        <v>0.148</v>
      </c>
      <c r="AR85">
        <v>0.103</v>
      </c>
      <c r="AS85" s="3">
        <v>46107.766180555554</v>
      </c>
    </row>
    <row r="86" ht="25.5" customHeight="1">
      <c r="A86" t="inlineStr">
        <is>
          <t>5e2e7f590000000001001fc8</t>
        </is>
      </c>
      <c r="B86" s="2" t="str">
        <f>=HYPERLINK("https://www.xiaohongshu.com/user/profile/5e2e7f590000000001001fc8", "https://www.xiaohongshu.com/user/profile/5e2e7f590000000001001fc8")</f>
        <v>https://www.xiaohongshu.com/user/profile/5e2e7f590000000001001fc8</v>
      </c>
      <c r="C86" s="2" t="str">
        <f>=HYPERLINK("https://pgy.xiaohongshu.com/solar/pre-trade/blogger-detail/5e2e7f590000000001001fc8", "https://pgy.xiaohongshu.com/solar/pre-trade/blogger-detail/5e2e7f590000000001001fc8")</f>
        <v>https://pgy.xiaohongshu.com/solar/pre-trade/blogger-detail/5e2e7f590000000001001fc8</v>
      </c>
      <c r="D86" t="inlineStr">
        <is>
          <t>女</t>
        </is>
      </c>
      <c r="E86" t="inlineStr">
        <is>
          <t>792965165</t>
        </is>
      </c>
      <c r="F86" t="inlineStr">
        <is>
          <t>想喝橙C</t>
        </is>
      </c>
      <c r="G86" t="inlineStr">
        <is>
          <t>广东 广州 海珠区</t>
        </is>
      </c>
      <c r="H86" t="inlineStr">
        <is>
          <t>学生</t>
        </is>
      </c>
      <c r="I86" t="inlineStr">
        <is>
          <t>教育</t>
        </is>
      </c>
      <c r="J86">
        <v>12513</v>
      </c>
      <c r="K86" t="inlineStr">
        <is>
          <t>1.3</t>
        </is>
      </c>
      <c r="L86">
        <v>75989</v>
      </c>
      <c r="M86">
        <v>11138</v>
      </c>
      <c r="N86">
        <v>363</v>
      </c>
      <c r="O86">
        <v>380</v>
      </c>
      <c r="P86">
        <v>0.25</v>
      </c>
      <c r="Q86">
        <v>0.5</v>
      </c>
      <c r="R86">
        <v>0</v>
      </c>
      <c r="S86">
        <v>0</v>
      </c>
      <c r="T86">
        <v>0</v>
      </c>
      <c r="U86">
        <v>0</v>
      </c>
      <c r="V86">
        <v>380</v>
      </c>
      <c r="W86">
        <v>0</v>
      </c>
      <c r="X86">
        <v>0</v>
      </c>
      <c r="Y86">
        <v>0</v>
      </c>
      <c r="Z86">
        <v>0</v>
      </c>
      <c r="AA86">
        <v>75989</v>
      </c>
      <c r="AB86">
        <v>11138</v>
      </c>
      <c r="AC86">
        <v>339</v>
      </c>
      <c r="AD86">
        <v>1.64</v>
      </c>
      <c r="AE86">
        <v>700</v>
      </c>
      <c r="AF86">
        <v>0.5</v>
      </c>
      <c r="AG86">
        <v>0.25</v>
      </c>
      <c r="AH86">
        <v>0.0969999999999999</v>
      </c>
      <c r="AI86">
        <v>43.39</v>
      </c>
      <c r="AJ86">
        <v>1.92</v>
      </c>
      <c r="AK86">
        <v>11764</v>
      </c>
      <c r="AL86">
        <v>4330</v>
      </c>
      <c r="AM86">
        <v>346</v>
      </c>
      <c r="AN86">
        <v>0</v>
      </c>
      <c r="AO86">
        <v>0</v>
      </c>
      <c r="AP86">
        <v>0.887</v>
      </c>
      <c r="AQ86">
        <v>0.047</v>
      </c>
      <c r="AR86">
        <v>0.03</v>
      </c>
      <c r="AS86" s="3">
        <v>46107.766180555554</v>
      </c>
    </row>
    <row r="87" ht="25.5" customHeight="1">
      <c r="A87" t="inlineStr">
        <is>
          <t>5f79b094000000000101e0ac</t>
        </is>
      </c>
      <c r="B87" s="2" t="str">
        <f>=HYPERLINK("https://www.xiaohongshu.com/user/profile/5f79b094000000000101e0ac", "https://www.xiaohongshu.com/user/profile/5f79b094000000000101e0ac")</f>
        <v>https://www.xiaohongshu.com/user/profile/5f79b094000000000101e0ac</v>
      </c>
      <c r="C87" s="2" t="str">
        <f>=HYPERLINK("https://pgy.xiaohongshu.com/solar/pre-trade/blogger-detail/5f79b094000000000101e0ac", "https://pgy.xiaohongshu.com/solar/pre-trade/blogger-detail/5f79b094000000000101e0ac")</f>
        <v>https://pgy.xiaohongshu.com/solar/pre-trade/blogger-detail/5f79b094000000000101e0ac</v>
      </c>
      <c r="D87" t="inlineStr">
        <is>
          <t>女</t>
        </is>
      </c>
      <c r="E87" t="inlineStr">
        <is>
          <t>linchuran1008</t>
        </is>
      </c>
      <c r="F87" t="inlineStr">
        <is>
          <t>拎出苒</t>
        </is>
      </c>
      <c r="G87" t="inlineStr">
        <is>
          <t>英国</t>
        </is>
      </c>
      <c r="H87" t="inlineStr">
        <is>
          <t>学生</t>
        </is>
      </c>
      <c r="I87" t="inlineStr">
        <is>
          <t>生活记录, 时尚</t>
        </is>
      </c>
      <c r="J87">
        <v>104521</v>
      </c>
      <c r="K87" t="inlineStr">
        <is>
          <t>10.5</t>
        </is>
      </c>
      <c r="L87">
        <v>56662</v>
      </c>
      <c r="M87">
        <v>10133</v>
      </c>
      <c r="N87">
        <v>688</v>
      </c>
      <c r="O87">
        <v>12000</v>
      </c>
      <c r="P87">
        <v>0.111</v>
      </c>
      <c r="Q87">
        <v>0.944</v>
      </c>
      <c r="R87">
        <v>0</v>
      </c>
      <c r="S87">
        <v>0</v>
      </c>
      <c r="T87">
        <v>0</v>
      </c>
      <c r="U87">
        <v>0</v>
      </c>
      <c r="V87">
        <v>12000</v>
      </c>
      <c r="W87">
        <v>0</v>
      </c>
      <c r="X87">
        <v>0</v>
      </c>
      <c r="Y87">
        <v>0</v>
      </c>
      <c r="Z87">
        <v>0</v>
      </c>
      <c r="AA87">
        <v>56662</v>
      </c>
      <c r="AB87">
        <v>10133</v>
      </c>
      <c r="AC87">
        <v>602</v>
      </c>
      <c r="AD87">
        <v>2.94</v>
      </c>
      <c r="AE87">
        <v>15000</v>
      </c>
      <c r="AF87">
        <v>0.944</v>
      </c>
      <c r="AG87">
        <v>0.111</v>
      </c>
      <c r="AH87">
        <v>0.059</v>
      </c>
      <c r="AI87">
        <v>264.06</v>
      </c>
      <c r="AJ87">
        <v>21.77</v>
      </c>
      <c r="AK87">
        <v>143949</v>
      </c>
      <c r="AL87">
        <v>16968</v>
      </c>
      <c r="AM87">
        <v>2599</v>
      </c>
      <c r="AN87">
        <v>1451</v>
      </c>
      <c r="AO87">
        <v>10.29</v>
      </c>
      <c r="AP87">
        <v>0.885</v>
      </c>
      <c r="AQ87">
        <v>0.0969999999999999</v>
      </c>
      <c r="AR87">
        <v>0.095</v>
      </c>
      <c r="AS87" s="3">
        <v>46107.766180555554</v>
      </c>
    </row>
    <row r="88" ht="25.5" customHeight="1">
      <c r="A88" t="inlineStr">
        <is>
          <t>62061b2f000000001000e509</t>
        </is>
      </c>
      <c r="B88" s="2" t="str">
        <f>=HYPERLINK("https://www.xiaohongshu.com/user/profile/62061b2f000000001000e509", "https://www.xiaohongshu.com/user/profile/62061b2f000000001000e509")</f>
        <v>https://www.xiaohongshu.com/user/profile/62061b2f000000001000e509</v>
      </c>
      <c r="C88" s="2" t="str">
        <f>=HYPERLINK("https://pgy.xiaohongshu.com/solar/pre-trade/blogger-detail/62061b2f000000001000e509", "https://pgy.xiaohongshu.com/solar/pre-trade/blogger-detail/62061b2f000000001000e509")</f>
        <v>https://pgy.xiaohongshu.com/solar/pre-trade/blogger-detail/62061b2f000000001000e509</v>
      </c>
      <c r="D88" t="inlineStr">
        <is>
          <t>男</t>
        </is>
      </c>
      <c r="E88" t="inlineStr">
        <is>
          <t>1432728212</t>
        </is>
      </c>
      <c r="F88" t="inlineStr">
        <is>
          <t>冬屿奈风.💭</t>
        </is>
      </c>
      <c r="G88" t="inlineStr">
        <is>
          <t>广东 广州 天河区</t>
        </is>
      </c>
      <c r="H88" t="inlineStr">
        <is>
          <t>学生</t>
        </is>
      </c>
      <c r="I88" t="inlineStr">
        <is>
          <t>教育</t>
        </is>
      </c>
      <c r="J88">
        <v>84799</v>
      </c>
      <c r="K88" t="inlineStr">
        <is>
          <t>8.5</t>
        </is>
      </c>
      <c r="L88">
        <v>12344</v>
      </c>
      <c r="M88">
        <v>4498</v>
      </c>
      <c r="N88">
        <v>927</v>
      </c>
      <c r="O88">
        <v>5000</v>
      </c>
      <c r="P88">
        <v>0.332999999999999</v>
      </c>
      <c r="Q88">
        <v>1</v>
      </c>
      <c r="R88">
        <v>0</v>
      </c>
      <c r="S88">
        <v>0</v>
      </c>
      <c r="T88">
        <v>0</v>
      </c>
      <c r="U88">
        <v>0</v>
      </c>
      <c r="V88">
        <v>5000</v>
      </c>
      <c r="W88">
        <v>0</v>
      </c>
      <c r="X88">
        <v>0</v>
      </c>
      <c r="Y88">
        <v>0</v>
      </c>
      <c r="Z88">
        <v>0</v>
      </c>
      <c r="AA88">
        <v>12344</v>
      </c>
      <c r="AB88">
        <v>4498</v>
      </c>
      <c r="AC88">
        <v>895</v>
      </c>
      <c r="AD88">
        <v>2.72</v>
      </c>
      <c r="AE88">
        <v>5500</v>
      </c>
      <c r="AF88">
        <v>1</v>
      </c>
      <c r="AG88">
        <v>0.332999999999999</v>
      </c>
      <c r="AH88">
        <v>0.02</v>
      </c>
      <c r="AI88">
        <v>351.33</v>
      </c>
      <c r="AJ88">
        <v>4.1</v>
      </c>
      <c r="AK88">
        <v>29601</v>
      </c>
      <c r="AL88">
        <v>6569</v>
      </c>
      <c r="AM88">
        <v>1828</v>
      </c>
      <c r="AN88">
        <v>0</v>
      </c>
      <c r="AO88">
        <v>0</v>
      </c>
      <c r="AP88">
        <v>0.606</v>
      </c>
      <c r="AQ88">
        <v>0.049</v>
      </c>
      <c r="AR88">
        <v>0.019</v>
      </c>
      <c r="AS88" s="3">
        <v>46107.766180555554</v>
      </c>
    </row>
    <row r="89" ht="25.5" customHeight="1">
      <c r="A89" t="inlineStr">
        <is>
          <t>603db9d1000000000101ed62</t>
        </is>
      </c>
      <c r="B89" s="2" t="str">
        <f>=HYPERLINK("https://www.xiaohongshu.com/user/profile/603db9d1000000000101ed62", "https://www.xiaohongshu.com/user/profile/603db9d1000000000101ed62")</f>
        <v>https://www.xiaohongshu.com/user/profile/603db9d1000000000101ed62</v>
      </c>
      <c r="C89" s="2" t="str">
        <f>=HYPERLINK("https://pgy.xiaohongshu.com/solar/pre-trade/blogger-detail/603db9d1000000000101ed62", "https://pgy.xiaohongshu.com/solar/pre-trade/blogger-detail/603db9d1000000000101ed62")</f>
        <v>https://pgy.xiaohongshu.com/solar/pre-trade/blogger-detail/603db9d1000000000101ed62</v>
      </c>
      <c r="D89" t="inlineStr">
        <is>
          <t>男</t>
        </is>
      </c>
      <c r="E89" t="inlineStr">
        <is>
          <t>1802257904</t>
        </is>
      </c>
      <c r="F89" t="inlineStr">
        <is>
          <t>小明老师</t>
        </is>
      </c>
      <c r="G89" t="inlineStr">
        <is>
          <t>天津</t>
        </is>
      </c>
      <c r="H89"/>
      <c r="I89" t="inlineStr">
        <is>
          <t>教育</t>
        </is>
      </c>
      <c r="J89">
        <v>40467</v>
      </c>
      <c r="K89" t="inlineStr">
        <is>
          <t>4.0</t>
        </is>
      </c>
      <c r="L89">
        <v>10344</v>
      </c>
      <c r="M89">
        <v>3902</v>
      </c>
      <c r="N89">
        <v>274</v>
      </c>
      <c r="O89">
        <v>1132</v>
      </c>
      <c r="P89">
        <v>0.332999999999999</v>
      </c>
      <c r="Q89">
        <v>0.583</v>
      </c>
      <c r="R89">
        <v>0</v>
      </c>
      <c r="S89">
        <v>0</v>
      </c>
      <c r="T89">
        <v>0</v>
      </c>
      <c r="U89">
        <v>0</v>
      </c>
      <c r="V89">
        <v>1132</v>
      </c>
      <c r="W89">
        <v>0</v>
      </c>
      <c r="X89">
        <v>0</v>
      </c>
      <c r="Y89">
        <v>0</v>
      </c>
      <c r="Z89">
        <v>0</v>
      </c>
      <c r="AA89">
        <v>10344</v>
      </c>
      <c r="AB89">
        <v>3902</v>
      </c>
      <c r="AC89">
        <v>284</v>
      </c>
      <c r="AD89">
        <v>2.19</v>
      </c>
      <c r="AE89">
        <v>2832</v>
      </c>
      <c r="AF89">
        <v>0.583</v>
      </c>
      <c r="AG89">
        <v>0.332999999999999</v>
      </c>
      <c r="AH89">
        <v>0.254</v>
      </c>
      <c r="AI89">
        <v>262.22</v>
      </c>
      <c r="AJ89">
        <v>8.69</v>
      </c>
      <c r="AK89">
        <v>37367</v>
      </c>
      <c r="AL89">
        <v>4558</v>
      </c>
      <c r="AM89">
        <v>981</v>
      </c>
      <c r="AN89">
        <v>0</v>
      </c>
      <c r="AO89">
        <v>0</v>
      </c>
      <c r="AP89">
        <v>0.955</v>
      </c>
      <c r="AQ89">
        <v>0.088</v>
      </c>
      <c r="AR89">
        <v>0.021</v>
      </c>
      <c r="AS89" s="3">
        <v>46107.766180555554</v>
      </c>
    </row>
    <row r="90" ht="25.5" customHeight="1">
      <c r="A90" t="inlineStr">
        <is>
          <t>5e3d4b7b0000000001009e2c</t>
        </is>
      </c>
      <c r="B90" s="2" t="str">
        <f>=HYPERLINK("https://www.xiaohongshu.com/user/profile/5e3d4b7b0000000001009e2c", "https://www.xiaohongshu.com/user/profile/5e3d4b7b0000000001009e2c")</f>
        <v>https://www.xiaohongshu.com/user/profile/5e3d4b7b0000000001009e2c</v>
      </c>
      <c r="C90" s="2" t="str">
        <f>=HYPERLINK("https://pgy.xiaohongshu.com/solar/pre-trade/blogger-detail/5e3d4b7b0000000001009e2c", "https://pgy.xiaohongshu.com/solar/pre-trade/blogger-detail/5e3d4b7b0000000001009e2c")</f>
        <v>https://pgy.xiaohongshu.com/solar/pre-trade/blogger-detail/5e3d4b7b0000000001009e2c</v>
      </c>
      <c r="D90" t="inlineStr">
        <is>
          <t>男</t>
        </is>
      </c>
      <c r="E90" t="inlineStr">
        <is>
          <t>444973078</t>
        </is>
      </c>
      <c r="F90" t="inlineStr">
        <is>
          <t>小yi007</t>
        </is>
      </c>
      <c r="G90" t="inlineStr">
        <is>
          <t>天津</t>
        </is>
      </c>
      <c r="H90" t="inlineStr">
        <is>
          <t>学生</t>
        </is>
      </c>
      <c r="I90" t="inlineStr">
        <is>
          <t>教育, 搞笑</t>
        </is>
      </c>
      <c r="J90">
        <v>29156</v>
      </c>
      <c r="K90" t="inlineStr">
        <is>
          <t>2.9</t>
        </is>
      </c>
      <c r="L90">
        <v>55845</v>
      </c>
      <c r="M90">
        <v>13530</v>
      </c>
      <c r="N90">
        <v>674</v>
      </c>
      <c r="O90">
        <v>400</v>
      </c>
      <c r="P90">
        <v>0.262</v>
      </c>
      <c r="Q90">
        <v>0.833</v>
      </c>
      <c r="R90">
        <v>19784</v>
      </c>
      <c r="S90">
        <v>2817</v>
      </c>
      <c r="T90">
        <v>311</v>
      </c>
      <c r="U90">
        <v>0.44</v>
      </c>
      <c r="V90">
        <v>400</v>
      </c>
      <c r="W90">
        <v>1</v>
      </c>
      <c r="X90">
        <v>0</v>
      </c>
      <c r="Y90">
        <v>20.22</v>
      </c>
      <c r="Z90">
        <v>1.25</v>
      </c>
      <c r="AA90">
        <v>59682</v>
      </c>
      <c r="AB90">
        <v>14730</v>
      </c>
      <c r="AC90">
        <v>422</v>
      </c>
      <c r="AD90">
        <v>1.63</v>
      </c>
      <c r="AE90">
        <v>2000</v>
      </c>
      <c r="AF90">
        <v>0.829</v>
      </c>
      <c r="AG90">
        <v>0.268</v>
      </c>
      <c r="AH90">
        <v>0.242</v>
      </c>
      <c r="AI90">
        <v>39.67</v>
      </c>
      <c r="AJ90">
        <v>2.86</v>
      </c>
      <c r="AK90">
        <v>67417</v>
      </c>
      <c r="AL90">
        <v>20643</v>
      </c>
      <c r="AM90">
        <v>1176</v>
      </c>
      <c r="AN90">
        <v>0</v>
      </c>
      <c r="AO90">
        <v>0</v>
      </c>
      <c r="AP90">
        <v>0.930999999999999</v>
      </c>
      <c r="AQ90">
        <v>0.206</v>
      </c>
      <c r="AR90">
        <v>0.11</v>
      </c>
      <c r="AS90" s="3">
        <v>46107.766180555554</v>
      </c>
    </row>
    <row r="91" ht="25.5" customHeight="1">
      <c r="A91" t="inlineStr">
        <is>
          <t>5cca225c00000000160261f5</t>
        </is>
      </c>
      <c r="B91" s="2" t="str">
        <f>=HYPERLINK("https://www.xiaohongshu.com/user/profile/5cca225c00000000160261f5", "https://www.xiaohongshu.com/user/profile/5cca225c00000000160261f5")</f>
        <v>https://www.xiaohongshu.com/user/profile/5cca225c00000000160261f5</v>
      </c>
      <c r="C91" s="2" t="str">
        <f>=HYPERLINK("https://pgy.xiaohongshu.com/solar/pre-trade/blogger-detail/5cca225c00000000160261f5", "https://pgy.xiaohongshu.com/solar/pre-trade/blogger-detail/5cca225c00000000160261f5")</f>
        <v>https://pgy.xiaohongshu.com/solar/pre-trade/blogger-detail/5cca225c00000000160261f5</v>
      </c>
      <c r="D91" t="inlineStr">
        <is>
          <t>女</t>
        </is>
      </c>
      <c r="E91" t="inlineStr">
        <is>
          <t>727293079</t>
        </is>
      </c>
      <c r="F91" t="inlineStr">
        <is>
          <t>未命名草稿</t>
        </is>
      </c>
      <c r="G91" t="inlineStr">
        <is>
          <t>北京</t>
        </is>
      </c>
      <c r="H91" t="inlineStr">
        <is>
          <t>学生</t>
        </is>
      </c>
      <c r="I91" t="inlineStr">
        <is>
          <t>教育</t>
        </is>
      </c>
      <c r="J91">
        <v>4785</v>
      </c>
      <c r="K91" t="inlineStr">
        <is>
          <t>0.5</t>
        </is>
      </c>
      <c r="L91">
        <v>49373</v>
      </c>
      <c r="M91">
        <v>12937</v>
      </c>
      <c r="N91">
        <v>3513</v>
      </c>
      <c r="O91">
        <v>400</v>
      </c>
      <c r="P91">
        <v>0.571</v>
      </c>
      <c r="Q91">
        <v>0.857</v>
      </c>
      <c r="R91">
        <v>49373</v>
      </c>
      <c r="S91">
        <v>12937</v>
      </c>
      <c r="T91">
        <v>3289</v>
      </c>
      <c r="U91">
        <v>0.61</v>
      </c>
      <c r="V91">
        <v>400</v>
      </c>
      <c r="W91">
        <v>0.857</v>
      </c>
      <c r="X91">
        <v>0.571</v>
      </c>
      <c r="Y91">
        <v>52.21</v>
      </c>
      <c r="Z91">
        <v>1.82</v>
      </c>
      <c r="AA91">
        <v>0</v>
      </c>
      <c r="AB91">
        <v>0</v>
      </c>
      <c r="AC91">
        <v>0</v>
      </c>
      <c r="AD91">
        <v>0</v>
      </c>
      <c r="AE91">
        <v>0</v>
      </c>
      <c r="AF91">
        <v>0</v>
      </c>
      <c r="AG91">
        <v>0</v>
      </c>
      <c r="AH91">
        <v>0</v>
      </c>
      <c r="AI91">
        <v>0</v>
      </c>
      <c r="AJ91">
        <v>0</v>
      </c>
      <c r="AK91">
        <v>7287</v>
      </c>
      <c r="AL91">
        <v>790</v>
      </c>
      <c r="AM91">
        <v>31</v>
      </c>
      <c r="AN91">
        <v>2</v>
      </c>
      <c r="AO91">
        <v>107.2</v>
      </c>
      <c r="AP91">
        <v>0.994</v>
      </c>
      <c r="AQ91">
        <v>0.462999999999999</v>
      </c>
      <c r="AR91">
        <v>0</v>
      </c>
      <c r="AS91" s="3">
        <v>46107.766180555554</v>
      </c>
    </row>
    <row r="92" ht="25.5" customHeight="1">
      <c r="A92" t="inlineStr">
        <is>
          <t>5a17ab0b4eacab75a4d3373c</t>
        </is>
      </c>
      <c r="B92" s="2" t="str">
        <f>=HYPERLINK("https://www.xiaohongshu.com/user/profile/5a17ab0b4eacab75a4d3373c", "https://www.xiaohongshu.com/user/profile/5a17ab0b4eacab75a4d3373c")</f>
        <v>https://www.xiaohongshu.com/user/profile/5a17ab0b4eacab75a4d3373c</v>
      </c>
      <c r="C92" s="2" t="str">
        <f>=HYPERLINK("https://pgy.xiaohongshu.com/solar/pre-trade/blogger-detail/5a17ab0b4eacab75a4d3373c", "https://pgy.xiaohongshu.com/solar/pre-trade/blogger-detail/5a17ab0b4eacab75a4d3373c")</f>
        <v>https://pgy.xiaohongshu.com/solar/pre-trade/blogger-detail/5a17ab0b4eacab75a4d3373c</v>
      </c>
      <c r="D92" t="inlineStr">
        <is>
          <t>女</t>
        </is>
      </c>
      <c r="E92" t="inlineStr">
        <is>
          <t>quzongxhs</t>
        </is>
      </c>
      <c r="F92" t="inlineStr">
        <is>
          <t>渠总准备中</t>
        </is>
      </c>
      <c r="G92" t="inlineStr">
        <is>
          <t>浙江 杭州 滨江区</t>
        </is>
      </c>
      <c r="H92" t="inlineStr">
        <is>
          <t>留学背景, 运营</t>
        </is>
      </c>
      <c r="I92" t="inlineStr">
        <is>
          <t>职场</t>
        </is>
      </c>
      <c r="J92">
        <v>12502</v>
      </c>
      <c r="K92" t="inlineStr">
        <is>
          <t>1.3</t>
        </is>
      </c>
      <c r="L92">
        <v>7660</v>
      </c>
      <c r="M92">
        <v>2273</v>
      </c>
      <c r="N92">
        <v>195</v>
      </c>
      <c r="O92">
        <v>1580</v>
      </c>
      <c r="P92">
        <v>0</v>
      </c>
      <c r="Q92">
        <v>0.5</v>
      </c>
      <c r="R92">
        <v>199318</v>
      </c>
      <c r="S92">
        <v>12486</v>
      </c>
      <c r="T92">
        <v>219</v>
      </c>
      <c r="U92">
        <v>0.43</v>
      </c>
      <c r="V92">
        <v>1580</v>
      </c>
      <c r="W92">
        <v>1</v>
      </c>
      <c r="X92">
        <v>0</v>
      </c>
      <c r="Y92">
        <v>7.93</v>
      </c>
      <c r="Z92">
        <v>6.37</v>
      </c>
      <c r="AA92">
        <v>7618</v>
      </c>
      <c r="AB92">
        <v>1002</v>
      </c>
      <c r="AC92">
        <v>131</v>
      </c>
      <c r="AD92">
        <v>5.07</v>
      </c>
      <c r="AE92">
        <v>3580</v>
      </c>
      <c r="AF92">
        <v>0.332999999999999</v>
      </c>
      <c r="AG92">
        <v>0</v>
      </c>
      <c r="AH92">
        <v>0.099</v>
      </c>
      <c r="AI92">
        <v>706.25</v>
      </c>
      <c r="AJ92">
        <v>25.03</v>
      </c>
      <c r="AK92">
        <v>75546</v>
      </c>
      <c r="AL92">
        <v>52050</v>
      </c>
      <c r="AM92">
        <v>5249</v>
      </c>
      <c r="AN92">
        <v>0</v>
      </c>
      <c r="AO92">
        <v>0</v>
      </c>
      <c r="AP92">
        <v>0.868</v>
      </c>
      <c r="AQ92">
        <v>0.024</v>
      </c>
      <c r="AR92">
        <v>0.023</v>
      </c>
      <c r="AS92" s="3">
        <v>46107.766180555554</v>
      </c>
    </row>
    <row r="93" ht="25.5" customHeight="1">
      <c r="A93" t="inlineStr">
        <is>
          <t>612cb0440000000001007e47</t>
        </is>
      </c>
      <c r="B93" s="2" t="str">
        <f>=HYPERLINK("https://www.xiaohongshu.com/user/profile/612cb0440000000001007e47", "https://www.xiaohongshu.com/user/profile/612cb0440000000001007e47")</f>
        <v>https://www.xiaohongshu.com/user/profile/612cb0440000000001007e47</v>
      </c>
      <c r="C93" s="2" t="str">
        <f>=HYPERLINK("https://pgy.xiaohongshu.com/solar/pre-trade/blogger-detail/612cb0440000000001007e47", "https://pgy.xiaohongshu.com/solar/pre-trade/blogger-detail/612cb0440000000001007e47")</f>
        <v>https://pgy.xiaohongshu.com/solar/pre-trade/blogger-detail/612cb0440000000001007e47</v>
      </c>
      <c r="D93" t="inlineStr">
        <is>
          <t>女</t>
        </is>
      </c>
      <c r="E93" t="inlineStr">
        <is>
          <t>2727040682</t>
        </is>
      </c>
      <c r="F93" t="inlineStr">
        <is>
          <t>慕清thee</t>
        </is>
      </c>
      <c r="G93" t="inlineStr">
        <is>
          <t>北京</t>
        </is>
      </c>
      <c r="H93" t="inlineStr">
        <is>
          <t>学生</t>
        </is>
      </c>
      <c r="I93" t="inlineStr">
        <is>
          <t>教育</t>
        </is>
      </c>
      <c r="J93">
        <v>84059</v>
      </c>
      <c r="K93" t="inlineStr">
        <is>
          <t>8.4</t>
        </is>
      </c>
      <c r="L93">
        <v>36033</v>
      </c>
      <c r="M93">
        <v>8170</v>
      </c>
      <c r="N93">
        <v>1065</v>
      </c>
      <c r="O93">
        <v>4500</v>
      </c>
      <c r="P93">
        <v>0.429</v>
      </c>
      <c r="Q93">
        <v>0.714</v>
      </c>
      <c r="R93">
        <v>0</v>
      </c>
      <c r="S93">
        <v>0</v>
      </c>
      <c r="T93">
        <v>0</v>
      </c>
      <c r="U93">
        <v>0</v>
      </c>
      <c r="V93">
        <v>4500</v>
      </c>
      <c r="W93">
        <v>0</v>
      </c>
      <c r="X93">
        <v>0</v>
      </c>
      <c r="Y93">
        <v>0</v>
      </c>
      <c r="Z93">
        <v>0</v>
      </c>
      <c r="AA93">
        <v>36033</v>
      </c>
      <c r="AB93">
        <v>8170</v>
      </c>
      <c r="AC93">
        <v>943</v>
      </c>
      <c r="AD93">
        <v>3.08</v>
      </c>
      <c r="AE93">
        <v>8000</v>
      </c>
      <c r="AF93">
        <v>0.714</v>
      </c>
      <c r="AG93">
        <v>0.429</v>
      </c>
      <c r="AH93">
        <v>0.053</v>
      </c>
      <c r="AI93">
        <v>222.02</v>
      </c>
      <c r="AJ93">
        <v>7.51</v>
      </c>
      <c r="AK93">
        <v>45443</v>
      </c>
      <c r="AL93">
        <v>3472</v>
      </c>
      <c r="AM93">
        <v>845</v>
      </c>
      <c r="AN93">
        <v>0</v>
      </c>
      <c r="AO93">
        <v>0</v>
      </c>
      <c r="AP93">
        <v>0.871</v>
      </c>
      <c r="AQ93">
        <v>0.115</v>
      </c>
      <c r="AR93">
        <v>0.071</v>
      </c>
      <c r="AS93" s="3">
        <v>46107.766180555554</v>
      </c>
    </row>
    <row r="94" ht="25.5" customHeight="1">
      <c r="A94" t="inlineStr">
        <is>
          <t>5c603dbc000000001a001557</t>
        </is>
      </c>
      <c r="B94" s="2" t="str">
        <f>=HYPERLINK("https://www.xiaohongshu.com/user/profile/5c603dbc000000001a001557", "https://www.xiaohongshu.com/user/profile/5c603dbc000000001a001557")</f>
        <v>https://www.xiaohongshu.com/user/profile/5c603dbc000000001a001557</v>
      </c>
      <c r="C94" s="2" t="str">
        <f>=HYPERLINK("https://pgy.xiaohongshu.com/solar/pre-trade/blogger-detail/5c603dbc000000001a001557", "https://pgy.xiaohongshu.com/solar/pre-trade/blogger-detail/5c603dbc000000001a001557")</f>
        <v>https://pgy.xiaohongshu.com/solar/pre-trade/blogger-detail/5c603dbc000000001a001557</v>
      </c>
      <c r="D94" t="inlineStr">
        <is>
          <t>女</t>
        </is>
      </c>
      <c r="E94" t="inlineStr">
        <is>
          <t>xnnvyue</t>
        </is>
      </c>
      <c r="F94" t="inlineStr">
        <is>
          <t>Nai奈</t>
        </is>
      </c>
      <c r="G94" t="inlineStr">
        <is>
          <t>江苏 苏州 吴江区</t>
        </is>
      </c>
      <c r="H94" t="inlineStr">
        <is>
          <t>学生, 翻译</t>
        </is>
      </c>
      <c r="I94" t="inlineStr">
        <is>
          <t>教育</t>
        </is>
      </c>
      <c r="J94">
        <v>21451</v>
      </c>
      <c r="K94" t="inlineStr">
        <is>
          <t>2.1</t>
        </is>
      </c>
      <c r="L94">
        <v>17646</v>
      </c>
      <c r="M94">
        <v>3179</v>
      </c>
      <c r="N94">
        <v>330</v>
      </c>
      <c r="O94">
        <v>2500</v>
      </c>
      <c r="P94">
        <v>0.2</v>
      </c>
      <c r="Q94">
        <v>1</v>
      </c>
      <c r="R94">
        <v>21198</v>
      </c>
      <c r="S94">
        <v>4334</v>
      </c>
      <c r="T94">
        <v>378</v>
      </c>
      <c r="U94">
        <v>0.56</v>
      </c>
      <c r="V94">
        <v>2500</v>
      </c>
      <c r="W94">
        <v>1</v>
      </c>
      <c r="X94">
        <v>0.25</v>
      </c>
      <c r="Y94">
        <v>43.69</v>
      </c>
      <c r="Z94">
        <v>2.68</v>
      </c>
      <c r="AA94">
        <v>12507</v>
      </c>
      <c r="AB94">
        <v>2169</v>
      </c>
      <c r="AC94">
        <v>258</v>
      </c>
      <c r="AD94">
        <v>3.11</v>
      </c>
      <c r="AE94">
        <v>3500</v>
      </c>
      <c r="AF94">
        <v>1</v>
      </c>
      <c r="AG94">
        <v>0</v>
      </c>
      <c r="AH94">
        <v>0.23</v>
      </c>
      <c r="AI94">
        <v>279.84</v>
      </c>
      <c r="AJ94">
        <v>13.21</v>
      </c>
      <c r="AK94">
        <v>77429</v>
      </c>
      <c r="AL94">
        <v>14374</v>
      </c>
      <c r="AM94">
        <v>1463</v>
      </c>
      <c r="AN94">
        <v>51</v>
      </c>
      <c r="AO94">
        <v>28.22</v>
      </c>
      <c r="AP94">
        <v>0.834</v>
      </c>
      <c r="AQ94">
        <v>0.049</v>
      </c>
      <c r="AR94">
        <v>0.011</v>
      </c>
      <c r="AS94" s="3">
        <v>46107.766180555554</v>
      </c>
    </row>
    <row r="95" ht="25.5" customHeight="1">
      <c r="A95" t="inlineStr">
        <is>
          <t>6473fe880000000011000dc4</t>
        </is>
      </c>
      <c r="B95" s="2" t="str">
        <f>=HYPERLINK("https://www.xiaohongshu.com/user/profile/6473fe880000000011000dc4", "https://www.xiaohongshu.com/user/profile/6473fe880000000011000dc4")</f>
        <v>https://www.xiaohongshu.com/user/profile/6473fe880000000011000dc4</v>
      </c>
      <c r="C95" s="2" t="str">
        <f>=HYPERLINK("https://pgy.xiaohongshu.com/solar/pre-trade/blogger-detail/6473fe880000000011000dc4", "https://pgy.xiaohongshu.com/solar/pre-trade/blogger-detail/6473fe880000000011000dc4")</f>
        <v>https://pgy.xiaohongshu.com/solar/pre-trade/blogger-detail/6473fe880000000011000dc4</v>
      </c>
      <c r="D95" t="inlineStr">
        <is>
          <t>女</t>
        </is>
      </c>
      <c r="E95" t="inlineStr">
        <is>
          <t>9745327071</t>
        </is>
      </c>
      <c r="F95" t="inlineStr">
        <is>
          <t>阿向爱学习</t>
        </is>
      </c>
      <c r="G95" t="inlineStr">
        <is>
          <t>四川 成都 锦江区</t>
        </is>
      </c>
      <c r="H95" t="inlineStr">
        <is>
          <t>品牌创始人, 主播</t>
        </is>
      </c>
      <c r="I95" t="inlineStr">
        <is>
          <t>出行旅游, 教育</t>
        </is>
      </c>
      <c r="J95">
        <v>11976</v>
      </c>
      <c r="K95" t="inlineStr">
        <is>
          <t>1.2</t>
        </is>
      </c>
      <c r="L95">
        <v>174124</v>
      </c>
      <c r="M95">
        <v>32623</v>
      </c>
      <c r="N95">
        <v>1688</v>
      </c>
      <c r="O95">
        <v>439</v>
      </c>
      <c r="P95">
        <v>0.5</v>
      </c>
      <c r="Q95">
        <v>0.833</v>
      </c>
      <c r="R95">
        <v>0</v>
      </c>
      <c r="S95">
        <v>0</v>
      </c>
      <c r="T95">
        <v>0</v>
      </c>
      <c r="U95">
        <v>0</v>
      </c>
      <c r="V95">
        <v>439</v>
      </c>
      <c r="W95">
        <v>0</v>
      </c>
      <c r="X95">
        <v>0</v>
      </c>
      <c r="Y95">
        <v>0</v>
      </c>
      <c r="Z95">
        <v>0</v>
      </c>
      <c r="AA95">
        <v>174124</v>
      </c>
      <c r="AB95">
        <v>32623</v>
      </c>
      <c r="AC95">
        <v>1230</v>
      </c>
      <c r="AD95">
        <v>1.53</v>
      </c>
      <c r="AE95">
        <v>863</v>
      </c>
      <c r="AF95">
        <v>0.833</v>
      </c>
      <c r="AG95">
        <v>0.5</v>
      </c>
      <c r="AH95">
        <v>0.100999999999999</v>
      </c>
      <c r="AI95">
        <v>4.96</v>
      </c>
      <c r="AJ95">
        <v>0.51</v>
      </c>
      <c r="AK95">
        <v>0</v>
      </c>
      <c r="AL95">
        <v>0</v>
      </c>
      <c r="AM95">
        <v>0</v>
      </c>
      <c r="AN95">
        <v>0</v>
      </c>
      <c r="AO95">
        <v>0</v>
      </c>
      <c r="AP95">
        <v>0.966</v>
      </c>
      <c r="AQ95">
        <v>0.205</v>
      </c>
      <c r="AR95">
        <v>0.516</v>
      </c>
      <c r="AS95" s="3">
        <v>46107.766180555554</v>
      </c>
    </row>
    <row r="96" ht="25.5" customHeight="1">
      <c r="A96" t="inlineStr">
        <is>
          <t>5da5e67500000000010046fa</t>
        </is>
      </c>
      <c r="B96" s="2" t="str">
        <f>=HYPERLINK("https://www.xiaohongshu.com/user/profile/5da5e67500000000010046fa", "https://www.xiaohongshu.com/user/profile/5da5e67500000000010046fa")</f>
        <v>https://www.xiaohongshu.com/user/profile/5da5e67500000000010046fa</v>
      </c>
      <c r="C96" s="2" t="str">
        <f>=HYPERLINK("https://pgy.xiaohongshu.com/solar/pre-trade/blogger-detail/5da5e67500000000010046fa", "https://pgy.xiaohongshu.com/solar/pre-trade/blogger-detail/5da5e67500000000010046fa")</f>
        <v>https://pgy.xiaohongshu.com/solar/pre-trade/blogger-detail/5da5e67500000000010046fa</v>
      </c>
      <c r="D96" t="inlineStr">
        <is>
          <t>男</t>
        </is>
      </c>
      <c r="E96" t="inlineStr">
        <is>
          <t>1Songjianfeng1</t>
        </is>
      </c>
      <c r="F96" t="inlineStr">
        <is>
          <t>人间疯狗</t>
        </is>
      </c>
      <c r="G96" t="inlineStr">
        <is>
          <t>辽宁 大连 金州区</t>
        </is>
      </c>
      <c r="H96"/>
      <c r="I96" t="inlineStr">
        <is>
          <t>职场, 教育</t>
        </is>
      </c>
      <c r="J96">
        <v>24125</v>
      </c>
      <c r="K96" t="inlineStr">
        <is>
          <t>2.4</t>
        </is>
      </c>
      <c r="L96">
        <v>76007</v>
      </c>
      <c r="M96">
        <v>25096</v>
      </c>
      <c r="N96">
        <v>962</v>
      </c>
      <c r="O96">
        <v>1122</v>
      </c>
      <c r="P96">
        <v>0.3</v>
      </c>
      <c r="Q96">
        <v>1</v>
      </c>
      <c r="R96">
        <v>0</v>
      </c>
      <c r="S96">
        <v>0</v>
      </c>
      <c r="T96">
        <v>0</v>
      </c>
      <c r="U96">
        <v>0</v>
      </c>
      <c r="V96">
        <v>1122</v>
      </c>
      <c r="W96">
        <v>0</v>
      </c>
      <c r="X96">
        <v>0</v>
      </c>
      <c r="Y96">
        <v>0</v>
      </c>
      <c r="Z96">
        <v>0</v>
      </c>
      <c r="AA96">
        <v>76007</v>
      </c>
      <c r="AB96">
        <v>25096</v>
      </c>
      <c r="AC96">
        <v>791</v>
      </c>
      <c r="AD96">
        <v>1.61</v>
      </c>
      <c r="AE96">
        <v>2500</v>
      </c>
      <c r="AF96">
        <v>1</v>
      </c>
      <c r="AG96">
        <v>0.3</v>
      </c>
      <c r="AH96">
        <v>0.171</v>
      </c>
      <c r="AI96">
        <v>34.68</v>
      </c>
      <c r="AJ96">
        <v>2.91</v>
      </c>
      <c r="AK96">
        <v>55756</v>
      </c>
      <c r="AL96">
        <v>12592</v>
      </c>
      <c r="AM96">
        <v>389</v>
      </c>
      <c r="AN96">
        <v>0</v>
      </c>
      <c r="AO96">
        <v>0</v>
      </c>
      <c r="AP96">
        <v>0.884</v>
      </c>
      <c r="AQ96">
        <v>0.205</v>
      </c>
      <c r="AR96">
        <v>0.298</v>
      </c>
      <c r="AS96" s="3">
        <v>46107.766180555554</v>
      </c>
    </row>
    <row r="97" ht="25.5" customHeight="1">
      <c r="A97" t="inlineStr">
        <is>
          <t>5bed99a9490f810001112368</t>
        </is>
      </c>
      <c r="B97" s="2" t="str">
        <f>=HYPERLINK("https://www.xiaohongshu.com/user/profile/5bed99a9490f810001112368", "https://www.xiaohongshu.com/user/profile/5bed99a9490f810001112368")</f>
        <v>https://www.xiaohongshu.com/user/profile/5bed99a9490f810001112368</v>
      </c>
      <c r="C97" s="2" t="str">
        <f>=HYPERLINK("https://pgy.xiaohongshu.com/solar/pre-trade/blogger-detail/5bed99a9490f810001112368", "https://pgy.xiaohongshu.com/solar/pre-trade/blogger-detail/5bed99a9490f810001112368")</f>
        <v>https://pgy.xiaohongshu.com/solar/pre-trade/blogger-detail/5bed99a9490f810001112368</v>
      </c>
      <c r="D97" t="inlineStr">
        <is>
          <t>女</t>
        </is>
      </c>
      <c r="E97" t="inlineStr">
        <is>
          <t>298910574</t>
        </is>
      </c>
      <c r="F97" t="inlineStr">
        <is>
          <t>谢阿能勇闯德国</t>
        </is>
      </c>
      <c r="G97" t="inlineStr">
        <is>
          <t>德国</t>
        </is>
      </c>
      <c r="H97" t="inlineStr">
        <is>
          <t>留学背景, 学生</t>
        </is>
      </c>
      <c r="I97" t="inlineStr">
        <is>
          <t>教育</t>
        </is>
      </c>
      <c r="J97">
        <v>33194</v>
      </c>
      <c r="K97" t="inlineStr">
        <is>
          <t>3.3</t>
        </is>
      </c>
      <c r="L97">
        <v>15842</v>
      </c>
      <c r="M97">
        <v>2815</v>
      </c>
      <c r="N97">
        <v>133</v>
      </c>
      <c r="O97">
        <v>2200</v>
      </c>
      <c r="P97">
        <v>0</v>
      </c>
      <c r="Q97">
        <v>1</v>
      </c>
      <c r="R97">
        <v>0</v>
      </c>
      <c r="S97">
        <v>0</v>
      </c>
      <c r="T97">
        <v>0</v>
      </c>
      <c r="U97">
        <v>0</v>
      </c>
      <c r="V97">
        <v>2200</v>
      </c>
      <c r="W97">
        <v>0</v>
      </c>
      <c r="X97">
        <v>0</v>
      </c>
      <c r="Y97">
        <v>0</v>
      </c>
      <c r="Z97">
        <v>0</v>
      </c>
      <c r="AA97">
        <v>23035</v>
      </c>
      <c r="AB97">
        <v>4111</v>
      </c>
      <c r="AC97">
        <v>268</v>
      </c>
      <c r="AD97">
        <v>3.03</v>
      </c>
      <c r="AE97">
        <v>4300</v>
      </c>
      <c r="AF97">
        <v>1</v>
      </c>
      <c r="AG97">
        <v>0</v>
      </c>
      <c r="AH97">
        <v>0.193999999999999</v>
      </c>
      <c r="AI97">
        <v>271.43</v>
      </c>
      <c r="AJ97">
        <v>12.68</v>
      </c>
      <c r="AK97">
        <v>10905</v>
      </c>
      <c r="AL97">
        <v>1736</v>
      </c>
      <c r="AM97">
        <v>316</v>
      </c>
      <c r="AN97">
        <v>0</v>
      </c>
      <c r="AO97">
        <v>0</v>
      </c>
      <c r="AP97">
        <v>0.866</v>
      </c>
      <c r="AQ97">
        <v>0.039</v>
      </c>
      <c r="AR97">
        <v>0.02</v>
      </c>
      <c r="AS97" s="3">
        <v>46107.766180555554</v>
      </c>
    </row>
    <row r="98" ht="25.5" customHeight="1">
      <c r="A98" t="inlineStr">
        <is>
          <t>668cef6e00000000030326f7</t>
        </is>
      </c>
      <c r="B98" s="2" t="str">
        <f>=HYPERLINK("https://www.xiaohongshu.com/user/profile/668cef6e00000000030326f7", "https://www.xiaohongshu.com/user/profile/668cef6e00000000030326f7")</f>
        <v>https://www.xiaohongshu.com/user/profile/668cef6e00000000030326f7</v>
      </c>
      <c r="C98" s="2" t="str">
        <f>=HYPERLINK("https://pgy.xiaohongshu.com/solar/pre-trade/blogger-detail/668cef6e00000000030326f7", "https://pgy.xiaohongshu.com/solar/pre-trade/blogger-detail/668cef6e00000000030326f7")</f>
        <v>https://pgy.xiaohongshu.com/solar/pre-trade/blogger-detail/668cef6e00000000030326f7</v>
      </c>
      <c r="D98" t="inlineStr">
        <is>
          <t>男</t>
        </is>
      </c>
      <c r="E98" t="inlineStr">
        <is>
          <t>11437558866</t>
        </is>
      </c>
      <c r="F98" t="inlineStr">
        <is>
          <t>5点姐</t>
        </is>
      </c>
      <c r="G98" t="inlineStr">
        <is>
          <t>江苏 苏州 昆山市</t>
        </is>
      </c>
      <c r="H98" t="inlineStr">
        <is>
          <t>独居人群</t>
        </is>
      </c>
      <c r="I98" t="inlineStr">
        <is>
          <t>教育</t>
        </is>
      </c>
      <c r="J98">
        <v>20736</v>
      </c>
      <c r="K98" t="inlineStr">
        <is>
          <t>2.1</t>
        </is>
      </c>
      <c r="L98">
        <v>17122</v>
      </c>
      <c r="M98">
        <v>2450</v>
      </c>
      <c r="N98">
        <v>187</v>
      </c>
      <c r="O98">
        <v>1500</v>
      </c>
      <c r="P98">
        <v>0</v>
      </c>
      <c r="Q98">
        <v>0.75</v>
      </c>
      <c r="R98">
        <v>0</v>
      </c>
      <c r="S98">
        <v>0</v>
      </c>
      <c r="T98">
        <v>0</v>
      </c>
      <c r="U98">
        <v>2.41</v>
      </c>
      <c r="V98">
        <v>1500</v>
      </c>
      <c r="W98">
        <v>0</v>
      </c>
      <c r="X98">
        <v>0</v>
      </c>
      <c r="Y98">
        <v>289.86</v>
      </c>
      <c r="Z98">
        <v>100</v>
      </c>
      <c r="AA98">
        <v>17122</v>
      </c>
      <c r="AB98">
        <v>2450</v>
      </c>
      <c r="AC98">
        <v>172</v>
      </c>
      <c r="AD98">
        <v>2.29</v>
      </c>
      <c r="AE98">
        <v>2000</v>
      </c>
      <c r="AF98">
        <v>0.75</v>
      </c>
      <c r="AG98">
        <v>0</v>
      </c>
      <c r="AH98">
        <v>0.094</v>
      </c>
      <c r="AI98">
        <v>125.38</v>
      </c>
      <c r="AJ98">
        <v>10.05</v>
      </c>
      <c r="AK98">
        <v>34229</v>
      </c>
      <c r="AL98">
        <v>6669</v>
      </c>
      <c r="AM98">
        <v>1733</v>
      </c>
      <c r="AN98">
        <v>11</v>
      </c>
      <c r="AO98">
        <v>72.78</v>
      </c>
      <c r="AP98">
        <v>0.834</v>
      </c>
      <c r="AQ98">
        <v>0.048</v>
      </c>
      <c r="AR98">
        <v>0.016</v>
      </c>
      <c r="AS98" s="3">
        <v>46107.766180555554</v>
      </c>
    </row>
    <row r="99" ht="25.5" customHeight="1">
      <c r="A99" t="inlineStr">
        <is>
          <t>60f6ea2f000000002002e2f3</t>
        </is>
      </c>
      <c r="B99" s="2" t="str">
        <f>=HYPERLINK("https://www.xiaohongshu.com/user/profile/60f6ea2f000000002002e2f3", "https://www.xiaohongshu.com/user/profile/60f6ea2f000000002002e2f3")</f>
        <v>https://www.xiaohongshu.com/user/profile/60f6ea2f000000002002e2f3</v>
      </c>
      <c r="C99" s="2" t="str">
        <f>=HYPERLINK("https://pgy.xiaohongshu.com/solar/pre-trade/blogger-detail/60f6ea2f000000002002e2f3", "https://pgy.xiaohongshu.com/solar/pre-trade/blogger-detail/60f6ea2f000000002002e2f3")</f>
        <v>https://pgy.xiaohongshu.com/solar/pre-trade/blogger-detail/60f6ea2f000000002002e2f3</v>
      </c>
      <c r="D99" t="inlineStr">
        <is>
          <t>男</t>
        </is>
      </c>
      <c r="E99" t="inlineStr">
        <is>
          <t>9501514451</t>
        </is>
      </c>
      <c r="F99" t="inlineStr">
        <is>
          <t>小奥同学🎓</t>
        </is>
      </c>
      <c r="G99" t="inlineStr">
        <is>
          <t>湖南 长沙 岳麓区</t>
        </is>
      </c>
      <c r="H99" t="inlineStr">
        <is>
          <t>创业者, 学生</t>
        </is>
      </c>
      <c r="I99" t="inlineStr">
        <is>
          <t>职场, 教育, 科技数码</t>
        </is>
      </c>
      <c r="J99">
        <v>23677</v>
      </c>
      <c r="K99" t="inlineStr">
        <is>
          <t>2.4</t>
        </is>
      </c>
      <c r="L99">
        <v>8731</v>
      </c>
      <c r="M99">
        <v>2040</v>
      </c>
      <c r="N99">
        <v>351</v>
      </c>
      <c r="O99">
        <v>2000</v>
      </c>
      <c r="P99">
        <v>0.2</v>
      </c>
      <c r="Q99">
        <v>0.7</v>
      </c>
      <c r="R99">
        <v>0</v>
      </c>
      <c r="S99">
        <v>0</v>
      </c>
      <c r="T99">
        <v>0</v>
      </c>
      <c r="U99">
        <v>0</v>
      </c>
      <c r="V99">
        <v>2000</v>
      </c>
      <c r="W99">
        <v>0</v>
      </c>
      <c r="X99">
        <v>0</v>
      </c>
      <c r="Y99">
        <v>0</v>
      </c>
      <c r="Z99">
        <v>0</v>
      </c>
      <c r="AA99">
        <v>8731</v>
      </c>
      <c r="AB99">
        <v>2040</v>
      </c>
      <c r="AC99">
        <v>330</v>
      </c>
      <c r="AD99">
        <v>3.11</v>
      </c>
      <c r="AE99">
        <v>5000</v>
      </c>
      <c r="AF99">
        <v>0.7</v>
      </c>
      <c r="AG99">
        <v>0.2</v>
      </c>
      <c r="AH99">
        <v>0.048</v>
      </c>
      <c r="AI99">
        <v>508.21</v>
      </c>
      <c r="AJ99">
        <v>10.46</v>
      </c>
      <c r="AK99">
        <v>25135</v>
      </c>
      <c r="AL99">
        <v>8810</v>
      </c>
      <c r="AM99">
        <v>579</v>
      </c>
      <c r="AN99">
        <v>0</v>
      </c>
      <c r="AO99">
        <v>13015.77</v>
      </c>
      <c r="AP99">
        <v>0.775999999999999</v>
      </c>
      <c r="AQ99">
        <v>0.054</v>
      </c>
      <c r="AR99">
        <v>0.045</v>
      </c>
      <c r="AS99" s="3">
        <v>46107.766180555554</v>
      </c>
    </row>
    <row r="100" ht="25.5" customHeight="1">
      <c r="A100" t="inlineStr">
        <is>
          <t>62232bc70000000010006a1e</t>
        </is>
      </c>
      <c r="B100" s="2" t="str">
        <f>=HYPERLINK("https://www.xiaohongshu.com/user/profile/62232bc70000000010006a1e", "https://www.xiaohongshu.com/user/profile/62232bc70000000010006a1e")</f>
        <v>https://www.xiaohongshu.com/user/profile/62232bc70000000010006a1e</v>
      </c>
      <c r="C100" s="2" t="str">
        <f>=HYPERLINK("https://pgy.xiaohongshu.com/solar/pre-trade/blogger-detail/62232bc70000000010006a1e", "https://pgy.xiaohongshu.com/solar/pre-trade/blogger-detail/62232bc70000000010006a1e")</f>
        <v>https://pgy.xiaohongshu.com/solar/pre-trade/blogger-detail/62232bc70000000010006a1e</v>
      </c>
      <c r="D100" t="inlineStr">
        <is>
          <t>女</t>
        </is>
      </c>
      <c r="E100" t="inlineStr">
        <is>
          <t>2819662374</t>
        </is>
      </c>
      <c r="F100" t="inlineStr">
        <is>
          <t>Cora製造局</t>
        </is>
      </c>
      <c r="G100" t="inlineStr">
        <is>
          <t>上海</t>
        </is>
      </c>
      <c r="H100"/>
      <c r="I100" t="inlineStr">
        <is>
          <t>教育, 生活记录</t>
        </is>
      </c>
      <c r="J100">
        <v>33316</v>
      </c>
      <c r="K100" t="inlineStr">
        <is>
          <t>3.3</t>
        </is>
      </c>
      <c r="L100">
        <v>15003</v>
      </c>
      <c r="M100">
        <v>10625</v>
      </c>
      <c r="N100">
        <v>1661</v>
      </c>
      <c r="O100">
        <v>1500</v>
      </c>
      <c r="P100">
        <v>0.444</v>
      </c>
      <c r="Q100">
        <v>0.889</v>
      </c>
      <c r="R100">
        <v>0</v>
      </c>
      <c r="S100">
        <v>0</v>
      </c>
      <c r="T100">
        <v>0</v>
      </c>
      <c r="U100">
        <v>0</v>
      </c>
      <c r="V100">
        <v>1500</v>
      </c>
      <c r="W100">
        <v>0</v>
      </c>
      <c r="X100">
        <v>0</v>
      </c>
      <c r="Y100">
        <v>0</v>
      </c>
      <c r="Z100">
        <v>0</v>
      </c>
      <c r="AA100">
        <v>15003</v>
      </c>
      <c r="AB100">
        <v>10625</v>
      </c>
      <c r="AC100">
        <v>1477</v>
      </c>
      <c r="AD100">
        <v>1.78</v>
      </c>
      <c r="AE100">
        <v>3000</v>
      </c>
      <c r="AF100">
        <v>0.889</v>
      </c>
      <c r="AG100">
        <v>0.444</v>
      </c>
      <c r="AH100">
        <v>0.259</v>
      </c>
      <c r="AI100">
        <v>199.96</v>
      </c>
      <c r="AJ100">
        <v>1.81</v>
      </c>
      <c r="AK100">
        <v>0</v>
      </c>
      <c r="AL100">
        <v>0</v>
      </c>
      <c r="AM100">
        <v>0</v>
      </c>
      <c r="AN100">
        <v>0</v>
      </c>
      <c r="AO100">
        <v>0</v>
      </c>
      <c r="AP100">
        <v>0.624</v>
      </c>
      <c r="AQ100">
        <v>0.089</v>
      </c>
      <c r="AR100">
        <v>0.103</v>
      </c>
      <c r="AS100" s="3">
        <v>46107.766180555554</v>
      </c>
    </row>
    <row r="101" ht="25.5" customHeight="1">
      <c r="A101" t="inlineStr">
        <is>
          <t>5b5ff5ece8ac2b07bef2d5ae</t>
        </is>
      </c>
      <c r="B101" s="2" t="str">
        <f>=HYPERLINK("https://www.xiaohongshu.com/user/profile/5b5ff5ece8ac2b07bef2d5ae", "https://www.xiaohongshu.com/user/profile/5b5ff5ece8ac2b07bef2d5ae")</f>
        <v>https://www.xiaohongshu.com/user/profile/5b5ff5ece8ac2b07bef2d5ae</v>
      </c>
      <c r="C101" s="2" t="str">
        <f>=HYPERLINK("https://pgy.xiaohongshu.com/solar/pre-trade/blogger-detail/5b5ff5ece8ac2b07bef2d5ae", "https://pgy.xiaohongshu.com/solar/pre-trade/blogger-detail/5b5ff5ece8ac2b07bef2d5ae")</f>
        <v>https://pgy.xiaohongshu.com/solar/pre-trade/blogger-detail/5b5ff5ece8ac2b07bef2d5ae</v>
      </c>
      <c r="D101" t="inlineStr">
        <is>
          <t>女</t>
        </is>
      </c>
      <c r="E101" t="inlineStr">
        <is>
          <t>801603932</t>
        </is>
      </c>
      <c r="F101" t="inlineStr">
        <is>
          <t>升级打怪的betty</t>
        </is>
      </c>
      <c r="G101" t="inlineStr">
        <is>
          <t>上海</t>
        </is>
      </c>
      <c r="H101" t="inlineStr">
        <is>
          <t>创业者, 考研过来人, 户外爱好者, 学生, 运动员</t>
        </is>
      </c>
      <c r="I101" t="inlineStr">
        <is>
          <t>生活记录</t>
        </is>
      </c>
      <c r="J101">
        <v>1528</v>
      </c>
      <c r="K101" t="inlineStr">
        <is>
          <t>0.2</t>
        </is>
      </c>
      <c r="L101">
        <v>4395</v>
      </c>
      <c r="M101">
        <v>1086</v>
      </c>
      <c r="N101">
        <v>156</v>
      </c>
      <c r="O101">
        <v>211</v>
      </c>
      <c r="P101">
        <v>0</v>
      </c>
      <c r="Q101">
        <v>0.5</v>
      </c>
      <c r="R101">
        <v>4395</v>
      </c>
      <c r="S101">
        <v>1086</v>
      </c>
      <c r="T101">
        <v>136</v>
      </c>
      <c r="U101">
        <v>0.91</v>
      </c>
      <c r="V101">
        <v>211</v>
      </c>
      <c r="W101">
        <v>0.5</v>
      </c>
      <c r="X101">
        <v>0</v>
      </c>
      <c r="Y101">
        <v>81.39</v>
      </c>
      <c r="Z101">
        <v>4.91</v>
      </c>
      <c r="AA101">
        <v>0</v>
      </c>
      <c r="AB101">
        <v>0</v>
      </c>
      <c r="AC101">
        <v>0</v>
      </c>
      <c r="AD101">
        <v>0</v>
      </c>
      <c r="AE101">
        <v>300</v>
      </c>
      <c r="AF101">
        <v>0</v>
      </c>
      <c r="AG101">
        <v>0</v>
      </c>
      <c r="AH101">
        <v>0</v>
      </c>
      <c r="AI101">
        <v>0</v>
      </c>
      <c r="AJ101">
        <v>0</v>
      </c>
      <c r="AK101">
        <v>2592</v>
      </c>
      <c r="AL101">
        <v>348</v>
      </c>
      <c r="AM101">
        <v>34</v>
      </c>
      <c r="AN101">
        <v>0</v>
      </c>
      <c r="AO101">
        <v>0</v>
      </c>
      <c r="AP101">
        <v>0.848</v>
      </c>
      <c r="AQ101">
        <v>0.198999999999999</v>
      </c>
      <c r="AR101">
        <v>0</v>
      </c>
      <c r="AS101" s="3">
        <v>46107.766180555554</v>
      </c>
    </row>
    <row r="102" ht="25.5" customHeight="1">
      <c r="A102" t="inlineStr">
        <is>
          <t>62c23711000000001b027619</t>
        </is>
      </c>
      <c r="B102" s="2" t="str">
        <f>=HYPERLINK("https://www.xiaohongshu.com/user/profile/62c23711000000001b027619", "https://www.xiaohongshu.com/user/profile/62c23711000000001b027619")</f>
        <v>https://www.xiaohongshu.com/user/profile/62c23711000000001b027619</v>
      </c>
      <c r="C102" s="2" t="str">
        <f>=HYPERLINK("https://pgy.xiaohongshu.com/solar/pre-trade/blogger-detail/62c23711000000001b027619", "https://pgy.xiaohongshu.com/solar/pre-trade/blogger-detail/62c23711000000001b027619")</f>
        <v>https://pgy.xiaohongshu.com/solar/pre-trade/blogger-detail/62c23711000000001b027619</v>
      </c>
      <c r="D102" t="inlineStr">
        <is>
          <t>女</t>
        </is>
      </c>
      <c r="E102" t="inlineStr">
        <is>
          <t>1505030721</t>
        </is>
      </c>
      <c r="F102" t="inlineStr">
        <is>
          <t>Mila-</t>
        </is>
      </c>
      <c r="G102" t="inlineStr">
        <is>
          <t>浙江 温州 瓯海区</t>
        </is>
      </c>
      <c r="H102" t="inlineStr">
        <is>
          <t>学生</t>
        </is>
      </c>
      <c r="I102" t="inlineStr">
        <is>
          <t>教育, 生活记录</t>
        </is>
      </c>
      <c r="J102">
        <v>12679</v>
      </c>
      <c r="K102" t="inlineStr">
        <is>
          <t>1.3</t>
        </is>
      </c>
      <c r="L102">
        <v>5553</v>
      </c>
      <c r="M102">
        <v>747</v>
      </c>
      <c r="N102">
        <v>157</v>
      </c>
      <c r="O102">
        <v>1400</v>
      </c>
      <c r="P102">
        <v>0</v>
      </c>
      <c r="Q102">
        <v>0.667</v>
      </c>
      <c r="R102">
        <v>5553</v>
      </c>
      <c r="S102">
        <v>747</v>
      </c>
      <c r="T102">
        <v>151</v>
      </c>
      <c r="U102">
        <v>1.68</v>
      </c>
      <c r="V102">
        <v>1400</v>
      </c>
      <c r="W102">
        <v>0.667</v>
      </c>
      <c r="X102">
        <v>0</v>
      </c>
      <c r="Y102">
        <v>194.17</v>
      </c>
      <c r="Z102">
        <v>10.14</v>
      </c>
      <c r="AA102">
        <v>0</v>
      </c>
      <c r="AB102">
        <v>0</v>
      </c>
      <c r="AC102">
        <v>0</v>
      </c>
      <c r="AD102">
        <v>0</v>
      </c>
      <c r="AE102">
        <v>1800</v>
      </c>
      <c r="AF102">
        <v>0</v>
      </c>
      <c r="AG102">
        <v>0</v>
      </c>
      <c r="AH102">
        <v>0</v>
      </c>
      <c r="AI102">
        <v>0</v>
      </c>
      <c r="AJ102">
        <v>0</v>
      </c>
      <c r="AK102">
        <v>12029</v>
      </c>
      <c r="AL102">
        <v>1284</v>
      </c>
      <c r="AM102">
        <v>75</v>
      </c>
      <c r="AN102">
        <v>0</v>
      </c>
      <c r="AO102">
        <v>0</v>
      </c>
      <c r="AP102">
        <v>0.650999999999999</v>
      </c>
      <c r="AQ102">
        <v>0.019</v>
      </c>
      <c r="AR102">
        <v>0.055</v>
      </c>
      <c r="AS102" s="3">
        <v>46107.76636574074</v>
      </c>
    </row>
    <row r="103" ht="25.5" customHeight="1">
      <c r="A103" t="inlineStr">
        <is>
          <t>640ef3600000000014010cf9</t>
        </is>
      </c>
      <c r="B103" s="2" t="str">
        <f>=HYPERLINK("https://www.xiaohongshu.com/user/profile/640ef3600000000014010cf9", "https://www.xiaohongshu.com/user/profile/640ef3600000000014010cf9")</f>
        <v>https://www.xiaohongshu.com/user/profile/640ef3600000000014010cf9</v>
      </c>
      <c r="C103" s="2" t="str">
        <f>=HYPERLINK("https://pgy.xiaohongshu.com/solar/pre-trade/blogger-detail/640ef3600000000014010cf9", "https://pgy.xiaohongshu.com/solar/pre-trade/blogger-detail/640ef3600000000014010cf9")</f>
        <v>https://pgy.xiaohongshu.com/solar/pre-trade/blogger-detail/640ef3600000000014010cf9</v>
      </c>
      <c r="D103" t="inlineStr">
        <is>
          <t>男</t>
        </is>
      </c>
      <c r="E103" t="inlineStr">
        <is>
          <t>zwr66620926</t>
        </is>
      </c>
      <c r="F103" t="inlineStr">
        <is>
          <t>鸡味丸</t>
        </is>
      </c>
      <c r="G103" t="inlineStr">
        <is>
          <t>湖北 武汉 蔡甸区</t>
        </is>
      </c>
      <c r="H103" t="inlineStr">
        <is>
          <t>学生</t>
        </is>
      </c>
      <c r="I103" t="inlineStr">
        <is>
          <t>生活记录</t>
        </is>
      </c>
      <c r="J103">
        <v>17682</v>
      </c>
      <c r="K103" t="inlineStr">
        <is>
          <t>1.8</t>
        </is>
      </c>
      <c r="L103">
        <v>16830</v>
      </c>
      <c r="M103">
        <v>3964</v>
      </c>
      <c r="N103">
        <v>135</v>
      </c>
      <c r="O103">
        <v>1990</v>
      </c>
      <c r="P103">
        <v>0.105</v>
      </c>
      <c r="Q103">
        <v>0.421</v>
      </c>
      <c r="R103">
        <v>8862</v>
      </c>
      <c r="S103">
        <v>1230</v>
      </c>
      <c r="T103">
        <v>32</v>
      </c>
      <c r="U103">
        <v>1.92</v>
      </c>
      <c r="V103">
        <v>1990</v>
      </c>
      <c r="W103">
        <v>0</v>
      </c>
      <c r="X103">
        <v>0</v>
      </c>
      <c r="Y103">
        <v>224.55</v>
      </c>
      <c r="Z103">
        <v>55.28</v>
      </c>
      <c r="AA103">
        <v>19779</v>
      </c>
      <c r="AB103">
        <v>4244</v>
      </c>
      <c r="AC103">
        <v>106</v>
      </c>
      <c r="AD103">
        <v>2.29</v>
      </c>
      <c r="AE103">
        <v>3360</v>
      </c>
      <c r="AF103">
        <v>0.444</v>
      </c>
      <c r="AG103">
        <v>0.111</v>
      </c>
      <c r="AH103">
        <v>0.355</v>
      </c>
      <c r="AI103">
        <v>169.88</v>
      </c>
      <c r="AJ103">
        <v>24.62</v>
      </c>
      <c r="AK103">
        <v>0</v>
      </c>
      <c r="AL103">
        <v>0</v>
      </c>
      <c r="AM103">
        <v>0</v>
      </c>
      <c r="AN103">
        <v>0</v>
      </c>
      <c r="AO103">
        <v>0</v>
      </c>
      <c r="AP103">
        <v>0.817</v>
      </c>
      <c r="AQ103">
        <v>0.087</v>
      </c>
      <c r="AR103">
        <v>0.095</v>
      </c>
      <c r="AS103" s="3">
        <v>46107.76636574074</v>
      </c>
    </row>
    <row r="104" ht="25.5" customHeight="1">
      <c r="A104" t="inlineStr">
        <is>
          <t>5c493c0b000000001202f69f</t>
        </is>
      </c>
      <c r="B104" s="2" t="str">
        <f>=HYPERLINK("https://www.xiaohongshu.com/user/profile/5c493c0b000000001202f69f", "https://www.xiaohongshu.com/user/profile/5c493c0b000000001202f69f")</f>
        <v>https://www.xiaohongshu.com/user/profile/5c493c0b000000001202f69f</v>
      </c>
      <c r="C104" s="2" t="str">
        <f>=HYPERLINK("https://pgy.xiaohongshu.com/solar/pre-trade/blogger-detail/5c493c0b000000001202f69f", "https://pgy.xiaohongshu.com/solar/pre-trade/blogger-detail/5c493c0b000000001202f69f")</f>
        <v>https://pgy.xiaohongshu.com/solar/pre-trade/blogger-detail/5c493c0b000000001202f69f</v>
      </c>
      <c r="D104" t="inlineStr">
        <is>
          <t>女</t>
        </is>
      </c>
      <c r="E104" t="inlineStr">
        <is>
          <t>611327261</t>
        </is>
      </c>
      <c r="F104" t="inlineStr">
        <is>
          <t>小琳学姐</t>
        </is>
      </c>
      <c r="G104" t="inlineStr">
        <is>
          <t>上海</t>
        </is>
      </c>
      <c r="H104"/>
      <c r="I104" t="inlineStr">
        <is>
          <t>职场, 教育</t>
        </is>
      </c>
      <c r="J104">
        <v>7234</v>
      </c>
      <c r="K104" t="inlineStr">
        <is>
          <t>0.7</t>
        </is>
      </c>
      <c r="L104">
        <v>23230</v>
      </c>
      <c r="M104">
        <v>4753</v>
      </c>
      <c r="N104">
        <v>816</v>
      </c>
      <c r="O104">
        <v>420</v>
      </c>
      <c r="P104">
        <v>0.3</v>
      </c>
      <c r="Q104">
        <v>1</v>
      </c>
      <c r="R104">
        <v>23230</v>
      </c>
      <c r="S104">
        <v>4753</v>
      </c>
      <c r="T104">
        <v>754</v>
      </c>
      <c r="U104">
        <v>0.51</v>
      </c>
      <c r="V104">
        <v>420</v>
      </c>
      <c r="W104">
        <v>1</v>
      </c>
      <c r="X104">
        <v>0.3</v>
      </c>
      <c r="Y104">
        <v>35.58</v>
      </c>
      <c r="Z104">
        <v>1.45</v>
      </c>
      <c r="AA104">
        <v>0</v>
      </c>
      <c r="AB104">
        <v>0</v>
      </c>
      <c r="AC104">
        <v>0</v>
      </c>
      <c r="AD104">
        <v>0</v>
      </c>
      <c r="AE104">
        <v>890</v>
      </c>
      <c r="AF104">
        <v>0</v>
      </c>
      <c r="AG104">
        <v>0</v>
      </c>
      <c r="AH104">
        <v>0</v>
      </c>
      <c r="AI104">
        <v>0</v>
      </c>
      <c r="AJ104">
        <v>0</v>
      </c>
      <c r="AK104">
        <v>11094</v>
      </c>
      <c r="AL104">
        <v>1769</v>
      </c>
      <c r="AM104">
        <v>247</v>
      </c>
      <c r="AN104">
        <v>0</v>
      </c>
      <c r="AO104">
        <v>12.57</v>
      </c>
      <c r="AP104">
        <v>0.769</v>
      </c>
      <c r="AQ104">
        <v>0.0819999999999999</v>
      </c>
      <c r="AR104">
        <v>0.089</v>
      </c>
      <c r="AS104" s="3">
        <v>46107.76636574074</v>
      </c>
    </row>
    <row r="105" ht="25.5" customHeight="1">
      <c r="A105" t="inlineStr">
        <is>
          <t>5674fffb82ec392752ce1a78</t>
        </is>
      </c>
      <c r="B105" s="2" t="str">
        <f>=HYPERLINK("https://www.xiaohongshu.com/user/profile/5674fffb82ec392752ce1a78", "https://www.xiaohongshu.com/user/profile/5674fffb82ec392752ce1a78")</f>
        <v>https://www.xiaohongshu.com/user/profile/5674fffb82ec392752ce1a78</v>
      </c>
      <c r="C105" s="2" t="str">
        <f>=HYPERLINK("https://pgy.xiaohongshu.com/solar/pre-trade/blogger-detail/5674fffb82ec392752ce1a78", "https://pgy.xiaohongshu.com/solar/pre-trade/blogger-detail/5674fffb82ec392752ce1a78")</f>
        <v>https://pgy.xiaohongshu.com/solar/pre-trade/blogger-detail/5674fffb82ec392752ce1a78</v>
      </c>
      <c r="D105" t="inlineStr">
        <is>
          <t>女</t>
        </is>
      </c>
      <c r="E105" t="inlineStr">
        <is>
          <t>101840562</t>
        </is>
      </c>
      <c r="F105" t="inlineStr">
        <is>
          <t>陆加</t>
        </is>
      </c>
      <c r="G105" t="inlineStr">
        <is>
          <t>湖南 长沙 开福区</t>
        </is>
      </c>
      <c r="H105"/>
      <c r="I105" t="inlineStr">
        <is>
          <t>教育</t>
        </is>
      </c>
      <c r="J105">
        <v>39751</v>
      </c>
      <c r="K105" t="inlineStr">
        <is>
          <t>4.0</t>
        </is>
      </c>
      <c r="L105">
        <v>16699</v>
      </c>
      <c r="M105">
        <v>3940</v>
      </c>
      <c r="N105">
        <v>662</v>
      </c>
      <c r="O105">
        <v>2000</v>
      </c>
      <c r="P105">
        <v>0</v>
      </c>
      <c r="Q105">
        <v>1</v>
      </c>
      <c r="R105">
        <v>0</v>
      </c>
      <c r="S105">
        <v>0</v>
      </c>
      <c r="T105">
        <v>0</v>
      </c>
      <c r="U105">
        <v>2.25</v>
      </c>
      <c r="V105">
        <v>2000</v>
      </c>
      <c r="W105">
        <v>0</v>
      </c>
      <c r="X105">
        <v>0</v>
      </c>
      <c r="Y105">
        <v>160.95</v>
      </c>
      <c r="Z105">
        <v>21.05</v>
      </c>
      <c r="AA105">
        <v>16699</v>
      </c>
      <c r="AB105">
        <v>3940</v>
      </c>
      <c r="AC105">
        <v>595</v>
      </c>
      <c r="AD105">
        <v>2.48</v>
      </c>
      <c r="AE105">
        <v>3200</v>
      </c>
      <c r="AF105">
        <v>1</v>
      </c>
      <c r="AG105">
        <v>0</v>
      </c>
      <c r="AH105">
        <v>0.065</v>
      </c>
      <c r="AI105">
        <v>202.29</v>
      </c>
      <c r="AJ105">
        <v>6.36</v>
      </c>
      <c r="AK105">
        <v>14214</v>
      </c>
      <c r="AL105">
        <v>1802</v>
      </c>
      <c r="AM105">
        <v>174</v>
      </c>
      <c r="AN105">
        <v>0</v>
      </c>
      <c r="AO105">
        <v>0</v>
      </c>
      <c r="AP105">
        <v>0.685999999999999</v>
      </c>
      <c r="AQ105">
        <v>0.059</v>
      </c>
      <c r="AR105">
        <v>0.05</v>
      </c>
      <c r="AS105" s="3">
        <v>46107.76636574074</v>
      </c>
    </row>
    <row r="106" ht="25.5" customHeight="1">
      <c r="A106" t="inlineStr">
        <is>
          <t>5e398ee1000000000100af1c</t>
        </is>
      </c>
      <c r="B106" s="2" t="str">
        <f>=HYPERLINK("https://www.xiaohongshu.com/user/profile/5e398ee1000000000100af1c", "https://www.xiaohongshu.com/user/profile/5e398ee1000000000100af1c")</f>
        <v>https://www.xiaohongshu.com/user/profile/5e398ee1000000000100af1c</v>
      </c>
      <c r="C106" s="2" t="str">
        <f>=HYPERLINK("https://pgy.xiaohongshu.com/solar/pre-trade/blogger-detail/5e398ee1000000000100af1c", "https://pgy.xiaohongshu.com/solar/pre-trade/blogger-detail/5e398ee1000000000100af1c")</f>
        <v>https://pgy.xiaohongshu.com/solar/pre-trade/blogger-detail/5e398ee1000000000100af1c</v>
      </c>
      <c r="D106" t="inlineStr">
        <is>
          <t>男</t>
        </is>
      </c>
      <c r="E106" t="inlineStr">
        <is>
          <t>798894049</t>
        </is>
      </c>
      <c r="F106" t="inlineStr">
        <is>
          <t>kazaf</t>
        </is>
      </c>
      <c r="G106" t="inlineStr">
        <is>
          <t>中国 香港</t>
        </is>
      </c>
      <c r="H106" t="inlineStr">
        <is>
          <t>户外爱好者, 留学背景, 海外华人, 学生, 模特</t>
        </is>
      </c>
      <c r="I106" t="inlineStr">
        <is>
          <t>教育</t>
        </is>
      </c>
      <c r="J106">
        <v>10237</v>
      </c>
      <c r="K106" t="inlineStr">
        <is>
          <t>1.0</t>
        </is>
      </c>
      <c r="L106">
        <v>19462</v>
      </c>
      <c r="M106">
        <v>3179</v>
      </c>
      <c r="N106">
        <v>316</v>
      </c>
      <c r="O106">
        <v>1100</v>
      </c>
      <c r="P106">
        <v>0</v>
      </c>
      <c r="Q106">
        <v>0.667</v>
      </c>
      <c r="R106">
        <v>17011</v>
      </c>
      <c r="S106">
        <v>3487</v>
      </c>
      <c r="T106">
        <v>253</v>
      </c>
      <c r="U106">
        <v>0.62</v>
      </c>
      <c r="V106">
        <v>1100</v>
      </c>
      <c r="W106">
        <v>0.667</v>
      </c>
      <c r="X106">
        <v>0</v>
      </c>
      <c r="Y106">
        <v>64.66</v>
      </c>
      <c r="Z106">
        <v>3.83</v>
      </c>
      <c r="AA106">
        <v>21914</v>
      </c>
      <c r="AB106">
        <v>2872</v>
      </c>
      <c r="AC106">
        <v>250</v>
      </c>
      <c r="AD106">
        <v>2.13</v>
      </c>
      <c r="AE106">
        <v>2000</v>
      </c>
      <c r="AF106">
        <v>0.667</v>
      </c>
      <c r="AG106">
        <v>0</v>
      </c>
      <c r="AH106">
        <v>0.0579999999999999</v>
      </c>
      <c r="AI106">
        <v>91.27</v>
      </c>
      <c r="AJ106">
        <v>4.33</v>
      </c>
      <c r="AK106">
        <v>26262</v>
      </c>
      <c r="AL106">
        <v>3983</v>
      </c>
      <c r="AM106">
        <v>508</v>
      </c>
      <c r="AN106">
        <v>0</v>
      </c>
      <c r="AO106">
        <v>0</v>
      </c>
      <c r="AP106">
        <v>0.802999999999999</v>
      </c>
      <c r="AQ106">
        <v>0.06</v>
      </c>
      <c r="AR106">
        <v>0.07</v>
      </c>
      <c r="AS106" s="3">
        <v>46107.76636574074</v>
      </c>
    </row>
    <row r="107" ht="25.5" customHeight="1">
      <c r="A107" t="inlineStr">
        <is>
          <t>5bcc23937fb50500015fe735</t>
        </is>
      </c>
      <c r="B107" s="2" t="str">
        <f>=HYPERLINK("https://www.xiaohongshu.com/user/profile/5bcc23937fb50500015fe735", "https://www.xiaohongshu.com/user/profile/5bcc23937fb50500015fe735")</f>
        <v>https://www.xiaohongshu.com/user/profile/5bcc23937fb50500015fe735</v>
      </c>
      <c r="C107" s="2" t="str">
        <f>=HYPERLINK("https://pgy.xiaohongshu.com/solar/pre-trade/blogger-detail/5bcc23937fb50500015fe735", "https://pgy.xiaohongshu.com/solar/pre-trade/blogger-detail/5bcc23937fb50500015fe735")</f>
        <v>https://pgy.xiaohongshu.com/solar/pre-trade/blogger-detail/5bcc23937fb50500015fe735</v>
      </c>
      <c r="D107" t="inlineStr">
        <is>
          <t>女</t>
        </is>
      </c>
      <c r="E107" t="inlineStr">
        <is>
          <t>561241317</t>
        </is>
      </c>
      <c r="F107" t="inlineStr">
        <is>
          <t>绿鸟Nora所以你还不学是吗</t>
        </is>
      </c>
      <c r="G107" t="inlineStr">
        <is>
          <t>北京</t>
        </is>
      </c>
      <c r="H107" t="inlineStr">
        <is>
          <t>学生</t>
        </is>
      </c>
      <c r="I107" t="inlineStr">
        <is>
          <t>教育</t>
        </is>
      </c>
      <c r="J107">
        <v>43263</v>
      </c>
      <c r="K107" t="inlineStr">
        <is>
          <t>4.3</t>
        </is>
      </c>
      <c r="L107">
        <v>90196</v>
      </c>
      <c r="M107">
        <v>21854</v>
      </c>
      <c r="N107">
        <v>845</v>
      </c>
      <c r="O107">
        <v>3500</v>
      </c>
      <c r="P107">
        <v>0.364</v>
      </c>
      <c r="Q107">
        <v>0.909</v>
      </c>
      <c r="R107">
        <v>4</v>
      </c>
      <c r="S107">
        <v>10</v>
      </c>
      <c r="T107">
        <v>0</v>
      </c>
      <c r="U107">
        <v>350.3</v>
      </c>
      <c r="V107">
        <v>3500</v>
      </c>
      <c r="W107">
        <v>0</v>
      </c>
      <c r="X107">
        <v>0</v>
      </c>
      <c r="Y107">
        <v>875000</v>
      </c>
      <c r="Z107">
        <v>0</v>
      </c>
      <c r="AA107">
        <v>102348</v>
      </c>
      <c r="AB107">
        <v>23745</v>
      </c>
      <c r="AC107">
        <v>833</v>
      </c>
      <c r="AD107">
        <v>1.68</v>
      </c>
      <c r="AE107">
        <v>4000</v>
      </c>
      <c r="AF107">
        <v>1</v>
      </c>
      <c r="AG107">
        <v>0.4</v>
      </c>
      <c r="AH107">
        <v>0.193999999999999</v>
      </c>
      <c r="AI107">
        <v>46.96</v>
      </c>
      <c r="AJ107">
        <v>4.24</v>
      </c>
      <c r="AK107">
        <v>98932</v>
      </c>
      <c r="AL107">
        <v>21414</v>
      </c>
      <c r="AM107">
        <v>1047</v>
      </c>
      <c r="AN107">
        <v>0</v>
      </c>
      <c r="AO107">
        <v>199.68</v>
      </c>
      <c r="AP107">
        <v>0.895</v>
      </c>
      <c r="AQ107">
        <v>0.257</v>
      </c>
      <c r="AR107">
        <v>0.337</v>
      </c>
      <c r="AS107" s="3">
        <v>46107.76636574074</v>
      </c>
    </row>
    <row r="108" ht="25.5" customHeight="1">
      <c r="A108" t="inlineStr">
        <is>
          <t>674d2055000000001d02f732</t>
        </is>
      </c>
      <c r="B108" s="2" t="str">
        <f>=HYPERLINK("https://www.xiaohongshu.com/user/profile/674d2055000000001d02f732", "https://www.xiaohongshu.com/user/profile/674d2055000000001d02f732")</f>
        <v>https://www.xiaohongshu.com/user/profile/674d2055000000001d02f732</v>
      </c>
      <c r="C108" s="2" t="str">
        <f>=HYPERLINK("https://pgy.xiaohongshu.com/solar/pre-trade/blogger-detail/674d2055000000001d02f732", "https://pgy.xiaohongshu.com/solar/pre-trade/blogger-detail/674d2055000000001d02f732")</f>
        <v>https://pgy.xiaohongshu.com/solar/pre-trade/blogger-detail/674d2055000000001d02f732</v>
      </c>
      <c r="D108" t="inlineStr">
        <is>
          <t>女</t>
        </is>
      </c>
      <c r="E108" t="inlineStr">
        <is>
          <t>95416687725</t>
        </is>
      </c>
      <c r="F108" t="inlineStr">
        <is>
          <t>番茄饲养员🍅</t>
        </is>
      </c>
      <c r="G108" t="inlineStr">
        <is>
          <t>美国</t>
        </is>
      </c>
      <c r="H108"/>
      <c r="I108" t="inlineStr">
        <is>
          <t>教育</t>
        </is>
      </c>
      <c r="J108">
        <v>29461</v>
      </c>
      <c r="K108" t="inlineStr">
        <is>
          <t>2.9</t>
        </is>
      </c>
      <c r="L108">
        <v>366785</v>
      </c>
      <c r="M108">
        <v>125017</v>
      </c>
      <c r="N108">
        <v>4713</v>
      </c>
      <c r="O108">
        <v>4500</v>
      </c>
      <c r="P108">
        <v>1</v>
      </c>
      <c r="Q108">
        <v>1</v>
      </c>
      <c r="R108">
        <v>0</v>
      </c>
      <c r="S108">
        <v>0</v>
      </c>
      <c r="T108">
        <v>0</v>
      </c>
      <c r="U108">
        <v>0</v>
      </c>
      <c r="V108">
        <v>2000</v>
      </c>
      <c r="W108">
        <v>0</v>
      </c>
      <c r="X108">
        <v>0</v>
      </c>
      <c r="Y108">
        <v>0</v>
      </c>
      <c r="Z108">
        <v>0</v>
      </c>
      <c r="AA108">
        <v>366785</v>
      </c>
      <c r="AB108">
        <v>125017</v>
      </c>
      <c r="AC108">
        <v>3058</v>
      </c>
      <c r="AD108">
        <v>1.55</v>
      </c>
      <c r="AE108">
        <v>4500</v>
      </c>
      <c r="AF108">
        <v>1</v>
      </c>
      <c r="AG108">
        <v>1</v>
      </c>
      <c r="AH108">
        <v>0.088</v>
      </c>
      <c r="AI108">
        <v>11.85</v>
      </c>
      <c r="AJ108">
        <v>1.05</v>
      </c>
      <c r="AK108">
        <v>430052</v>
      </c>
      <c r="AL108">
        <v>43764</v>
      </c>
      <c r="AM108">
        <v>2851</v>
      </c>
      <c r="AN108">
        <v>982</v>
      </c>
      <c r="AO108">
        <v>6.62</v>
      </c>
      <c r="AP108">
        <v>0.94</v>
      </c>
      <c r="AQ108">
        <v>0.059</v>
      </c>
      <c r="AR108">
        <v>0.106</v>
      </c>
      <c r="AS108" s="3">
        <v>46107.76636574074</v>
      </c>
    </row>
    <row r="109" ht="25.5" customHeight="1">
      <c r="A109" t="inlineStr">
        <is>
          <t>5e9f7ef4000000000100116d</t>
        </is>
      </c>
      <c r="B109" s="2" t="str">
        <f>=HYPERLINK("https://www.xiaohongshu.com/user/profile/5e9f7ef4000000000100116d", "https://www.xiaohongshu.com/user/profile/5e9f7ef4000000000100116d")</f>
        <v>https://www.xiaohongshu.com/user/profile/5e9f7ef4000000000100116d</v>
      </c>
      <c r="C109" s="2" t="str">
        <f>=HYPERLINK("https://pgy.xiaohongshu.com/solar/pre-trade/blogger-detail/5e9f7ef4000000000100116d", "https://pgy.xiaohongshu.com/solar/pre-trade/blogger-detail/5e9f7ef4000000000100116d")</f>
        <v>https://pgy.xiaohongshu.com/solar/pre-trade/blogger-detail/5e9f7ef4000000000100116d</v>
      </c>
      <c r="D109" t="inlineStr">
        <is>
          <t>男</t>
        </is>
      </c>
      <c r="E109" t="inlineStr">
        <is>
          <t>460274717</t>
        </is>
      </c>
      <c r="F109" t="inlineStr">
        <is>
          <t>张小庭不停</t>
        </is>
      </c>
      <c r="G109" t="inlineStr">
        <is>
          <t>江苏 南京 栖霞区</t>
        </is>
      </c>
      <c r="H109" t="inlineStr">
        <is>
          <t>户外爱好者, 学生</t>
        </is>
      </c>
      <c r="I109" t="inlineStr">
        <is>
          <t>教育, 生活记录</t>
        </is>
      </c>
      <c r="J109">
        <v>11848</v>
      </c>
      <c r="K109" t="inlineStr">
        <is>
          <t>1.2</t>
        </is>
      </c>
      <c r="L109">
        <v>31478</v>
      </c>
      <c r="M109">
        <v>3610</v>
      </c>
      <c r="N109">
        <v>383</v>
      </c>
      <c r="O109">
        <v>700</v>
      </c>
      <c r="P109">
        <v>0.25</v>
      </c>
      <c r="Q109">
        <v>0.75</v>
      </c>
      <c r="R109">
        <v>39679</v>
      </c>
      <c r="S109">
        <v>2725</v>
      </c>
      <c r="T109">
        <v>62</v>
      </c>
      <c r="U109">
        <v>0.56</v>
      </c>
      <c r="V109">
        <v>700</v>
      </c>
      <c r="W109">
        <v>0</v>
      </c>
      <c r="X109">
        <v>0</v>
      </c>
      <c r="Y109">
        <v>17.64</v>
      </c>
      <c r="Z109">
        <v>10.94</v>
      </c>
      <c r="AA109">
        <v>25086</v>
      </c>
      <c r="AB109">
        <v>4040</v>
      </c>
      <c r="AC109">
        <v>373</v>
      </c>
      <c r="AD109">
        <v>1.7</v>
      </c>
      <c r="AE109">
        <v>800</v>
      </c>
      <c r="AF109">
        <v>0.857</v>
      </c>
      <c r="AG109">
        <v>0.286</v>
      </c>
      <c r="AH109">
        <v>0.374</v>
      </c>
      <c r="AI109">
        <v>31.89</v>
      </c>
      <c r="AJ109">
        <v>2.02</v>
      </c>
      <c r="AK109">
        <v>0</v>
      </c>
      <c r="AL109">
        <v>0</v>
      </c>
      <c r="AM109">
        <v>0</v>
      </c>
      <c r="AN109">
        <v>0</v>
      </c>
      <c r="AO109">
        <v>0</v>
      </c>
      <c r="AP109">
        <v>0.979</v>
      </c>
      <c r="AQ109">
        <v>0.534</v>
      </c>
      <c r="AR109">
        <v>3.029</v>
      </c>
      <c r="AS109" s="3">
        <v>46107.76636574074</v>
      </c>
    </row>
    <row r="110" ht="25.5" customHeight="1">
      <c r="A110" t="inlineStr">
        <is>
          <t>5c3bed53000000000500e33a</t>
        </is>
      </c>
      <c r="B110" s="2" t="str">
        <f>=HYPERLINK("https://www.xiaohongshu.com/user/profile/5c3bed53000000000500e33a", "https://www.xiaohongshu.com/user/profile/5c3bed53000000000500e33a")</f>
        <v>https://www.xiaohongshu.com/user/profile/5c3bed53000000000500e33a</v>
      </c>
      <c r="C110" s="2" t="str">
        <f>=HYPERLINK("https://pgy.xiaohongshu.com/solar/pre-trade/blogger-detail/5c3bed53000000000500e33a", "https://pgy.xiaohongshu.com/solar/pre-trade/blogger-detail/5c3bed53000000000500e33a")</f>
        <v>https://pgy.xiaohongshu.com/solar/pre-trade/blogger-detail/5c3bed53000000000500e33a</v>
      </c>
      <c r="D110" t="inlineStr">
        <is>
          <t>女</t>
        </is>
      </c>
      <c r="E110" t="inlineStr">
        <is>
          <t>jenny19687</t>
        </is>
      </c>
      <c r="F110" t="inlineStr">
        <is>
          <t>会发光的金金子</t>
        </is>
      </c>
      <c r="G110" t="inlineStr">
        <is>
          <t>重庆</t>
        </is>
      </c>
      <c r="H110"/>
      <c r="I110" t="inlineStr">
        <is>
          <t>教育</t>
        </is>
      </c>
      <c r="J110">
        <v>27399</v>
      </c>
      <c r="K110" t="inlineStr">
        <is>
          <t>2.7</t>
        </is>
      </c>
      <c r="L110">
        <v>42955</v>
      </c>
      <c r="M110">
        <v>9275</v>
      </c>
      <c r="N110">
        <v>1191</v>
      </c>
      <c r="O110">
        <v>900</v>
      </c>
      <c r="P110">
        <v>0.154</v>
      </c>
      <c r="Q110">
        <v>0.922999999999999</v>
      </c>
      <c r="R110">
        <v>43421</v>
      </c>
      <c r="S110">
        <v>8390</v>
      </c>
      <c r="T110">
        <v>353</v>
      </c>
      <c r="U110">
        <v>0.41</v>
      </c>
      <c r="V110">
        <v>900</v>
      </c>
      <c r="W110">
        <v>0.75</v>
      </c>
      <c r="X110">
        <v>0</v>
      </c>
      <c r="Y110">
        <v>20.73</v>
      </c>
      <c r="Z110">
        <v>2.05</v>
      </c>
      <c r="AA110">
        <v>35186</v>
      </c>
      <c r="AB110">
        <v>9275</v>
      </c>
      <c r="AC110">
        <v>1520</v>
      </c>
      <c r="AD110">
        <v>1.82</v>
      </c>
      <c r="AE110">
        <v>3000</v>
      </c>
      <c r="AF110">
        <v>1</v>
      </c>
      <c r="AG110">
        <v>0.222</v>
      </c>
      <c r="AH110">
        <v>0.011</v>
      </c>
      <c r="AI110">
        <v>85.26</v>
      </c>
      <c r="AJ110">
        <v>1.79</v>
      </c>
      <c r="AK110">
        <v>0</v>
      </c>
      <c r="AL110">
        <v>0</v>
      </c>
      <c r="AM110">
        <v>0</v>
      </c>
      <c r="AN110">
        <v>0</v>
      </c>
      <c r="AO110">
        <v>0</v>
      </c>
      <c r="AP110">
        <v>0.894</v>
      </c>
      <c r="AQ110">
        <v>0.122</v>
      </c>
      <c r="AR110">
        <v>0.079</v>
      </c>
      <c r="AS110" s="3">
        <v>46107.76636574074</v>
      </c>
    </row>
    <row r="111" ht="25.5" customHeight="1">
      <c r="A111" t="inlineStr">
        <is>
          <t>5c38c9ff0000000006004857</t>
        </is>
      </c>
      <c r="B111" s="2" t="str">
        <f>=HYPERLINK("https://www.xiaohongshu.com/user/profile/5c38c9ff0000000006004857", "https://www.xiaohongshu.com/user/profile/5c38c9ff0000000006004857")</f>
        <v>https://www.xiaohongshu.com/user/profile/5c38c9ff0000000006004857</v>
      </c>
      <c r="C111" s="2" t="str">
        <f>=HYPERLINK("https://pgy.xiaohongshu.com/solar/pre-trade/blogger-detail/5c38c9ff0000000006004857", "https://pgy.xiaohongshu.com/solar/pre-trade/blogger-detail/5c38c9ff0000000006004857")</f>
        <v>https://pgy.xiaohongshu.com/solar/pre-trade/blogger-detail/5c38c9ff0000000006004857</v>
      </c>
      <c r="D111" t="inlineStr">
        <is>
          <t>女</t>
        </is>
      </c>
      <c r="E111" t="inlineStr">
        <is>
          <t>505466654</t>
        </is>
      </c>
      <c r="F111" t="inlineStr">
        <is>
          <t>多加蟹黄堡</t>
        </is>
      </c>
      <c r="G111" t="inlineStr">
        <is>
          <t>浙江 杭州 萧山区</t>
        </is>
      </c>
      <c r="H111"/>
      <c r="I111" t="inlineStr">
        <is>
          <t>教育</t>
        </is>
      </c>
      <c r="J111">
        <v>31474</v>
      </c>
      <c r="K111" t="inlineStr">
        <is>
          <t>3.1</t>
        </is>
      </c>
      <c r="L111">
        <v>20361</v>
      </c>
      <c r="M111">
        <v>4217</v>
      </c>
      <c r="N111">
        <v>567</v>
      </c>
      <c r="O111">
        <v>2000</v>
      </c>
      <c r="P111">
        <v>0</v>
      </c>
      <c r="Q111">
        <v>1</v>
      </c>
      <c r="R111">
        <v>20361</v>
      </c>
      <c r="S111">
        <v>4217</v>
      </c>
      <c r="T111">
        <v>534</v>
      </c>
      <c r="U111">
        <v>0.77</v>
      </c>
      <c r="V111">
        <v>2000</v>
      </c>
      <c r="W111">
        <v>1</v>
      </c>
      <c r="X111">
        <v>0</v>
      </c>
      <c r="Y111">
        <v>98.23</v>
      </c>
      <c r="Z111">
        <v>3.53</v>
      </c>
      <c r="AA111">
        <v>23149</v>
      </c>
      <c r="AB111">
        <v>3876</v>
      </c>
      <c r="AC111">
        <v>750</v>
      </c>
      <c r="AD111">
        <v>2.05</v>
      </c>
      <c r="AE111">
        <v>3200</v>
      </c>
      <c r="AF111">
        <v>1</v>
      </c>
      <c r="AG111">
        <v>0</v>
      </c>
      <c r="AH111">
        <v>0.04</v>
      </c>
      <c r="AI111">
        <v>87.13</v>
      </c>
      <c r="AJ111">
        <v>2.47</v>
      </c>
      <c r="AK111">
        <v>86936</v>
      </c>
      <c r="AL111">
        <v>8945</v>
      </c>
      <c r="AM111">
        <v>1327</v>
      </c>
      <c r="AN111">
        <v>0</v>
      </c>
      <c r="AO111">
        <v>3133.37</v>
      </c>
      <c r="AP111">
        <v>0.844</v>
      </c>
      <c r="AQ111">
        <v>0.033</v>
      </c>
      <c r="AR111">
        <v>0.012</v>
      </c>
      <c r="AS111" s="3">
        <v>46107.76636574074</v>
      </c>
    </row>
    <row r="112" ht="25.5" customHeight="1">
      <c r="A112" t="inlineStr">
        <is>
          <t>5bc99c310dee860001065897</t>
        </is>
      </c>
      <c r="B112" s="2" t="str">
        <f>=HYPERLINK("https://www.xiaohongshu.com/user/profile/5bc99c310dee860001065897", "https://www.xiaohongshu.com/user/profile/5bc99c310dee860001065897")</f>
        <v>https://www.xiaohongshu.com/user/profile/5bc99c310dee860001065897</v>
      </c>
      <c r="C112" s="2" t="str">
        <f>=HYPERLINK("https://pgy.xiaohongshu.com/solar/pre-trade/blogger-detail/5bc99c310dee860001065897", "https://pgy.xiaohongshu.com/solar/pre-trade/blogger-detail/5bc99c310dee860001065897")</f>
        <v>https://pgy.xiaohongshu.com/solar/pre-trade/blogger-detail/5bc99c310dee860001065897</v>
      </c>
      <c r="D112" t="inlineStr">
        <is>
          <t>女</t>
        </is>
      </c>
      <c r="E112" t="inlineStr">
        <is>
          <t>543596582</t>
        </is>
      </c>
      <c r="F112" t="inlineStr">
        <is>
          <t>Sophia_孔雨瑩</t>
        </is>
      </c>
      <c r="G112" t="inlineStr">
        <is>
          <t>北京</t>
        </is>
      </c>
      <c r="H112" t="inlineStr">
        <is>
          <t>学生, 翻译</t>
        </is>
      </c>
      <c r="I112" t="inlineStr">
        <is>
          <t>生活记录</t>
        </is>
      </c>
      <c r="J112">
        <v>68847</v>
      </c>
      <c r="K112" t="inlineStr">
        <is>
          <t>6.9</t>
        </is>
      </c>
      <c r="L112">
        <v>39362</v>
      </c>
      <c r="M112">
        <v>9844</v>
      </c>
      <c r="N112">
        <v>472</v>
      </c>
      <c r="O112">
        <v>5500</v>
      </c>
      <c r="P112">
        <v>0.3</v>
      </c>
      <c r="Q112">
        <v>1</v>
      </c>
      <c r="R112">
        <v>41673</v>
      </c>
      <c r="S112">
        <v>4573</v>
      </c>
      <c r="T112">
        <v>264</v>
      </c>
      <c r="U112">
        <v>1.5</v>
      </c>
      <c r="V112">
        <v>5500</v>
      </c>
      <c r="W112">
        <v>1</v>
      </c>
      <c r="X112">
        <v>0</v>
      </c>
      <c r="Y112">
        <v>131.98</v>
      </c>
      <c r="Z112">
        <v>19.93</v>
      </c>
      <c r="AA112">
        <v>37051</v>
      </c>
      <c r="AB112">
        <v>11259</v>
      </c>
      <c r="AC112">
        <v>488</v>
      </c>
      <c r="AD112">
        <v>2.08</v>
      </c>
      <c r="AE112">
        <v>7000</v>
      </c>
      <c r="AF112">
        <v>1</v>
      </c>
      <c r="AG112">
        <v>0.429</v>
      </c>
      <c r="AH112">
        <v>0.071</v>
      </c>
      <c r="AI112">
        <v>184.9</v>
      </c>
      <c r="AJ112">
        <v>13.57</v>
      </c>
      <c r="AK112">
        <v>57924</v>
      </c>
      <c r="AL112">
        <v>12984</v>
      </c>
      <c r="AM112">
        <v>474</v>
      </c>
      <c r="AN112">
        <v>5</v>
      </c>
      <c r="AO112">
        <v>229.98</v>
      </c>
      <c r="AP112">
        <v>0.938</v>
      </c>
      <c r="AQ112">
        <v>0.115</v>
      </c>
      <c r="AR112">
        <v>0.223999999999999</v>
      </c>
      <c r="AS112" s="3">
        <v>46107.76636574074</v>
      </c>
    </row>
    <row r="113" ht="25.5" customHeight="1">
      <c r="A113" t="inlineStr">
        <is>
          <t>5c6be80c0000000010005cb0</t>
        </is>
      </c>
      <c r="B113" s="2" t="str">
        <f>=HYPERLINK("https://www.xiaohongshu.com/user/profile/5c6be80c0000000010005cb0", "https://www.xiaohongshu.com/user/profile/5c6be80c0000000010005cb0")</f>
        <v>https://www.xiaohongshu.com/user/profile/5c6be80c0000000010005cb0</v>
      </c>
      <c r="C113" s="2" t="str">
        <f>=HYPERLINK("https://pgy.xiaohongshu.com/solar/pre-trade/blogger-detail/5c6be80c0000000010005cb0", "https://pgy.xiaohongshu.com/solar/pre-trade/blogger-detail/5c6be80c0000000010005cb0")</f>
        <v>https://pgy.xiaohongshu.com/solar/pre-trade/blogger-detail/5c6be80c0000000010005cb0</v>
      </c>
      <c r="D113" t="inlineStr">
        <is>
          <t>女</t>
        </is>
      </c>
      <c r="E113" t="inlineStr">
        <is>
          <t>961206572</t>
        </is>
      </c>
      <c r="F113" t="inlineStr">
        <is>
          <t>叫我一颗水煮蛋</t>
        </is>
      </c>
      <c r="G113" t="inlineStr">
        <is>
          <t>吉林 长春 朝阳区</t>
        </is>
      </c>
      <c r="H113" t="inlineStr">
        <is>
          <t>学生</t>
        </is>
      </c>
      <c r="I113" t="inlineStr">
        <is>
          <t>生活记录</t>
        </is>
      </c>
      <c r="J113">
        <v>22666</v>
      </c>
      <c r="K113" t="inlineStr">
        <is>
          <t>2.3</t>
        </is>
      </c>
      <c r="L113">
        <v>18364</v>
      </c>
      <c r="M113">
        <v>4255</v>
      </c>
      <c r="N113">
        <v>284</v>
      </c>
      <c r="O113">
        <v>1800</v>
      </c>
      <c r="P113">
        <v>0</v>
      </c>
      <c r="Q113">
        <v>0.929</v>
      </c>
      <c r="R113">
        <v>0</v>
      </c>
      <c r="S113">
        <v>0</v>
      </c>
      <c r="T113">
        <v>0</v>
      </c>
      <c r="U113">
        <v>0</v>
      </c>
      <c r="V113">
        <v>1800</v>
      </c>
      <c r="W113">
        <v>0</v>
      </c>
      <c r="X113">
        <v>0</v>
      </c>
      <c r="Y113">
        <v>0</v>
      </c>
      <c r="Z113">
        <v>0</v>
      </c>
      <c r="AA113">
        <v>18364</v>
      </c>
      <c r="AB113">
        <v>4255</v>
      </c>
      <c r="AC113">
        <v>269</v>
      </c>
      <c r="AD113">
        <v>2.32</v>
      </c>
      <c r="AE113">
        <v>3500</v>
      </c>
      <c r="AF113">
        <v>0.929</v>
      </c>
      <c r="AG113">
        <v>0</v>
      </c>
      <c r="AH113">
        <v>0.17</v>
      </c>
      <c r="AI113">
        <v>183.8</v>
      </c>
      <c r="AJ113">
        <v>12.37</v>
      </c>
      <c r="AK113">
        <v>22718</v>
      </c>
      <c r="AL113">
        <v>4653</v>
      </c>
      <c r="AM113">
        <v>267</v>
      </c>
      <c r="AN113">
        <v>0</v>
      </c>
      <c r="AO113">
        <v>464.46</v>
      </c>
      <c r="AP113">
        <v>0.836</v>
      </c>
      <c r="AQ113">
        <v>0.051</v>
      </c>
      <c r="AR113">
        <v>0.005</v>
      </c>
      <c r="AS113" s="3">
        <v>46107.76636574074</v>
      </c>
    </row>
    <row r="114" ht="25.5" customHeight="1">
      <c r="A114" t="inlineStr">
        <is>
          <t>63f436e9000000000f0109ba</t>
        </is>
      </c>
      <c r="B114" s="2" t="str">
        <f>=HYPERLINK("https://www.xiaohongshu.com/user/profile/63f436e9000000000f0109ba", "https://www.xiaohongshu.com/user/profile/63f436e9000000000f0109ba")</f>
        <v>https://www.xiaohongshu.com/user/profile/63f436e9000000000f0109ba</v>
      </c>
      <c r="C114" s="2" t="str">
        <f>=HYPERLINK("https://pgy.xiaohongshu.com/solar/pre-trade/blogger-detail/63f436e9000000000f0109ba", "https://pgy.xiaohongshu.com/solar/pre-trade/blogger-detail/63f436e9000000000f0109ba")</f>
        <v>https://pgy.xiaohongshu.com/solar/pre-trade/blogger-detail/63f436e9000000000f0109ba</v>
      </c>
      <c r="D114" t="inlineStr">
        <is>
          <t>女</t>
        </is>
      </c>
      <c r="E114" t="inlineStr">
        <is>
          <t>2260956685</t>
        </is>
      </c>
      <c r="F114" t="inlineStr">
        <is>
          <t>七七得七（读博版）</t>
        </is>
      </c>
      <c r="G114" t="inlineStr">
        <is>
          <t>上海</t>
        </is>
      </c>
      <c r="H114" t="inlineStr">
        <is>
          <t>学生</t>
        </is>
      </c>
      <c r="I114" t="inlineStr">
        <is>
          <t>教育, 健康养生</t>
        </is>
      </c>
      <c r="J114">
        <v>30923</v>
      </c>
      <c r="K114" t="inlineStr">
        <is>
          <t>3.1</t>
        </is>
      </c>
      <c r="L114">
        <v>42609</v>
      </c>
      <c r="M114">
        <v>12587</v>
      </c>
      <c r="N114">
        <v>1656</v>
      </c>
      <c r="O114">
        <v>3500</v>
      </c>
      <c r="P114">
        <v>0.2</v>
      </c>
      <c r="Q114">
        <v>1</v>
      </c>
      <c r="R114">
        <v>0</v>
      </c>
      <c r="S114">
        <v>0</v>
      </c>
      <c r="T114">
        <v>0</v>
      </c>
      <c r="U114">
        <v>0.45</v>
      </c>
      <c r="V114">
        <v>3500</v>
      </c>
      <c r="W114">
        <v>0</v>
      </c>
      <c r="X114">
        <v>0</v>
      </c>
      <c r="Y114">
        <v>223.3</v>
      </c>
      <c r="Z114">
        <v>3.23</v>
      </c>
      <c r="AA114">
        <v>42609</v>
      </c>
      <c r="AB114">
        <v>12587</v>
      </c>
      <c r="AC114">
        <v>1459</v>
      </c>
      <c r="AD114">
        <v>1.94</v>
      </c>
      <c r="AE114">
        <v>5500</v>
      </c>
      <c r="AF114">
        <v>1</v>
      </c>
      <c r="AG114">
        <v>0.2</v>
      </c>
      <c r="AH114">
        <v>0.061</v>
      </c>
      <c r="AI114">
        <v>129.08</v>
      </c>
      <c r="AJ114">
        <v>3.32</v>
      </c>
      <c r="AK114">
        <v>69530</v>
      </c>
      <c r="AL114">
        <v>17341</v>
      </c>
      <c r="AM114">
        <v>1060</v>
      </c>
      <c r="AN114">
        <v>0</v>
      </c>
      <c r="AO114">
        <v>0</v>
      </c>
      <c r="AP114">
        <v>0.932</v>
      </c>
      <c r="AQ114">
        <v>0.114</v>
      </c>
      <c r="AR114">
        <v>0.025</v>
      </c>
      <c r="AS114" s="3">
        <v>46107.76636574074</v>
      </c>
    </row>
    <row r="115" ht="25.5" customHeight="1">
      <c r="A115" t="inlineStr">
        <is>
          <t>5baca1353b5a1e0001aa8ad3</t>
        </is>
      </c>
      <c r="B115" s="2" t="str">
        <f>=HYPERLINK("https://www.xiaohongshu.com/user/profile/5baca1353b5a1e0001aa8ad3", "https://www.xiaohongshu.com/user/profile/5baca1353b5a1e0001aa8ad3")</f>
        <v>https://www.xiaohongshu.com/user/profile/5baca1353b5a1e0001aa8ad3</v>
      </c>
      <c r="C115" s="2" t="str">
        <f>=HYPERLINK("https://pgy.xiaohongshu.com/solar/pre-trade/blogger-detail/5baca1353b5a1e0001aa8ad3", "https://pgy.xiaohongshu.com/solar/pre-trade/blogger-detail/5baca1353b5a1e0001aa8ad3")</f>
        <v>https://pgy.xiaohongshu.com/solar/pre-trade/blogger-detail/5baca1353b5a1e0001aa8ad3</v>
      </c>
      <c r="D115" t="inlineStr">
        <is>
          <t>女</t>
        </is>
      </c>
      <c r="E115" t="inlineStr">
        <is>
          <t>541063894</t>
        </is>
      </c>
      <c r="F115" t="inlineStr">
        <is>
          <t>任夕音</t>
        </is>
      </c>
      <c r="G115" t="inlineStr">
        <is>
          <t>美国</t>
        </is>
      </c>
      <c r="H115" t="inlineStr">
        <is>
          <t>留学背景, 情侣</t>
        </is>
      </c>
      <c r="I115" t="inlineStr">
        <is>
          <t>教育, 生活记录</t>
        </is>
      </c>
      <c r="J115">
        <v>15949</v>
      </c>
      <c r="K115" t="inlineStr">
        <is>
          <t>1.6</t>
        </is>
      </c>
      <c r="L115">
        <v>64427</v>
      </c>
      <c r="M115">
        <v>12071</v>
      </c>
      <c r="N115">
        <v>1166</v>
      </c>
      <c r="O115">
        <v>3000</v>
      </c>
      <c r="P115">
        <v>0.332999999999999</v>
      </c>
      <c r="Q115">
        <v>1</v>
      </c>
      <c r="R115">
        <v>0</v>
      </c>
      <c r="S115">
        <v>0</v>
      </c>
      <c r="T115">
        <v>0</v>
      </c>
      <c r="U115">
        <v>0</v>
      </c>
      <c r="V115">
        <v>3000</v>
      </c>
      <c r="W115">
        <v>0</v>
      </c>
      <c r="X115">
        <v>0</v>
      </c>
      <c r="Y115">
        <v>0</v>
      </c>
      <c r="Z115">
        <v>0</v>
      </c>
      <c r="AA115">
        <v>64427</v>
      </c>
      <c r="AB115">
        <v>12071</v>
      </c>
      <c r="AC115">
        <v>894</v>
      </c>
      <c r="AD115">
        <v>1.92</v>
      </c>
      <c r="AE115">
        <v>3400</v>
      </c>
      <c r="AF115">
        <v>1</v>
      </c>
      <c r="AG115">
        <v>0.332999999999999</v>
      </c>
      <c r="AH115">
        <v>0.195</v>
      </c>
      <c r="AI115">
        <v>63.51</v>
      </c>
      <c r="AJ115">
        <v>4.23</v>
      </c>
      <c r="AK115">
        <v>32601</v>
      </c>
      <c r="AL115">
        <v>8039</v>
      </c>
      <c r="AM115">
        <v>513</v>
      </c>
      <c r="AN115">
        <v>157</v>
      </c>
      <c r="AO115">
        <v>12.73</v>
      </c>
      <c r="AP115">
        <v>0.9</v>
      </c>
      <c r="AQ115">
        <v>0.093</v>
      </c>
      <c r="AR115">
        <v>0.119</v>
      </c>
      <c r="AS115" s="3">
        <v>46107.76636574074</v>
      </c>
    </row>
    <row r="116" ht="25.5" customHeight="1">
      <c r="A116" t="inlineStr">
        <is>
          <t>5b3f7aa8e8ac2b72326a8c01</t>
        </is>
      </c>
      <c r="B116" s="2" t="str">
        <f>=HYPERLINK("https://www.xiaohongshu.com/user/profile/5b3f7aa8e8ac2b72326a8c01", "https://www.xiaohongshu.com/user/profile/5b3f7aa8e8ac2b72326a8c01")</f>
        <v>https://www.xiaohongshu.com/user/profile/5b3f7aa8e8ac2b72326a8c01</v>
      </c>
      <c r="C116" s="2" t="str">
        <f>=HYPERLINK("https://pgy.xiaohongshu.com/solar/pre-trade/blogger-detail/5b3f7aa8e8ac2b72326a8c01", "https://pgy.xiaohongshu.com/solar/pre-trade/blogger-detail/5b3f7aa8e8ac2b72326a8c01")</f>
        <v>https://pgy.xiaohongshu.com/solar/pre-trade/blogger-detail/5b3f7aa8e8ac2b72326a8c01</v>
      </c>
      <c r="D116" t="inlineStr">
        <is>
          <t>女</t>
        </is>
      </c>
      <c r="E116" t="inlineStr">
        <is>
          <t>panna_pan</t>
        </is>
      </c>
      <c r="F116" t="inlineStr">
        <is>
          <t>是傻眼小潘</t>
        </is>
      </c>
      <c r="G116" t="inlineStr">
        <is>
          <t>重庆</t>
        </is>
      </c>
      <c r="H116" t="inlineStr">
        <is>
          <t>学生</t>
        </is>
      </c>
      <c r="I116" t="inlineStr">
        <is>
          <t>教育, 生活记录</t>
        </is>
      </c>
      <c r="J116">
        <v>77896</v>
      </c>
      <c r="K116" t="inlineStr">
        <is>
          <t>7.8</t>
        </is>
      </c>
      <c r="L116">
        <v>26874</v>
      </c>
      <c r="M116">
        <v>9811</v>
      </c>
      <c r="N116">
        <v>685</v>
      </c>
      <c r="O116">
        <v>8400</v>
      </c>
      <c r="P116">
        <v>0.332999999999999</v>
      </c>
      <c r="Q116">
        <v>0.833</v>
      </c>
      <c r="R116">
        <v>0</v>
      </c>
      <c r="S116">
        <v>0</v>
      </c>
      <c r="T116">
        <v>0</v>
      </c>
      <c r="U116">
        <v>0</v>
      </c>
      <c r="V116">
        <v>8400</v>
      </c>
      <c r="W116">
        <v>0</v>
      </c>
      <c r="X116">
        <v>0</v>
      </c>
      <c r="Y116">
        <v>0</v>
      </c>
      <c r="Z116">
        <v>0</v>
      </c>
      <c r="AA116">
        <v>26874</v>
      </c>
      <c r="AB116">
        <v>9811</v>
      </c>
      <c r="AC116">
        <v>644</v>
      </c>
      <c r="AD116">
        <v>2.49</v>
      </c>
      <c r="AE116">
        <v>12000</v>
      </c>
      <c r="AF116">
        <v>0.833</v>
      </c>
      <c r="AG116">
        <v>0.332999999999999</v>
      </c>
      <c r="AH116">
        <v>0.089</v>
      </c>
      <c r="AI116">
        <v>564.95</v>
      </c>
      <c r="AJ116">
        <v>16.17</v>
      </c>
      <c r="AK116">
        <v>26892</v>
      </c>
      <c r="AL116">
        <v>12678</v>
      </c>
      <c r="AM116">
        <v>1374</v>
      </c>
      <c r="AN116">
        <v>0</v>
      </c>
      <c r="AO116">
        <v>0</v>
      </c>
      <c r="AP116">
        <v>0.887</v>
      </c>
      <c r="AQ116">
        <v>0.044</v>
      </c>
      <c r="AR116">
        <v>0.027</v>
      </c>
      <c r="AS116" s="3">
        <v>46107.76636574074</v>
      </c>
    </row>
    <row r="117" ht="25.5" customHeight="1">
      <c r="A117" t="inlineStr">
        <is>
          <t>5f3614e7000000000100a44f</t>
        </is>
      </c>
      <c r="B117" s="2" t="str">
        <f>=HYPERLINK("https://www.xiaohongshu.com/user/profile/5f3614e7000000000100a44f", "https://www.xiaohongshu.com/user/profile/5f3614e7000000000100a44f")</f>
        <v>https://www.xiaohongshu.com/user/profile/5f3614e7000000000100a44f</v>
      </c>
      <c r="C117" s="2" t="str">
        <f>=HYPERLINK("https://pgy.xiaohongshu.com/solar/pre-trade/blogger-detail/5f3614e7000000000100a44f", "https://pgy.xiaohongshu.com/solar/pre-trade/blogger-detail/5f3614e7000000000100a44f")</f>
        <v>https://pgy.xiaohongshu.com/solar/pre-trade/blogger-detail/5f3614e7000000000100a44f</v>
      </c>
      <c r="D117" t="inlineStr">
        <is>
          <t>女</t>
        </is>
      </c>
      <c r="E117" t="inlineStr">
        <is>
          <t>767855107</t>
        </is>
      </c>
      <c r="F117" t="inlineStr">
        <is>
          <t>就要做个矿泉水瓶</t>
        </is>
      </c>
      <c r="G117" t="inlineStr">
        <is>
          <t>北京</t>
        </is>
      </c>
      <c r="H117" t="inlineStr">
        <is>
          <t>考研过来人, 留学背景</t>
        </is>
      </c>
      <c r="I117" t="inlineStr">
        <is>
          <t>教育</t>
        </is>
      </c>
      <c r="J117">
        <v>20997</v>
      </c>
      <c r="K117" t="inlineStr">
        <is>
          <t>2.1</t>
        </is>
      </c>
      <c r="L117">
        <v>23391</v>
      </c>
      <c r="M117">
        <v>2691</v>
      </c>
      <c r="N117">
        <v>288</v>
      </c>
      <c r="O117">
        <v>2000</v>
      </c>
      <c r="P117">
        <v>0</v>
      </c>
      <c r="Q117">
        <v>1</v>
      </c>
      <c r="R117">
        <v>23391</v>
      </c>
      <c r="S117">
        <v>2691</v>
      </c>
      <c r="T117">
        <v>232</v>
      </c>
      <c r="U117">
        <v>1.04</v>
      </c>
      <c r="V117">
        <v>2000</v>
      </c>
      <c r="W117">
        <v>1</v>
      </c>
      <c r="X117">
        <v>0</v>
      </c>
      <c r="Y117">
        <v>85.5</v>
      </c>
      <c r="Z117">
        <v>6.94</v>
      </c>
      <c r="AA117">
        <v>0</v>
      </c>
      <c r="AB117">
        <v>0</v>
      </c>
      <c r="AC117">
        <v>0</v>
      </c>
      <c r="AD117">
        <v>2.14</v>
      </c>
      <c r="AE117">
        <v>2800</v>
      </c>
      <c r="AF117">
        <v>0</v>
      </c>
      <c r="AG117">
        <v>0</v>
      </c>
      <c r="AH117">
        <v>0</v>
      </c>
      <c r="AI117">
        <v>93.39</v>
      </c>
      <c r="AJ117">
        <v>2.49</v>
      </c>
      <c r="AK117">
        <v>29983</v>
      </c>
      <c r="AL117">
        <v>4346</v>
      </c>
      <c r="AM117">
        <v>1029</v>
      </c>
      <c r="AN117">
        <v>0</v>
      </c>
      <c r="AO117">
        <v>50.41</v>
      </c>
      <c r="AP117">
        <v>0.885</v>
      </c>
      <c r="AQ117">
        <v>0.076</v>
      </c>
      <c r="AR117">
        <v>0.032</v>
      </c>
      <c r="AS117" s="3">
        <v>46107.76636574074</v>
      </c>
    </row>
    <row r="118" ht="25.5" customHeight="1">
      <c r="A118" t="inlineStr">
        <is>
          <t>685bf462000000001d009327</t>
        </is>
      </c>
      <c r="B118" s="2" t="str">
        <f>=HYPERLINK("https://www.xiaohongshu.com/user/profile/685bf462000000001d009327", "https://www.xiaohongshu.com/user/profile/685bf462000000001d009327")</f>
        <v>https://www.xiaohongshu.com/user/profile/685bf462000000001d009327</v>
      </c>
      <c r="C118" s="2" t="str">
        <f>=HYPERLINK("https://pgy.xiaohongshu.com/solar/pre-trade/blogger-detail/685bf462000000001d009327", "https://pgy.xiaohongshu.com/solar/pre-trade/blogger-detail/685bf462000000001d009327")</f>
        <v>https://pgy.xiaohongshu.com/solar/pre-trade/blogger-detail/685bf462000000001d009327</v>
      </c>
      <c r="D118" t="inlineStr">
        <is>
          <t>女</t>
        </is>
      </c>
      <c r="E118" t="inlineStr">
        <is>
          <t>26139690176</t>
        </is>
      </c>
      <c r="F118" t="inlineStr">
        <is>
          <t>米米的英语小灶</t>
        </is>
      </c>
      <c r="G118" t="inlineStr">
        <is>
          <t>江苏 无锡 滨湖区</t>
        </is>
      </c>
      <c r="H118"/>
      <c r="I118" t="inlineStr">
        <is>
          <t>教育</t>
        </is>
      </c>
      <c r="J118">
        <v>30631</v>
      </c>
      <c r="K118" t="inlineStr">
        <is>
          <t>3.1</t>
        </is>
      </c>
      <c r="L118">
        <v>12224</v>
      </c>
      <c r="M118">
        <v>1118</v>
      </c>
      <c r="N118">
        <v>110</v>
      </c>
      <c r="O118">
        <v>500</v>
      </c>
      <c r="P118">
        <v>0</v>
      </c>
      <c r="Q118">
        <v>0.25</v>
      </c>
      <c r="R118">
        <v>12224</v>
      </c>
      <c r="S118">
        <v>1118</v>
      </c>
      <c r="T118">
        <v>102</v>
      </c>
      <c r="U118">
        <v>0.53</v>
      </c>
      <c r="V118">
        <v>500</v>
      </c>
      <c r="W118">
        <v>0.25</v>
      </c>
      <c r="X118">
        <v>0</v>
      </c>
      <c r="Y118">
        <v>24.47</v>
      </c>
      <c r="Z118">
        <v>1.8</v>
      </c>
      <c r="AA118">
        <v>0</v>
      </c>
      <c r="AB118">
        <v>0</v>
      </c>
      <c r="AC118">
        <v>0</v>
      </c>
      <c r="AD118">
        <v>0</v>
      </c>
      <c r="AE118">
        <v>1500</v>
      </c>
      <c r="AF118">
        <v>0</v>
      </c>
      <c r="AG118">
        <v>0</v>
      </c>
      <c r="AH118">
        <v>0</v>
      </c>
      <c r="AI118">
        <v>0</v>
      </c>
      <c r="AJ118">
        <v>0</v>
      </c>
      <c r="AK118">
        <v>51309</v>
      </c>
      <c r="AL118">
        <v>9954</v>
      </c>
      <c r="AM118">
        <v>2497</v>
      </c>
      <c r="AN118">
        <v>0</v>
      </c>
      <c r="AO118">
        <v>0</v>
      </c>
      <c r="AP118">
        <v>0.949</v>
      </c>
      <c r="AQ118">
        <v>0.03</v>
      </c>
      <c r="AR118">
        <v>0.023</v>
      </c>
      <c r="AS118" s="3">
        <v>46107.76636574074</v>
      </c>
    </row>
    <row r="119" ht="25.5" customHeight="1">
      <c r="A119" t="inlineStr">
        <is>
          <t>5f25936c000000000100078b</t>
        </is>
      </c>
      <c r="B119" s="2" t="str">
        <f>=HYPERLINK("https://www.xiaohongshu.com/user/profile/5f25936c000000000100078b", "https://www.xiaohongshu.com/user/profile/5f25936c000000000100078b")</f>
        <v>https://www.xiaohongshu.com/user/profile/5f25936c000000000100078b</v>
      </c>
      <c r="C119" s="2" t="str">
        <f>=HYPERLINK("https://pgy.xiaohongshu.com/solar/pre-trade/blogger-detail/5f25936c000000000100078b", "https://pgy.xiaohongshu.com/solar/pre-trade/blogger-detail/5f25936c000000000100078b")</f>
        <v>https://pgy.xiaohongshu.com/solar/pre-trade/blogger-detail/5f25936c000000000100078b</v>
      </c>
      <c r="D119" t="inlineStr">
        <is>
          <t>女</t>
        </is>
      </c>
      <c r="E119" t="inlineStr">
        <is>
          <t>321554960</t>
        </is>
      </c>
      <c r="F119" t="inlineStr">
        <is>
          <t>山药要要要</t>
        </is>
      </c>
      <c r="G119" t="inlineStr">
        <is>
          <t>陕西 咸阳 杨陵区</t>
        </is>
      </c>
      <c r="H119" t="inlineStr">
        <is>
          <t>考研过来人, 学生</t>
        </is>
      </c>
      <c r="I119" t="inlineStr">
        <is>
          <t>教育</t>
        </is>
      </c>
      <c r="J119">
        <v>26512</v>
      </c>
      <c r="K119" t="inlineStr">
        <is>
          <t>2.7</t>
        </is>
      </c>
      <c r="L119">
        <v>9337</v>
      </c>
      <c r="M119">
        <v>3427</v>
      </c>
      <c r="N119">
        <v>406</v>
      </c>
      <c r="O119">
        <v>1200</v>
      </c>
      <c r="P119">
        <v>0.154</v>
      </c>
      <c r="Q119">
        <v>0.846</v>
      </c>
      <c r="R119">
        <v>0</v>
      </c>
      <c r="S119">
        <v>0</v>
      </c>
      <c r="T119">
        <v>0</v>
      </c>
      <c r="U119">
        <v>0</v>
      </c>
      <c r="V119">
        <v>1200</v>
      </c>
      <c r="W119">
        <v>0</v>
      </c>
      <c r="X119">
        <v>0</v>
      </c>
      <c r="Y119">
        <v>0</v>
      </c>
      <c r="Z119">
        <v>0</v>
      </c>
      <c r="AA119">
        <v>9337</v>
      </c>
      <c r="AB119">
        <v>3427</v>
      </c>
      <c r="AC119">
        <v>367</v>
      </c>
      <c r="AD119">
        <v>2.2</v>
      </c>
      <c r="AE119">
        <v>2400</v>
      </c>
      <c r="AF119">
        <v>0.846</v>
      </c>
      <c r="AG119">
        <v>0.154</v>
      </c>
      <c r="AH119">
        <v>0.024</v>
      </c>
      <c r="AI119">
        <v>250.81</v>
      </c>
      <c r="AJ119">
        <v>6.08</v>
      </c>
      <c r="AK119">
        <v>37473</v>
      </c>
      <c r="AL119">
        <v>3573</v>
      </c>
      <c r="AM119">
        <v>205</v>
      </c>
      <c r="AN119">
        <v>0</v>
      </c>
      <c r="AO119">
        <v>0</v>
      </c>
      <c r="AP119">
        <v>0.885</v>
      </c>
      <c r="AQ119">
        <v>0.111999999999999</v>
      </c>
      <c r="AR119">
        <v>0.163</v>
      </c>
      <c r="AS119" s="3">
        <v>46107.76636574074</v>
      </c>
    </row>
    <row r="120" ht="25.5" customHeight="1">
      <c r="A120" t="inlineStr">
        <is>
          <t>5c9b330a0000000017032182</t>
        </is>
      </c>
      <c r="B120" s="2" t="str">
        <f>=HYPERLINK("https://www.xiaohongshu.com/user/profile/5c9b330a0000000017032182", "https://www.xiaohongshu.com/user/profile/5c9b330a0000000017032182")</f>
        <v>https://www.xiaohongshu.com/user/profile/5c9b330a0000000017032182</v>
      </c>
      <c r="C120" s="2" t="str">
        <f>=HYPERLINK("https://pgy.xiaohongshu.com/solar/pre-trade/blogger-detail/5c9b330a0000000017032182", "https://pgy.xiaohongshu.com/solar/pre-trade/blogger-detail/5c9b330a0000000017032182")</f>
        <v>https://pgy.xiaohongshu.com/solar/pre-trade/blogger-detail/5c9b330a0000000017032182</v>
      </c>
      <c r="D120" t="inlineStr">
        <is>
          <t>女</t>
        </is>
      </c>
      <c r="E120" t="inlineStr">
        <is>
          <t>Cherry24181</t>
        </is>
      </c>
      <c r="F120" t="inlineStr">
        <is>
          <t>茹茹Cherry🦋</t>
        </is>
      </c>
      <c r="G120" t="inlineStr">
        <is>
          <t>广东 深圳 南山区</t>
        </is>
      </c>
      <c r="H120" t="inlineStr">
        <is>
          <t>学生</t>
        </is>
      </c>
      <c r="I120" t="inlineStr">
        <is>
          <t>教育</t>
        </is>
      </c>
      <c r="J120">
        <v>35362</v>
      </c>
      <c r="K120" t="inlineStr">
        <is>
          <t>3.5</t>
        </is>
      </c>
      <c r="L120">
        <v>2516</v>
      </c>
      <c r="M120">
        <v>1317</v>
      </c>
      <c r="N120">
        <v>252</v>
      </c>
      <c r="O120">
        <v>3500</v>
      </c>
      <c r="P120">
        <v>0</v>
      </c>
      <c r="Q120">
        <v>0.875</v>
      </c>
      <c r="R120">
        <v>1423</v>
      </c>
      <c r="S120">
        <v>166</v>
      </c>
      <c r="T120">
        <v>28</v>
      </c>
      <c r="U120">
        <v>21.38</v>
      </c>
      <c r="V120">
        <v>3500</v>
      </c>
      <c r="W120">
        <v>0</v>
      </c>
      <c r="X120">
        <v>0</v>
      </c>
      <c r="Y120">
        <v>2459.59</v>
      </c>
      <c r="Z120">
        <v>120.69</v>
      </c>
      <c r="AA120">
        <v>2720</v>
      </c>
      <c r="AB120">
        <v>1402</v>
      </c>
      <c r="AC120">
        <v>236</v>
      </c>
      <c r="AD120">
        <v>4.41</v>
      </c>
      <c r="AE120">
        <v>4500</v>
      </c>
      <c r="AF120">
        <v>1</v>
      </c>
      <c r="AG120">
        <v>0</v>
      </c>
      <c r="AH120">
        <v>0.093</v>
      </c>
      <c r="AI120">
        <v>1297.2</v>
      </c>
      <c r="AJ120">
        <v>12.93</v>
      </c>
      <c r="AK120">
        <v>22522</v>
      </c>
      <c r="AL120">
        <v>2794</v>
      </c>
      <c r="AM120">
        <v>859</v>
      </c>
      <c r="AN120">
        <v>0</v>
      </c>
      <c r="AO120">
        <v>0</v>
      </c>
      <c r="AP120">
        <v>0.810999999999999</v>
      </c>
      <c r="AQ120">
        <v>0.032</v>
      </c>
      <c r="AR120">
        <v>0.016</v>
      </c>
      <c r="AS120" s="3">
        <v>46107.76636574074</v>
      </c>
    </row>
    <row r="121" ht="25.5" customHeight="1">
      <c r="A121" t="inlineStr">
        <is>
          <t>5e43970500000000010034a0</t>
        </is>
      </c>
      <c r="B121" s="2" t="str">
        <f>=HYPERLINK("https://www.xiaohongshu.com/user/profile/5e43970500000000010034a0", "https://www.xiaohongshu.com/user/profile/5e43970500000000010034a0")</f>
        <v>https://www.xiaohongshu.com/user/profile/5e43970500000000010034a0</v>
      </c>
      <c r="C121" s="2" t="str">
        <f>=HYPERLINK("https://pgy.xiaohongshu.com/solar/pre-trade/blogger-detail/5e43970500000000010034a0", "https://pgy.xiaohongshu.com/solar/pre-trade/blogger-detail/5e43970500000000010034a0")</f>
        <v>https://pgy.xiaohongshu.com/solar/pre-trade/blogger-detail/5e43970500000000010034a0</v>
      </c>
      <c r="D121" t="inlineStr">
        <is>
          <t>男</t>
        </is>
      </c>
      <c r="E121" t="inlineStr">
        <is>
          <t>1099043306zh</t>
        </is>
      </c>
      <c r="F121" t="inlineStr">
        <is>
          <t>小匪师兄博士在读</t>
        </is>
      </c>
      <c r="G121" t="inlineStr">
        <is>
          <t>湖北 武汉 洪山区</t>
        </is>
      </c>
      <c r="H121" t="inlineStr">
        <is>
          <t>学生</t>
        </is>
      </c>
      <c r="I121" t="inlineStr">
        <is>
          <t>教育</t>
        </is>
      </c>
      <c r="J121">
        <v>41424</v>
      </c>
      <c r="K121" t="inlineStr">
        <is>
          <t>4.1</t>
        </is>
      </c>
      <c r="L121">
        <v>38280</v>
      </c>
      <c r="M121">
        <v>16577</v>
      </c>
      <c r="N121">
        <v>998</v>
      </c>
      <c r="O121">
        <v>3500</v>
      </c>
      <c r="P121">
        <v>0.166999999999999</v>
      </c>
      <c r="Q121">
        <v>1</v>
      </c>
      <c r="R121">
        <v>0</v>
      </c>
      <c r="S121">
        <v>0</v>
      </c>
      <c r="T121">
        <v>0</v>
      </c>
      <c r="U121">
        <v>0</v>
      </c>
      <c r="V121">
        <v>3500</v>
      </c>
      <c r="W121">
        <v>0</v>
      </c>
      <c r="X121">
        <v>0</v>
      </c>
      <c r="Y121">
        <v>0</v>
      </c>
      <c r="Z121">
        <v>0</v>
      </c>
      <c r="AA121">
        <v>38280</v>
      </c>
      <c r="AB121">
        <v>16577</v>
      </c>
      <c r="AC121">
        <v>754</v>
      </c>
      <c r="AD121">
        <v>1.9</v>
      </c>
      <c r="AE121">
        <v>3500</v>
      </c>
      <c r="AF121">
        <v>1</v>
      </c>
      <c r="AG121">
        <v>0.166999999999999</v>
      </c>
      <c r="AH121">
        <v>0.469</v>
      </c>
      <c r="AI121">
        <v>133.91</v>
      </c>
      <c r="AJ121">
        <v>4.52</v>
      </c>
      <c r="AK121">
        <v>719</v>
      </c>
      <c r="AL121">
        <v>75</v>
      </c>
      <c r="AM121">
        <v>6</v>
      </c>
      <c r="AN121">
        <v>0</v>
      </c>
      <c r="AO121">
        <v>0</v>
      </c>
      <c r="AP121">
        <v>0.709</v>
      </c>
      <c r="AQ121">
        <v>0.022</v>
      </c>
      <c r="AR121">
        <v>0.003</v>
      </c>
      <c r="AS121" s="3">
        <v>46107.76636574074</v>
      </c>
    </row>
    <row r="122" ht="25.5" customHeight="1">
      <c r="A122" t="inlineStr">
        <is>
          <t>611b93ac0000000001017d94</t>
        </is>
      </c>
      <c r="B122" s="2" t="str">
        <f>=HYPERLINK("https://www.xiaohongshu.com/user/profile/611b93ac0000000001017d94", "https://www.xiaohongshu.com/user/profile/611b93ac0000000001017d94")</f>
        <v>https://www.xiaohongshu.com/user/profile/611b93ac0000000001017d94</v>
      </c>
      <c r="C122" s="2" t="str">
        <f>=HYPERLINK("https://pgy.xiaohongshu.com/solar/pre-trade/blogger-detail/611b93ac0000000001017d94", "https://pgy.xiaohongshu.com/solar/pre-trade/blogger-detail/611b93ac0000000001017d94")</f>
        <v>https://pgy.xiaohongshu.com/solar/pre-trade/blogger-detail/611b93ac0000000001017d94</v>
      </c>
      <c r="D122" t="inlineStr">
        <is>
          <t>女</t>
        </is>
      </c>
      <c r="E122" t="inlineStr">
        <is>
          <t>2748335700</t>
        </is>
      </c>
      <c r="F122" t="inlineStr">
        <is>
          <t>七七紫</t>
        </is>
      </c>
      <c r="G122" t="inlineStr">
        <is>
          <t>北京</t>
        </is>
      </c>
      <c r="H122" t="inlineStr">
        <is>
          <t>学生</t>
        </is>
      </c>
      <c r="I122" t="inlineStr">
        <is>
          <t>生活记录</t>
        </is>
      </c>
      <c r="J122">
        <v>4761</v>
      </c>
      <c r="K122" t="inlineStr">
        <is>
          <t>0.5</t>
        </is>
      </c>
      <c r="L122">
        <v>6583</v>
      </c>
      <c r="M122">
        <v>1044</v>
      </c>
      <c r="N122">
        <v>139</v>
      </c>
      <c r="O122">
        <v>570</v>
      </c>
      <c r="P122">
        <v>0</v>
      </c>
      <c r="Q122">
        <v>0.5</v>
      </c>
      <c r="R122">
        <v>8018</v>
      </c>
      <c r="S122">
        <v>1203</v>
      </c>
      <c r="T122">
        <v>183</v>
      </c>
      <c r="U122">
        <v>0.77</v>
      </c>
      <c r="V122">
        <v>570</v>
      </c>
      <c r="W122">
        <v>1</v>
      </c>
      <c r="X122">
        <v>0</v>
      </c>
      <c r="Y122">
        <v>71.09</v>
      </c>
      <c r="Z122">
        <v>2.94</v>
      </c>
      <c r="AA122">
        <v>5149</v>
      </c>
      <c r="AB122">
        <v>885</v>
      </c>
      <c r="AC122">
        <v>86</v>
      </c>
      <c r="AD122">
        <v>2.15</v>
      </c>
      <c r="AE122">
        <v>680</v>
      </c>
      <c r="AF122">
        <v>0.332999999999999</v>
      </c>
      <c r="AG122">
        <v>0</v>
      </c>
      <c r="AH122">
        <v>0.132</v>
      </c>
      <c r="AI122">
        <v>89.89</v>
      </c>
      <c r="AJ122">
        <v>4.29</v>
      </c>
      <c r="AK122">
        <v>10366</v>
      </c>
      <c r="AL122">
        <v>1221</v>
      </c>
      <c r="AM122">
        <v>216</v>
      </c>
      <c r="AN122">
        <v>0</v>
      </c>
      <c r="AO122">
        <v>0</v>
      </c>
      <c r="AP122">
        <v>0.885999999999999</v>
      </c>
      <c r="AQ122">
        <v>0.049</v>
      </c>
      <c r="AR122">
        <v>0.045</v>
      </c>
      <c r="AS122" s="3">
        <v>46107.76658564815</v>
      </c>
    </row>
    <row r="123" ht="25.5" customHeight="1">
      <c r="A123" t="inlineStr">
        <is>
          <t>60dad6a30000000020027e6a</t>
        </is>
      </c>
      <c r="B123" s="2" t="str">
        <f>=HYPERLINK("https://www.xiaohongshu.com/user/profile/60dad6a30000000020027e6a", "https://www.xiaohongshu.com/user/profile/60dad6a30000000020027e6a")</f>
        <v>https://www.xiaohongshu.com/user/profile/60dad6a30000000020027e6a</v>
      </c>
      <c r="C123" s="2" t="str">
        <f>=HYPERLINK("https://pgy.xiaohongshu.com/solar/pre-trade/blogger-detail/60dad6a30000000020027e6a", "https://pgy.xiaohongshu.com/solar/pre-trade/blogger-detail/60dad6a30000000020027e6a")</f>
        <v>https://pgy.xiaohongshu.com/solar/pre-trade/blogger-detail/60dad6a30000000020027e6a</v>
      </c>
      <c r="D123" t="inlineStr">
        <is>
          <t>男</t>
        </is>
      </c>
      <c r="E123" t="inlineStr">
        <is>
          <t>6381051879</t>
        </is>
      </c>
      <c r="F123" t="inlineStr">
        <is>
          <t>法学生人间失狗</t>
        </is>
      </c>
      <c r="G123" t="inlineStr">
        <is>
          <t>浙江 温州 瑞安市</t>
        </is>
      </c>
      <c r="H123" t="inlineStr">
        <is>
          <t>考研过来人, 法考过来人</t>
        </is>
      </c>
      <c r="I123" t="inlineStr">
        <is>
          <t>教育</t>
        </is>
      </c>
      <c r="J123">
        <v>23686</v>
      </c>
      <c r="K123" t="inlineStr">
        <is>
          <t>2.4</t>
        </is>
      </c>
      <c r="L123">
        <v>18651</v>
      </c>
      <c r="M123">
        <v>3051</v>
      </c>
      <c r="N123">
        <v>248</v>
      </c>
      <c r="O123">
        <v>1600</v>
      </c>
      <c r="P123">
        <v>0.332999999999999</v>
      </c>
      <c r="Q123">
        <v>1</v>
      </c>
      <c r="R123">
        <v>18651</v>
      </c>
      <c r="S123">
        <v>3051</v>
      </c>
      <c r="T123">
        <v>214</v>
      </c>
      <c r="U123">
        <v>0.78</v>
      </c>
      <c r="V123">
        <v>1600</v>
      </c>
      <c r="W123">
        <v>1</v>
      </c>
      <c r="X123">
        <v>0.332999999999999</v>
      </c>
      <c r="Y123">
        <v>85.79</v>
      </c>
      <c r="Z123">
        <v>5.3</v>
      </c>
      <c r="AA123">
        <v>0</v>
      </c>
      <c r="AB123">
        <v>0</v>
      </c>
      <c r="AC123">
        <v>0</v>
      </c>
      <c r="AD123">
        <v>0</v>
      </c>
      <c r="AE123">
        <v>2200</v>
      </c>
      <c r="AF123">
        <v>0</v>
      </c>
      <c r="AG123">
        <v>0</v>
      </c>
      <c r="AH123">
        <v>0</v>
      </c>
      <c r="AI123">
        <v>0</v>
      </c>
      <c r="AJ123">
        <v>0</v>
      </c>
      <c r="AK123">
        <v>45408</v>
      </c>
      <c r="AL123">
        <v>6730</v>
      </c>
      <c r="AM123">
        <v>1147</v>
      </c>
      <c r="AN123">
        <v>0</v>
      </c>
      <c r="AO123">
        <v>0</v>
      </c>
      <c r="AP123">
        <v>0.843</v>
      </c>
      <c r="AQ123">
        <v>0.081</v>
      </c>
      <c r="AR123">
        <v>0.044</v>
      </c>
      <c r="AS123" s="3">
        <v>46107.76658564815</v>
      </c>
    </row>
    <row r="124" ht="25.5" customHeight="1">
      <c r="A124" t="inlineStr">
        <is>
          <t>64a4fb2a000000001c029a62</t>
        </is>
      </c>
      <c r="B124" s="2" t="str">
        <f>=HYPERLINK("https://www.xiaohongshu.com/user/profile/64a4fb2a000000001c029a62", "https://www.xiaohongshu.com/user/profile/64a4fb2a000000001c029a62")</f>
        <v>https://www.xiaohongshu.com/user/profile/64a4fb2a000000001c029a62</v>
      </c>
      <c r="C124" s="2" t="str">
        <f>=HYPERLINK("https://pgy.xiaohongshu.com/solar/pre-trade/blogger-detail/64a4fb2a000000001c029a62", "https://pgy.xiaohongshu.com/solar/pre-trade/blogger-detail/64a4fb2a000000001c029a62")</f>
        <v>https://pgy.xiaohongshu.com/solar/pre-trade/blogger-detail/64a4fb2a000000001c029a62</v>
      </c>
      <c r="D124" t="inlineStr">
        <is>
          <t>女</t>
        </is>
      </c>
      <c r="E124" t="inlineStr">
        <is>
          <t>9770498683</t>
        </is>
      </c>
      <c r="F124" t="inlineStr">
        <is>
          <t>歪歪www</t>
        </is>
      </c>
      <c r="G124" t="inlineStr">
        <is>
          <t>湖北 武汉 武昌区</t>
        </is>
      </c>
      <c r="H124" t="inlineStr">
        <is>
          <t>学生</t>
        </is>
      </c>
      <c r="I124" t="inlineStr">
        <is>
          <t>教育</t>
        </is>
      </c>
      <c r="J124">
        <v>4248</v>
      </c>
      <c r="K124" t="inlineStr">
        <is>
          <t>0.4</t>
        </is>
      </c>
      <c r="L124">
        <v>187887</v>
      </c>
      <c r="M124">
        <v>28334</v>
      </c>
      <c r="N124">
        <v>2206</v>
      </c>
      <c r="O124">
        <v>350</v>
      </c>
      <c r="P124">
        <v>0.5</v>
      </c>
      <c r="Q124">
        <v>0.5</v>
      </c>
      <c r="R124">
        <v>187887</v>
      </c>
      <c r="S124">
        <v>28334</v>
      </c>
      <c r="T124">
        <v>2154</v>
      </c>
      <c r="U124">
        <v>0.38</v>
      </c>
      <c r="V124">
        <v>400</v>
      </c>
      <c r="W124">
        <v>0.5</v>
      </c>
      <c r="X124">
        <v>0.5</v>
      </c>
      <c r="Y124">
        <v>9.79</v>
      </c>
      <c r="Z124">
        <v>1.22</v>
      </c>
      <c r="AA124">
        <v>0</v>
      </c>
      <c r="AB124">
        <v>0</v>
      </c>
      <c r="AC124">
        <v>0</v>
      </c>
      <c r="AD124">
        <v>0</v>
      </c>
      <c r="AE124">
        <v>350</v>
      </c>
      <c r="AF124">
        <v>0</v>
      </c>
      <c r="AG124">
        <v>0</v>
      </c>
      <c r="AH124">
        <v>0</v>
      </c>
      <c r="AI124">
        <v>0</v>
      </c>
      <c r="AJ124">
        <v>0</v>
      </c>
      <c r="AK124">
        <v>40864</v>
      </c>
      <c r="AL124">
        <v>4788</v>
      </c>
      <c r="AM124">
        <v>323</v>
      </c>
      <c r="AN124">
        <v>0</v>
      </c>
      <c r="AO124">
        <v>14.18</v>
      </c>
      <c r="AP124">
        <v>0.790999999999999</v>
      </c>
      <c r="AQ124">
        <v>0.035</v>
      </c>
      <c r="AR124">
        <v>0.027</v>
      </c>
      <c r="AS124" s="3">
        <v>46107.76658564815</v>
      </c>
    </row>
    <row r="125" ht="25.5" customHeight="1">
      <c r="A125" t="inlineStr">
        <is>
          <t>5b057cbde8ac2b4baf54f135</t>
        </is>
      </c>
      <c r="B125" s="2" t="str">
        <f>=HYPERLINK("https://www.xiaohongshu.com/user/profile/5b057cbde8ac2b4baf54f135", "https://www.xiaohongshu.com/user/profile/5b057cbde8ac2b4baf54f135")</f>
        <v>https://www.xiaohongshu.com/user/profile/5b057cbde8ac2b4baf54f135</v>
      </c>
      <c r="C125" s="2" t="str">
        <f>=HYPERLINK("https://pgy.xiaohongshu.com/solar/pre-trade/blogger-detail/5b057cbde8ac2b4baf54f135", "https://pgy.xiaohongshu.com/solar/pre-trade/blogger-detail/5b057cbde8ac2b4baf54f135")</f>
        <v>https://pgy.xiaohongshu.com/solar/pre-trade/blogger-detail/5b057cbde8ac2b4baf54f135</v>
      </c>
      <c r="D125" t="inlineStr">
        <is>
          <t>女</t>
        </is>
      </c>
      <c r="E125" t="inlineStr">
        <is>
          <t>Hayleewww</t>
        </is>
      </c>
      <c r="F125" t="inlineStr">
        <is>
          <t>问问小猪波</t>
        </is>
      </c>
      <c r="G125" t="inlineStr">
        <is>
          <t>韩国</t>
        </is>
      </c>
      <c r="H125" t="inlineStr">
        <is>
          <t>留学背景</t>
        </is>
      </c>
      <c r="I125" t="inlineStr">
        <is>
          <t>出行旅游</t>
        </is>
      </c>
      <c r="J125">
        <v>29689</v>
      </c>
      <c r="K125" t="inlineStr">
        <is>
          <t>3.0</t>
        </is>
      </c>
      <c r="L125">
        <v>11072</v>
      </c>
      <c r="M125">
        <v>4949</v>
      </c>
      <c r="N125">
        <v>506</v>
      </c>
      <c r="O125">
        <v>5400</v>
      </c>
      <c r="P125">
        <v>0</v>
      </c>
      <c r="Q125">
        <v>1</v>
      </c>
      <c r="R125">
        <v>0</v>
      </c>
      <c r="S125">
        <v>0</v>
      </c>
      <c r="T125">
        <v>0</v>
      </c>
      <c r="U125">
        <v>0</v>
      </c>
      <c r="V125">
        <v>0</v>
      </c>
      <c r="W125">
        <v>0</v>
      </c>
      <c r="X125">
        <v>0</v>
      </c>
      <c r="Y125">
        <v>0</v>
      </c>
      <c r="Z125">
        <v>0</v>
      </c>
      <c r="AA125">
        <v>11072</v>
      </c>
      <c r="AB125">
        <v>4949</v>
      </c>
      <c r="AC125">
        <v>490</v>
      </c>
      <c r="AD125">
        <v>2.59</v>
      </c>
      <c r="AE125">
        <v>5400</v>
      </c>
      <c r="AF125">
        <v>1</v>
      </c>
      <c r="AG125">
        <v>0</v>
      </c>
      <c r="AH125">
        <v>0.059</v>
      </c>
      <c r="AI125">
        <v>487.72</v>
      </c>
      <c r="AJ125">
        <v>10.67</v>
      </c>
      <c r="AK125">
        <v>0</v>
      </c>
      <c r="AL125">
        <v>0</v>
      </c>
      <c r="AM125">
        <v>0</v>
      </c>
      <c r="AN125">
        <v>0</v>
      </c>
      <c r="AO125">
        <v>0</v>
      </c>
      <c r="AP125">
        <v>0.878</v>
      </c>
      <c r="AQ125">
        <v>0.023</v>
      </c>
      <c r="AR125">
        <v>0.013</v>
      </c>
      <c r="AS125" s="3">
        <v>46107.76658564815</v>
      </c>
    </row>
    <row r="126" ht="25.5" customHeight="1">
      <c r="A126" t="inlineStr">
        <is>
          <t>60229cac000000000101d448</t>
        </is>
      </c>
      <c r="B126" s="2" t="str">
        <f>=HYPERLINK("https://www.xiaohongshu.com/user/profile/60229cac000000000101d448", "https://www.xiaohongshu.com/user/profile/60229cac000000000101d448")</f>
        <v>https://www.xiaohongshu.com/user/profile/60229cac000000000101d448</v>
      </c>
      <c r="C126" s="2" t="str">
        <f>=HYPERLINK("https://pgy.xiaohongshu.com/solar/pre-trade/blogger-detail/60229cac000000000101d448", "https://pgy.xiaohongshu.com/solar/pre-trade/blogger-detail/60229cac000000000101d448")</f>
        <v>https://pgy.xiaohongshu.com/solar/pre-trade/blogger-detail/60229cac000000000101d448</v>
      </c>
      <c r="D126" t="inlineStr">
        <is>
          <t>男</t>
        </is>
      </c>
      <c r="E126" t="inlineStr">
        <is>
          <t>1112924115</t>
        </is>
      </c>
      <c r="F126" t="inlineStr">
        <is>
          <t>吴大嘴</t>
        </is>
      </c>
      <c r="G126" t="inlineStr">
        <is>
          <t>重庆</t>
        </is>
      </c>
      <c r="H126"/>
      <c r="I126" t="inlineStr">
        <is>
          <t>教育</t>
        </is>
      </c>
      <c r="J126">
        <v>15962</v>
      </c>
      <c r="K126" t="inlineStr">
        <is>
          <t>1.6</t>
        </is>
      </c>
      <c r="L126">
        <v>73314</v>
      </c>
      <c r="M126">
        <v>14918</v>
      </c>
      <c r="N126">
        <v>1681</v>
      </c>
      <c r="O126">
        <v>295</v>
      </c>
      <c r="P126">
        <v>0</v>
      </c>
      <c r="Q126">
        <v>1</v>
      </c>
      <c r="R126">
        <v>73314</v>
      </c>
      <c r="S126">
        <v>14918</v>
      </c>
      <c r="T126">
        <v>966</v>
      </c>
      <c r="U126">
        <v>0.34</v>
      </c>
      <c r="V126">
        <v>295</v>
      </c>
      <c r="W126">
        <v>1</v>
      </c>
      <c r="X126">
        <v>0</v>
      </c>
      <c r="Y126">
        <v>6.75</v>
      </c>
      <c r="Z126">
        <v>0.33</v>
      </c>
      <c r="AA126">
        <v>0</v>
      </c>
      <c r="AB126">
        <v>0</v>
      </c>
      <c r="AC126">
        <v>0</v>
      </c>
      <c r="AD126">
        <v>0</v>
      </c>
      <c r="AE126">
        <v>1760</v>
      </c>
      <c r="AF126">
        <v>0</v>
      </c>
      <c r="AG126">
        <v>0</v>
      </c>
      <c r="AH126">
        <v>0</v>
      </c>
      <c r="AI126">
        <v>0</v>
      </c>
      <c r="AJ126">
        <v>0</v>
      </c>
      <c r="AK126">
        <v>14082</v>
      </c>
      <c r="AL126">
        <v>1407</v>
      </c>
      <c r="AM126">
        <v>122</v>
      </c>
      <c r="AN126">
        <v>0</v>
      </c>
      <c r="AO126">
        <v>0</v>
      </c>
      <c r="AP126">
        <v>0.939</v>
      </c>
      <c r="AQ126">
        <v>0.031</v>
      </c>
      <c r="AR126">
        <v>0.036</v>
      </c>
      <c r="AS126" s="3">
        <v>46107.76658564815</v>
      </c>
    </row>
    <row r="127" ht="25.5" customHeight="1">
      <c r="A127" t="inlineStr">
        <is>
          <t>5fb32b13000000000100311b</t>
        </is>
      </c>
      <c r="B127" s="2" t="str">
        <f>=HYPERLINK("https://www.xiaohongshu.com/user/profile/5fb32b13000000000100311b", "https://www.xiaohongshu.com/user/profile/5fb32b13000000000100311b")</f>
        <v>https://www.xiaohongshu.com/user/profile/5fb32b13000000000100311b</v>
      </c>
      <c r="C127" s="2" t="str">
        <f>=HYPERLINK("https://pgy.xiaohongshu.com/solar/pre-trade/blogger-detail/5fb32b13000000000100311b", "https://pgy.xiaohongshu.com/solar/pre-trade/blogger-detail/5fb32b13000000000100311b")</f>
        <v>https://pgy.xiaohongshu.com/solar/pre-trade/blogger-detail/5fb32b13000000000100311b</v>
      </c>
      <c r="D127" t="inlineStr">
        <is>
          <t>男</t>
        </is>
      </c>
      <c r="E127" t="inlineStr">
        <is>
          <t>1051815337</t>
        </is>
      </c>
      <c r="F127" t="inlineStr">
        <is>
          <t>阿战吃不饱</t>
        </is>
      </c>
      <c r="G127" t="inlineStr">
        <is>
          <t>浙江 杭州 钱塘区</t>
        </is>
      </c>
      <c r="H127" t="inlineStr">
        <is>
          <t>教练</t>
        </is>
      </c>
      <c r="I127" t="inlineStr">
        <is>
          <t>教育</t>
        </is>
      </c>
      <c r="J127">
        <v>65980</v>
      </c>
      <c r="K127" t="inlineStr">
        <is>
          <t>6.6</t>
        </is>
      </c>
      <c r="L127">
        <v>21144</v>
      </c>
      <c r="M127">
        <v>8432</v>
      </c>
      <c r="N127">
        <v>544</v>
      </c>
      <c r="O127">
        <v>1500</v>
      </c>
      <c r="P127">
        <v>0.25</v>
      </c>
      <c r="Q127">
        <v>1</v>
      </c>
      <c r="R127">
        <v>0</v>
      </c>
      <c r="S127">
        <v>0</v>
      </c>
      <c r="T127">
        <v>0</v>
      </c>
      <c r="U127">
        <v>0</v>
      </c>
      <c r="V127">
        <v>1500</v>
      </c>
      <c r="W127">
        <v>0</v>
      </c>
      <c r="X127">
        <v>0</v>
      </c>
      <c r="Y127">
        <v>0</v>
      </c>
      <c r="Z127">
        <v>0</v>
      </c>
      <c r="AA127">
        <v>21144</v>
      </c>
      <c r="AB127">
        <v>8432</v>
      </c>
      <c r="AC127">
        <v>465</v>
      </c>
      <c r="AD127">
        <v>2.43</v>
      </c>
      <c r="AE127">
        <v>7804</v>
      </c>
      <c r="AF127">
        <v>1</v>
      </c>
      <c r="AG127">
        <v>0.25</v>
      </c>
      <c r="AH127">
        <v>0.235</v>
      </c>
      <c r="AI127">
        <v>369.08</v>
      </c>
      <c r="AJ127">
        <v>14.33</v>
      </c>
      <c r="AK127">
        <v>0</v>
      </c>
      <c r="AL127">
        <v>0</v>
      </c>
      <c r="AM127">
        <v>0</v>
      </c>
      <c r="AN127">
        <v>0</v>
      </c>
      <c r="AO127">
        <v>0</v>
      </c>
      <c r="AP127">
        <v>0.815</v>
      </c>
      <c r="AQ127">
        <v>0.052</v>
      </c>
      <c r="AR127">
        <v>0.0559999999999999</v>
      </c>
      <c r="AS127" s="3">
        <v>46107.76658564815</v>
      </c>
    </row>
    <row r="128" ht="25.5" customHeight="1">
      <c r="A128" t="inlineStr">
        <is>
          <t>5dd17cf1000000000100472b</t>
        </is>
      </c>
      <c r="B128" s="2" t="str">
        <f>=HYPERLINK("https://www.xiaohongshu.com/user/profile/5dd17cf1000000000100472b", "https://www.xiaohongshu.com/user/profile/5dd17cf1000000000100472b")</f>
        <v>https://www.xiaohongshu.com/user/profile/5dd17cf1000000000100472b</v>
      </c>
      <c r="C128" s="2" t="str">
        <f>=HYPERLINK("https://pgy.xiaohongshu.com/solar/pre-trade/blogger-detail/5dd17cf1000000000100472b", "https://pgy.xiaohongshu.com/solar/pre-trade/blogger-detail/5dd17cf1000000000100472b")</f>
        <v>https://pgy.xiaohongshu.com/solar/pre-trade/blogger-detail/5dd17cf1000000000100472b</v>
      </c>
      <c r="D128" t="inlineStr">
        <is>
          <t>女</t>
        </is>
      </c>
      <c r="E128" t="inlineStr">
        <is>
          <t>701529322</t>
        </is>
      </c>
      <c r="F128" t="inlineStr">
        <is>
          <t>爱读书的Zoey（读博版）</t>
        </is>
      </c>
      <c r="G128" t="inlineStr">
        <is>
          <t>河北 张家口 崇礼区</t>
        </is>
      </c>
      <c r="H128" t="inlineStr">
        <is>
          <t>学生</t>
        </is>
      </c>
      <c r="I128" t="inlineStr">
        <is>
          <t>教育</t>
        </is>
      </c>
      <c r="J128">
        <v>28693</v>
      </c>
      <c r="K128" t="inlineStr">
        <is>
          <t>2.9</t>
        </is>
      </c>
      <c r="L128">
        <v>5273</v>
      </c>
      <c r="M128">
        <v>1801</v>
      </c>
      <c r="N128">
        <v>184</v>
      </c>
      <c r="O128">
        <v>1200</v>
      </c>
      <c r="P128">
        <v>0</v>
      </c>
      <c r="Q128">
        <v>0.625</v>
      </c>
      <c r="R128">
        <v>0</v>
      </c>
      <c r="S128">
        <v>0</v>
      </c>
      <c r="T128">
        <v>0</v>
      </c>
      <c r="U128">
        <v>0</v>
      </c>
      <c r="V128">
        <v>1200</v>
      </c>
      <c r="W128">
        <v>0</v>
      </c>
      <c r="X128">
        <v>0</v>
      </c>
      <c r="Y128">
        <v>0</v>
      </c>
      <c r="Z128">
        <v>0</v>
      </c>
      <c r="AA128">
        <v>6055</v>
      </c>
      <c r="AB128">
        <v>2076</v>
      </c>
      <c r="AC128">
        <v>150</v>
      </c>
      <c r="AD128">
        <v>4.39</v>
      </c>
      <c r="AE128">
        <v>6000</v>
      </c>
      <c r="AF128">
        <v>0.625</v>
      </c>
      <c r="AG128">
        <v>0</v>
      </c>
      <c r="AH128">
        <v>0.163999999999999</v>
      </c>
      <c r="AI128">
        <v>990.92</v>
      </c>
      <c r="AJ128">
        <v>27.27</v>
      </c>
      <c r="AK128">
        <v>0</v>
      </c>
      <c r="AL128">
        <v>0</v>
      </c>
      <c r="AM128">
        <v>0</v>
      </c>
      <c r="AN128">
        <v>0</v>
      </c>
      <c r="AO128">
        <v>0</v>
      </c>
      <c r="AP128">
        <v>0.889</v>
      </c>
      <c r="AQ128">
        <v>0.026</v>
      </c>
      <c r="AR128">
        <v>0.00699999999999999</v>
      </c>
      <c r="AS128" s="3">
        <v>46107.76658564815</v>
      </c>
    </row>
    <row r="129" ht="25.5" customHeight="1">
      <c r="A129" t="inlineStr">
        <is>
          <t>5f38fc9e0000000001001450</t>
        </is>
      </c>
      <c r="B129" s="2" t="str">
        <f>=HYPERLINK("https://www.xiaohongshu.com/user/profile/5f38fc9e0000000001001450", "https://www.xiaohongshu.com/user/profile/5f38fc9e0000000001001450")</f>
        <v>https://www.xiaohongshu.com/user/profile/5f38fc9e0000000001001450</v>
      </c>
      <c r="C129" s="2" t="str">
        <f>=HYPERLINK("https://pgy.xiaohongshu.com/solar/pre-trade/blogger-detail/5f38fc9e0000000001001450", "https://pgy.xiaohongshu.com/solar/pre-trade/blogger-detail/5f38fc9e0000000001001450")</f>
        <v>https://pgy.xiaohongshu.com/solar/pre-trade/blogger-detail/5f38fc9e0000000001001450</v>
      </c>
      <c r="D129" t="inlineStr">
        <is>
          <t>男</t>
        </is>
      </c>
      <c r="E129" t="inlineStr">
        <is>
          <t>736454221</t>
        </is>
      </c>
      <c r="F129" t="inlineStr">
        <is>
          <t>马虫🐛</t>
        </is>
      </c>
      <c r="G129" t="inlineStr">
        <is>
          <t>上海</t>
        </is>
      </c>
      <c r="H129"/>
      <c r="I129" t="inlineStr">
        <is>
          <t>教育</t>
        </is>
      </c>
      <c r="J129">
        <v>55025</v>
      </c>
      <c r="K129" t="inlineStr">
        <is>
          <t>5.5</t>
        </is>
      </c>
      <c r="L129">
        <v>21318</v>
      </c>
      <c r="M129">
        <v>4479</v>
      </c>
      <c r="N129">
        <v>421</v>
      </c>
      <c r="O129">
        <v>4000</v>
      </c>
      <c r="P129">
        <v>0.222</v>
      </c>
      <c r="Q129">
        <v>0.778</v>
      </c>
      <c r="R129">
        <v>0</v>
      </c>
      <c r="S129">
        <v>0</v>
      </c>
      <c r="T129">
        <v>0</v>
      </c>
      <c r="U129">
        <v>0</v>
      </c>
      <c r="V129">
        <v>4000</v>
      </c>
      <c r="W129">
        <v>0</v>
      </c>
      <c r="X129">
        <v>0</v>
      </c>
      <c r="Y129">
        <v>0</v>
      </c>
      <c r="Z129">
        <v>0</v>
      </c>
      <c r="AA129">
        <v>21318</v>
      </c>
      <c r="AB129">
        <v>4479</v>
      </c>
      <c r="AC129">
        <v>405</v>
      </c>
      <c r="AD129">
        <v>2.73</v>
      </c>
      <c r="AE129">
        <v>5500</v>
      </c>
      <c r="AF129">
        <v>0.778</v>
      </c>
      <c r="AG129">
        <v>0.222</v>
      </c>
      <c r="AH129">
        <v>0.012</v>
      </c>
      <c r="AI129">
        <v>258</v>
      </c>
      <c r="AJ129">
        <v>13.06</v>
      </c>
      <c r="AK129">
        <v>0</v>
      </c>
      <c r="AL129">
        <v>0</v>
      </c>
      <c r="AM129">
        <v>0</v>
      </c>
      <c r="AN129">
        <v>0</v>
      </c>
      <c r="AO129">
        <v>0</v>
      </c>
      <c r="AP129">
        <v>0.932</v>
      </c>
      <c r="AQ129">
        <v>0.079</v>
      </c>
      <c r="AR129">
        <v>0.036</v>
      </c>
      <c r="AS129" s="3">
        <v>46107.76658564815</v>
      </c>
    </row>
    <row r="130" ht="25.5" customHeight="1">
      <c r="A130" t="inlineStr">
        <is>
          <t>6312c453000000001200dbe0</t>
        </is>
      </c>
      <c r="B130" s="2" t="str">
        <f>=HYPERLINK("https://www.xiaohongshu.com/user/profile/6312c453000000001200dbe0", "https://www.xiaohongshu.com/user/profile/6312c453000000001200dbe0")</f>
        <v>https://www.xiaohongshu.com/user/profile/6312c453000000001200dbe0</v>
      </c>
      <c r="C130" s="2" t="str">
        <f>=HYPERLINK("https://pgy.xiaohongshu.com/solar/pre-trade/blogger-detail/6312c453000000001200dbe0", "https://pgy.xiaohongshu.com/solar/pre-trade/blogger-detail/6312c453000000001200dbe0")</f>
        <v>https://pgy.xiaohongshu.com/solar/pre-trade/blogger-detail/6312c453000000001200dbe0</v>
      </c>
      <c r="D130" t="inlineStr">
        <is>
          <t>女</t>
        </is>
      </c>
      <c r="E130" t="inlineStr">
        <is>
          <t>3845017680</t>
        </is>
      </c>
      <c r="F130" t="inlineStr">
        <is>
          <t>在努力的Claudia~</t>
        </is>
      </c>
      <c r="G130" t="inlineStr">
        <is>
          <t>浙江 宁波 江北区</t>
        </is>
      </c>
      <c r="H130" t="inlineStr">
        <is>
          <t>学生, 翻译</t>
        </is>
      </c>
      <c r="I130" t="inlineStr">
        <is>
          <t>教育</t>
        </is>
      </c>
      <c r="J130">
        <v>98347</v>
      </c>
      <c r="K130" t="inlineStr">
        <is>
          <t>9.8</t>
        </is>
      </c>
      <c r="L130">
        <v>25424</v>
      </c>
      <c r="M130">
        <v>2093</v>
      </c>
      <c r="N130">
        <v>404</v>
      </c>
      <c r="O130">
        <v>680</v>
      </c>
      <c r="P130">
        <v>0</v>
      </c>
      <c r="Q130">
        <v>1</v>
      </c>
      <c r="R130">
        <v>25424</v>
      </c>
      <c r="S130">
        <v>2093</v>
      </c>
      <c r="T130">
        <v>350</v>
      </c>
      <c r="U130">
        <v>0.66</v>
      </c>
      <c r="V130">
        <v>680</v>
      </c>
      <c r="W130">
        <v>1</v>
      </c>
      <c r="X130">
        <v>0</v>
      </c>
      <c r="Y130">
        <v>32.34</v>
      </c>
      <c r="Z130">
        <v>1.91</v>
      </c>
      <c r="AA130">
        <v>0</v>
      </c>
      <c r="AB130">
        <v>0</v>
      </c>
      <c r="AC130">
        <v>0</v>
      </c>
      <c r="AD130">
        <v>0</v>
      </c>
      <c r="AE130">
        <v>5000</v>
      </c>
      <c r="AF130">
        <v>0</v>
      </c>
      <c r="AG130">
        <v>0</v>
      </c>
      <c r="AH130">
        <v>0</v>
      </c>
      <c r="AI130">
        <v>0</v>
      </c>
      <c r="AJ130">
        <v>0</v>
      </c>
      <c r="AK130">
        <v>18241</v>
      </c>
      <c r="AL130">
        <v>1276</v>
      </c>
      <c r="AM130">
        <v>19</v>
      </c>
      <c r="AN130">
        <v>171</v>
      </c>
      <c r="AO130">
        <v>4.1</v>
      </c>
      <c r="AP130">
        <v>0.843</v>
      </c>
      <c r="AQ130">
        <v>0.009</v>
      </c>
      <c r="AR130">
        <v>-0.003</v>
      </c>
      <c r="AS130" s="3">
        <v>46107.76658564815</v>
      </c>
    </row>
    <row r="131" ht="25.5" customHeight="1">
      <c r="A131" t="inlineStr">
        <is>
          <t>5cfa277c000000000602cfd0</t>
        </is>
      </c>
      <c r="B131" s="2" t="str">
        <f>=HYPERLINK("https://www.xiaohongshu.com/user/profile/5cfa277c000000000602cfd0", "https://www.xiaohongshu.com/user/profile/5cfa277c000000000602cfd0")</f>
        <v>https://www.xiaohongshu.com/user/profile/5cfa277c000000000602cfd0</v>
      </c>
      <c r="C131" s="2" t="str">
        <f>=HYPERLINK("https://pgy.xiaohongshu.com/solar/pre-trade/blogger-detail/5cfa277c000000000602cfd0", "https://pgy.xiaohongshu.com/solar/pre-trade/blogger-detail/5cfa277c000000000602cfd0")</f>
        <v>https://pgy.xiaohongshu.com/solar/pre-trade/blogger-detail/5cfa277c000000000602cfd0</v>
      </c>
      <c r="D131" t="inlineStr">
        <is>
          <t>女</t>
        </is>
      </c>
      <c r="E131" t="inlineStr">
        <is>
          <t>586565207</t>
        </is>
      </c>
      <c r="F131" t="inlineStr">
        <is>
          <t>少吃芝士Claire</t>
        </is>
      </c>
      <c r="G131" t="inlineStr">
        <is>
          <t>美国</t>
        </is>
      </c>
      <c r="H131"/>
      <c r="I131" t="inlineStr">
        <is>
          <t>出行旅游, 教育, 生活记录</t>
        </is>
      </c>
      <c r="J131">
        <v>49981</v>
      </c>
      <c r="K131" t="inlineStr">
        <is>
          <t>5.0</t>
        </is>
      </c>
      <c r="L131">
        <v>23594</v>
      </c>
      <c r="M131">
        <v>6217</v>
      </c>
      <c r="N131">
        <v>660</v>
      </c>
      <c r="O131">
        <v>2600</v>
      </c>
      <c r="P131">
        <v>0</v>
      </c>
      <c r="Q131">
        <v>1</v>
      </c>
      <c r="R131">
        <v>0</v>
      </c>
      <c r="S131">
        <v>0</v>
      </c>
      <c r="T131">
        <v>0</v>
      </c>
      <c r="U131">
        <v>0</v>
      </c>
      <c r="V131">
        <v>2600</v>
      </c>
      <c r="W131">
        <v>0</v>
      </c>
      <c r="X131">
        <v>0</v>
      </c>
      <c r="Y131">
        <v>0</v>
      </c>
      <c r="Z131">
        <v>0</v>
      </c>
      <c r="AA131">
        <v>23594</v>
      </c>
      <c r="AB131">
        <v>6217</v>
      </c>
      <c r="AC131">
        <v>609</v>
      </c>
      <c r="AD131">
        <v>2.87</v>
      </c>
      <c r="AE131">
        <v>8700</v>
      </c>
      <c r="AF131">
        <v>1</v>
      </c>
      <c r="AG131">
        <v>0</v>
      </c>
      <c r="AH131">
        <v>0.106</v>
      </c>
      <c r="AI131">
        <v>354.05</v>
      </c>
      <c r="AJ131">
        <v>12.79</v>
      </c>
      <c r="AK131">
        <v>61424</v>
      </c>
      <c r="AL131">
        <v>8441</v>
      </c>
      <c r="AM131">
        <v>1458</v>
      </c>
      <c r="AN131">
        <v>0</v>
      </c>
      <c r="AO131">
        <v>0</v>
      </c>
      <c r="AP131">
        <v>0.755</v>
      </c>
      <c r="AQ131">
        <v>0.0289999999999999</v>
      </c>
      <c r="AR131">
        <v>0.00699999999999999</v>
      </c>
      <c r="AS131" s="3">
        <v>46107.76658564815</v>
      </c>
    </row>
    <row r="132" ht="25.5" customHeight="1">
      <c r="A132" t="inlineStr">
        <is>
          <t>599d90c550c4b4128d273727</t>
        </is>
      </c>
      <c r="B132" s="2" t="str">
        <f>=HYPERLINK("https://www.xiaohongshu.com/user/profile/599d90c550c4b4128d273727", "https://www.xiaohongshu.com/user/profile/599d90c550c4b4128d273727")</f>
        <v>https://www.xiaohongshu.com/user/profile/599d90c550c4b4128d273727</v>
      </c>
      <c r="C132" s="2" t="str">
        <f>=HYPERLINK("https://pgy.xiaohongshu.com/solar/pre-trade/blogger-detail/599d90c550c4b4128d273727", "https://pgy.xiaohongshu.com/solar/pre-trade/blogger-detail/599d90c550c4b4128d273727")</f>
        <v>https://pgy.xiaohongshu.com/solar/pre-trade/blogger-detail/599d90c550c4b4128d273727</v>
      </c>
      <c r="D132" t="inlineStr">
        <is>
          <t>女</t>
        </is>
      </c>
      <c r="E132" t="inlineStr">
        <is>
          <t>953858243</t>
        </is>
      </c>
      <c r="F132" t="inlineStr">
        <is>
          <t>卷心白菜读研记</t>
        </is>
      </c>
      <c r="G132" t="inlineStr">
        <is>
          <t>北京</t>
        </is>
      </c>
      <c r="H132" t="inlineStr">
        <is>
          <t>考研过来人, 学生</t>
        </is>
      </c>
      <c r="I132" t="inlineStr">
        <is>
          <t>教育</t>
        </is>
      </c>
      <c r="J132">
        <v>23902</v>
      </c>
      <c r="K132" t="inlineStr">
        <is>
          <t>2.4</t>
        </is>
      </c>
      <c r="L132">
        <v>5318</v>
      </c>
      <c r="M132">
        <v>2048</v>
      </c>
      <c r="N132">
        <v>208</v>
      </c>
      <c r="O132">
        <v>2700</v>
      </c>
      <c r="P132">
        <v>0.0559999999999999</v>
      </c>
      <c r="Q132">
        <v>0.889</v>
      </c>
      <c r="R132">
        <v>0</v>
      </c>
      <c r="S132">
        <v>0</v>
      </c>
      <c r="T132">
        <v>0</v>
      </c>
      <c r="U132">
        <v>0</v>
      </c>
      <c r="V132">
        <v>2700</v>
      </c>
      <c r="W132">
        <v>0</v>
      </c>
      <c r="X132">
        <v>0</v>
      </c>
      <c r="Y132">
        <v>0</v>
      </c>
      <c r="Z132">
        <v>0</v>
      </c>
      <c r="AA132">
        <v>5318</v>
      </c>
      <c r="AB132">
        <v>2048</v>
      </c>
      <c r="AC132">
        <v>188</v>
      </c>
      <c r="AD132">
        <v>3.09</v>
      </c>
      <c r="AE132">
        <v>4000</v>
      </c>
      <c r="AF132">
        <v>0.889</v>
      </c>
      <c r="AG132">
        <v>0.0559999999999999</v>
      </c>
      <c r="AH132">
        <v>0.201</v>
      </c>
      <c r="AI132">
        <v>697.71</v>
      </c>
      <c r="AJ132">
        <v>19.23</v>
      </c>
      <c r="AK132">
        <v>27168</v>
      </c>
      <c r="AL132">
        <v>3167</v>
      </c>
      <c r="AM132">
        <v>216</v>
      </c>
      <c r="AN132">
        <v>0</v>
      </c>
      <c r="AO132">
        <v>0</v>
      </c>
      <c r="AP132">
        <v>0.818</v>
      </c>
      <c r="AQ132">
        <v>0.032</v>
      </c>
      <c r="AR132">
        <v>0.049</v>
      </c>
      <c r="AS132" s="3">
        <v>46107.76658564815</v>
      </c>
    </row>
    <row r="133" ht="25.5" customHeight="1">
      <c r="A133" t="inlineStr">
        <is>
          <t>5ef88d37000000000101dc60</t>
        </is>
      </c>
      <c r="B133" s="2" t="str">
        <f>=HYPERLINK("https://www.xiaohongshu.com/user/profile/5ef88d37000000000101dc60", "https://www.xiaohongshu.com/user/profile/5ef88d37000000000101dc60")</f>
        <v>https://www.xiaohongshu.com/user/profile/5ef88d37000000000101dc60</v>
      </c>
      <c r="C133" s="2" t="str">
        <f>=HYPERLINK("https://pgy.xiaohongshu.com/solar/pre-trade/blogger-detail/5ef88d37000000000101dc60", "https://pgy.xiaohongshu.com/solar/pre-trade/blogger-detail/5ef88d37000000000101dc60")</f>
        <v>https://pgy.xiaohongshu.com/solar/pre-trade/blogger-detail/5ef88d37000000000101dc60</v>
      </c>
      <c r="D133" t="inlineStr">
        <is>
          <t>女</t>
        </is>
      </c>
      <c r="E133" t="inlineStr">
        <is>
          <t>Morse_by</t>
        </is>
      </c>
      <c r="F133" t="inlineStr">
        <is>
          <t>王不疑（研二版</t>
        </is>
      </c>
      <c r="G133" t="inlineStr">
        <is>
          <t>陕西 西安 长安区</t>
        </is>
      </c>
      <c r="H133" t="inlineStr">
        <is>
          <t>创业者, 学生</t>
        </is>
      </c>
      <c r="I133" t="inlineStr">
        <is>
          <t>教育</t>
        </is>
      </c>
      <c r="J133">
        <v>7681</v>
      </c>
      <c r="K133" t="inlineStr">
        <is>
          <t>0.8</t>
        </is>
      </c>
      <c r="L133">
        <v>55421</v>
      </c>
      <c r="M133">
        <v>6676</v>
      </c>
      <c r="N133">
        <v>1775</v>
      </c>
      <c r="O133">
        <v>500</v>
      </c>
      <c r="P133">
        <v>0.5</v>
      </c>
      <c r="Q133">
        <v>0.75</v>
      </c>
      <c r="R133">
        <v>7230</v>
      </c>
      <c r="S133">
        <v>1943</v>
      </c>
      <c r="T133">
        <v>515</v>
      </c>
      <c r="U133">
        <v>0.78</v>
      </c>
      <c r="V133">
        <v>500</v>
      </c>
      <c r="W133">
        <v>1</v>
      </c>
      <c r="X133">
        <v>0</v>
      </c>
      <c r="Y133">
        <v>122.17</v>
      </c>
      <c r="Z133">
        <v>1.75</v>
      </c>
      <c r="AA133">
        <v>103613</v>
      </c>
      <c r="AB133">
        <v>11410</v>
      </c>
      <c r="AC133">
        <v>2749</v>
      </c>
      <c r="AD133">
        <v>1.59</v>
      </c>
      <c r="AE133">
        <v>1000</v>
      </c>
      <c r="AF133">
        <v>0.667</v>
      </c>
      <c r="AG133">
        <v>0.667</v>
      </c>
      <c r="AH133">
        <v>0.0559999999999999</v>
      </c>
      <c r="AI133">
        <v>9.65</v>
      </c>
      <c r="AJ133">
        <v>0.33</v>
      </c>
      <c r="AK133">
        <v>955</v>
      </c>
      <c r="AL133">
        <v>150</v>
      </c>
      <c r="AM133">
        <v>9</v>
      </c>
      <c r="AN133">
        <v>0</v>
      </c>
      <c r="AO133">
        <v>0</v>
      </c>
      <c r="AP133">
        <v>0.914</v>
      </c>
      <c r="AQ133">
        <v>0.038</v>
      </c>
      <c r="AR133">
        <v>0.025</v>
      </c>
      <c r="AS133" s="3">
        <v>46107.76658564815</v>
      </c>
    </row>
    <row r="134" ht="25.5" customHeight="1">
      <c r="A134" t="inlineStr">
        <is>
          <t>5f7926170000000001005d06</t>
        </is>
      </c>
      <c r="B134" s="2" t="str">
        <f>=HYPERLINK("https://www.xiaohongshu.com/user/profile/5f7926170000000001005d06", "https://www.xiaohongshu.com/user/profile/5f7926170000000001005d06")</f>
        <v>https://www.xiaohongshu.com/user/profile/5f7926170000000001005d06</v>
      </c>
      <c r="C134" s="2" t="str">
        <f>=HYPERLINK("https://pgy.xiaohongshu.com/solar/pre-trade/blogger-detail/5f7926170000000001005d06", "https://pgy.xiaohongshu.com/solar/pre-trade/blogger-detail/5f7926170000000001005d06")</f>
        <v>https://pgy.xiaohongshu.com/solar/pre-trade/blogger-detail/5f7926170000000001005d06</v>
      </c>
      <c r="D134" t="inlineStr">
        <is>
          <t>女</t>
        </is>
      </c>
      <c r="E134" t="inlineStr">
        <is>
          <t>1000627293</t>
        </is>
      </c>
      <c r="F134" t="inlineStr">
        <is>
          <t>Lily要多读书</t>
        </is>
      </c>
      <c r="G134" t="inlineStr">
        <is>
          <t>北京</t>
        </is>
      </c>
      <c r="H134" t="inlineStr">
        <is>
          <t>学生</t>
        </is>
      </c>
      <c r="I134" t="inlineStr">
        <is>
          <t>教育</t>
        </is>
      </c>
      <c r="J134">
        <v>25897</v>
      </c>
      <c r="K134" t="inlineStr">
        <is>
          <t>2.6</t>
        </is>
      </c>
      <c r="L134">
        <v>18215</v>
      </c>
      <c r="M134">
        <v>2850</v>
      </c>
      <c r="N134">
        <v>288</v>
      </c>
      <c r="O134">
        <v>2400</v>
      </c>
      <c r="P134">
        <v>0.25</v>
      </c>
      <c r="Q134">
        <v>1</v>
      </c>
      <c r="R134">
        <v>20502</v>
      </c>
      <c r="S134">
        <v>3370</v>
      </c>
      <c r="T134">
        <v>224</v>
      </c>
      <c r="U134">
        <v>1.01</v>
      </c>
      <c r="V134">
        <v>2400</v>
      </c>
      <c r="W134">
        <v>1</v>
      </c>
      <c r="X134">
        <v>0</v>
      </c>
      <c r="Y134">
        <v>123.84</v>
      </c>
      <c r="Z134">
        <v>7.37</v>
      </c>
      <c r="AA134">
        <v>15929</v>
      </c>
      <c r="AB134">
        <v>2331</v>
      </c>
      <c r="AC134">
        <v>246</v>
      </c>
      <c r="AD134">
        <v>2.79</v>
      </c>
      <c r="AE134">
        <v>3000</v>
      </c>
      <c r="AF134">
        <v>1</v>
      </c>
      <c r="AG134">
        <v>0.332999999999999</v>
      </c>
      <c r="AH134">
        <v>0.412</v>
      </c>
      <c r="AI134">
        <v>188.34</v>
      </c>
      <c r="AJ134">
        <v>10.03</v>
      </c>
      <c r="AK134">
        <v>18258</v>
      </c>
      <c r="AL134">
        <v>3406</v>
      </c>
      <c r="AM134">
        <v>297</v>
      </c>
      <c r="AN134">
        <v>0</v>
      </c>
      <c r="AO134">
        <v>0</v>
      </c>
      <c r="AP134">
        <v>0.887</v>
      </c>
      <c r="AQ134">
        <v>0.196</v>
      </c>
      <c r="AR134">
        <v>0.297</v>
      </c>
      <c r="AS134" s="3">
        <v>46107.76658564815</v>
      </c>
    </row>
    <row r="135" ht="25.5" customHeight="1">
      <c r="A135" t="inlineStr">
        <is>
          <t>5b0d65b911be103568bb9c04</t>
        </is>
      </c>
      <c r="B135" s="2" t="str">
        <f>=HYPERLINK("https://www.xiaohongshu.com/user/profile/5b0d65b911be103568bb9c04", "https://www.xiaohongshu.com/user/profile/5b0d65b911be103568bb9c04")</f>
        <v>https://www.xiaohongshu.com/user/profile/5b0d65b911be103568bb9c04</v>
      </c>
      <c r="C135" s="2" t="str">
        <f>=HYPERLINK("https://pgy.xiaohongshu.com/solar/pre-trade/blogger-detail/5b0d65b911be103568bb9c04", "https://pgy.xiaohongshu.com/solar/pre-trade/blogger-detail/5b0d65b911be103568bb9c04")</f>
        <v>https://pgy.xiaohongshu.com/solar/pre-trade/blogger-detail/5b0d65b911be103568bb9c04</v>
      </c>
      <c r="D135" t="inlineStr">
        <is>
          <t>女</t>
        </is>
      </c>
      <c r="E135" t="inlineStr">
        <is>
          <t>634273556</t>
        </is>
      </c>
      <c r="F135" t="inlineStr">
        <is>
          <t>Jenny在法国</t>
        </is>
      </c>
      <c r="G135" t="inlineStr">
        <is>
          <t>法国</t>
        </is>
      </c>
      <c r="H135" t="inlineStr">
        <is>
          <t>留学背景, 海外华人, 学生</t>
        </is>
      </c>
      <c r="I135" t="inlineStr">
        <is>
          <t>教育</t>
        </is>
      </c>
      <c r="J135">
        <v>30151</v>
      </c>
      <c r="K135" t="inlineStr">
        <is>
          <t>3.0</t>
        </is>
      </c>
      <c r="L135">
        <v>6899</v>
      </c>
      <c r="M135">
        <v>1514</v>
      </c>
      <c r="N135">
        <v>191</v>
      </c>
      <c r="O135">
        <v>200</v>
      </c>
      <c r="P135">
        <v>0</v>
      </c>
      <c r="Q135">
        <v>0.332999999999999</v>
      </c>
      <c r="R135">
        <v>9534</v>
      </c>
      <c r="S135">
        <v>747</v>
      </c>
      <c r="T135">
        <v>172</v>
      </c>
      <c r="U135">
        <v>0.8</v>
      </c>
      <c r="V135">
        <v>200</v>
      </c>
      <c r="W135">
        <v>0</v>
      </c>
      <c r="X135">
        <v>0</v>
      </c>
      <c r="Y135">
        <v>38.13</v>
      </c>
      <c r="Z135">
        <v>2.17</v>
      </c>
      <c r="AA135">
        <v>6458</v>
      </c>
      <c r="AB135">
        <v>1689</v>
      </c>
      <c r="AC135">
        <v>188</v>
      </c>
      <c r="AD135">
        <v>2.09</v>
      </c>
      <c r="AE135">
        <v>999</v>
      </c>
      <c r="AF135">
        <v>0.4</v>
      </c>
      <c r="AG135">
        <v>0</v>
      </c>
      <c r="AH135">
        <v>0.11</v>
      </c>
      <c r="AI135">
        <v>154.69</v>
      </c>
      <c r="AJ135">
        <v>4.97</v>
      </c>
      <c r="AK135">
        <v>957</v>
      </c>
      <c r="AL135">
        <v>46</v>
      </c>
      <c r="AM135">
        <v>2</v>
      </c>
      <c r="AN135">
        <v>0</v>
      </c>
      <c r="AO135">
        <v>0</v>
      </c>
      <c r="AP135">
        <v>0.863</v>
      </c>
      <c r="AQ135">
        <v>0.019</v>
      </c>
      <c r="AR135">
        <v>0.004</v>
      </c>
      <c r="AS135" s="3">
        <v>46107.76658564815</v>
      </c>
    </row>
    <row r="136" ht="25.5" customHeight="1">
      <c r="A136" t="inlineStr">
        <is>
          <t>5bdc48c7f38015000128d5c6</t>
        </is>
      </c>
      <c r="B136" s="2" t="str">
        <f>=HYPERLINK("https://www.xiaohongshu.com/user/profile/5bdc48c7f38015000128d5c6", "https://www.xiaohongshu.com/user/profile/5bdc48c7f38015000128d5c6")</f>
        <v>https://www.xiaohongshu.com/user/profile/5bdc48c7f38015000128d5c6</v>
      </c>
      <c r="C136" s="2" t="str">
        <f>=HYPERLINK("https://pgy.xiaohongshu.com/solar/pre-trade/blogger-detail/5bdc48c7f38015000128d5c6", "https://pgy.xiaohongshu.com/solar/pre-trade/blogger-detail/5bdc48c7f38015000128d5c6")</f>
        <v>https://pgy.xiaohongshu.com/solar/pre-trade/blogger-detail/5bdc48c7f38015000128d5c6</v>
      </c>
      <c r="D136" t="inlineStr">
        <is>
          <t>男</t>
        </is>
      </c>
      <c r="E136" t="inlineStr">
        <is>
          <t>293072057</t>
        </is>
      </c>
      <c r="F136" t="inlineStr">
        <is>
          <t>哇哩哇塞姐</t>
        </is>
      </c>
      <c r="G136" t="inlineStr">
        <is>
          <t>上海</t>
        </is>
      </c>
      <c r="H136"/>
      <c r="I136" t="inlineStr">
        <is>
          <t>兴趣爱好, 教育</t>
        </is>
      </c>
      <c r="J136">
        <v>5183</v>
      </c>
      <c r="K136" t="inlineStr">
        <is>
          <t>0.5</t>
        </is>
      </c>
      <c r="L136">
        <v>8666</v>
      </c>
      <c r="M136">
        <v>1741</v>
      </c>
      <c r="N136">
        <v>113</v>
      </c>
      <c r="O136">
        <v>420</v>
      </c>
      <c r="P136">
        <v>0</v>
      </c>
      <c r="Q136">
        <v>0.4</v>
      </c>
      <c r="R136">
        <v>8525</v>
      </c>
      <c r="S136">
        <v>1741</v>
      </c>
      <c r="T136">
        <v>108</v>
      </c>
      <c r="U136">
        <v>0.54</v>
      </c>
      <c r="V136">
        <v>420</v>
      </c>
      <c r="W136">
        <v>0</v>
      </c>
      <c r="X136">
        <v>0</v>
      </c>
      <c r="Y136">
        <v>49.27</v>
      </c>
      <c r="Z136">
        <v>3.72</v>
      </c>
      <c r="AA136">
        <v>10291</v>
      </c>
      <c r="AB136">
        <v>1920</v>
      </c>
      <c r="AC136">
        <v>147</v>
      </c>
      <c r="AD136">
        <v>2.18</v>
      </c>
      <c r="AE136">
        <v>420</v>
      </c>
      <c r="AF136">
        <v>0.5</v>
      </c>
      <c r="AG136">
        <v>0</v>
      </c>
      <c r="AH136">
        <v>0.100999999999999</v>
      </c>
      <c r="AI136">
        <v>124.02</v>
      </c>
      <c r="AJ136">
        <v>6.32</v>
      </c>
      <c r="AK136">
        <v>3094</v>
      </c>
      <c r="AL136">
        <v>537</v>
      </c>
      <c r="AM136">
        <v>50</v>
      </c>
      <c r="AN136">
        <v>0</v>
      </c>
      <c r="AO136">
        <v>0</v>
      </c>
      <c r="AP136">
        <v>0.883</v>
      </c>
      <c r="AQ136">
        <v>0.032</v>
      </c>
      <c r="AR136">
        <v>0.018</v>
      </c>
      <c r="AS136" s="3">
        <v>46107.76658564815</v>
      </c>
    </row>
    <row r="137" ht="25.5" customHeight="1">
      <c r="A137" t="inlineStr">
        <is>
          <t>63023da7000000001200c940</t>
        </is>
      </c>
      <c r="B137" s="2" t="str">
        <f>=HYPERLINK("https://www.xiaohongshu.com/user/profile/63023da7000000001200c940", "https://www.xiaohongshu.com/user/profile/63023da7000000001200c940")</f>
        <v>https://www.xiaohongshu.com/user/profile/63023da7000000001200c940</v>
      </c>
      <c r="C137" s="2" t="str">
        <f>=HYPERLINK("https://pgy.xiaohongshu.com/solar/pre-trade/blogger-detail/63023da7000000001200c940", "https://pgy.xiaohongshu.com/solar/pre-trade/blogger-detail/63023da7000000001200c940")</f>
        <v>https://pgy.xiaohongshu.com/solar/pre-trade/blogger-detail/63023da7000000001200c940</v>
      </c>
      <c r="D137" t="inlineStr">
        <is>
          <t>女</t>
        </is>
      </c>
      <c r="E137" t="inlineStr">
        <is>
          <t>5363527129</t>
        </is>
      </c>
      <c r="F137" t="inlineStr">
        <is>
          <t>草莓雪饼</t>
        </is>
      </c>
      <c r="G137" t="inlineStr">
        <is>
          <t>江苏 苏州 苏州工业园区</t>
        </is>
      </c>
      <c r="H137" t="inlineStr">
        <is>
          <t>考研过来人, 学生, 留学背景, 铲屎官</t>
        </is>
      </c>
      <c r="I137" t="inlineStr">
        <is>
          <t>职场</t>
        </is>
      </c>
      <c r="J137">
        <v>2746</v>
      </c>
      <c r="K137" t="inlineStr">
        <is>
          <t>0.3</t>
        </is>
      </c>
      <c r="L137">
        <v>6095</v>
      </c>
      <c r="M137">
        <v>1035</v>
      </c>
      <c r="N137">
        <v>101</v>
      </c>
      <c r="O137">
        <v>400</v>
      </c>
      <c r="P137">
        <v>0</v>
      </c>
      <c r="Q137">
        <v>0</v>
      </c>
      <c r="R137">
        <v>6095</v>
      </c>
      <c r="S137">
        <v>1035</v>
      </c>
      <c r="T137">
        <v>86</v>
      </c>
      <c r="U137">
        <v>0.69</v>
      </c>
      <c r="V137">
        <v>400</v>
      </c>
      <c r="W137">
        <v>0</v>
      </c>
      <c r="X137">
        <v>0</v>
      </c>
      <c r="Y137">
        <v>72.76</v>
      </c>
      <c r="Z137">
        <v>4.08</v>
      </c>
      <c r="AA137">
        <v>0</v>
      </c>
      <c r="AB137">
        <v>0</v>
      </c>
      <c r="AC137">
        <v>0</v>
      </c>
      <c r="AD137">
        <v>1.68</v>
      </c>
      <c r="AE137">
        <v>600</v>
      </c>
      <c r="AF137">
        <v>0</v>
      </c>
      <c r="AG137">
        <v>0</v>
      </c>
      <c r="AH137">
        <v>0</v>
      </c>
      <c r="AI137">
        <v>28.7</v>
      </c>
      <c r="AJ137">
        <v>3.02</v>
      </c>
      <c r="AK137">
        <v>17804</v>
      </c>
      <c r="AL137">
        <v>1292</v>
      </c>
      <c r="AM137">
        <v>90</v>
      </c>
      <c r="AN137">
        <v>0</v>
      </c>
      <c r="AO137">
        <v>0</v>
      </c>
      <c r="AP137">
        <v>0.95</v>
      </c>
      <c r="AQ137">
        <v>0.115</v>
      </c>
      <c r="AR137">
        <v>0.236</v>
      </c>
      <c r="AS137" s="3">
        <v>46107.76658564815</v>
      </c>
    </row>
    <row r="138" ht="25.5" customHeight="1">
      <c r="A138" t="inlineStr">
        <is>
          <t>66de2721000000001d033729</t>
        </is>
      </c>
      <c r="B138" s="2" t="str">
        <f>=HYPERLINK("https://www.xiaohongshu.com/user/profile/66de2721000000001d033729", "https://www.xiaohongshu.com/user/profile/66de2721000000001d033729")</f>
        <v>https://www.xiaohongshu.com/user/profile/66de2721000000001d033729</v>
      </c>
      <c r="C138" s="2" t="str">
        <f>=HYPERLINK("https://pgy.xiaohongshu.com/solar/pre-trade/blogger-detail/66de2721000000001d033729", "https://pgy.xiaohongshu.com/solar/pre-trade/blogger-detail/66de2721000000001d033729")</f>
        <v>https://pgy.xiaohongshu.com/solar/pre-trade/blogger-detail/66de2721000000001d033729</v>
      </c>
      <c r="D138" t="inlineStr">
        <is>
          <t>女</t>
        </is>
      </c>
      <c r="E138" t="inlineStr">
        <is>
          <t>95491753386</t>
        </is>
      </c>
      <c r="F138" t="inlineStr">
        <is>
          <t>卡妮安awa</t>
        </is>
      </c>
      <c r="G138" t="inlineStr">
        <is>
          <t>浙江 杭州 西湖区</t>
        </is>
      </c>
      <c r="H138"/>
      <c r="I138" t="inlineStr">
        <is>
          <t>教育</t>
        </is>
      </c>
      <c r="J138">
        <v>225572</v>
      </c>
      <c r="K138" t="inlineStr">
        <is>
          <t>22.6</t>
        </is>
      </c>
      <c r="L138">
        <v>129876</v>
      </c>
      <c r="M138">
        <v>43341</v>
      </c>
      <c r="N138">
        <v>6864</v>
      </c>
      <c r="O138">
        <v>7028</v>
      </c>
      <c r="P138">
        <v>0.833</v>
      </c>
      <c r="Q138">
        <v>1</v>
      </c>
      <c r="R138">
        <v>0</v>
      </c>
      <c r="S138">
        <v>0</v>
      </c>
      <c r="T138">
        <v>0</v>
      </c>
      <c r="U138">
        <v>0</v>
      </c>
      <c r="V138">
        <v>7028</v>
      </c>
      <c r="W138">
        <v>0</v>
      </c>
      <c r="X138">
        <v>0</v>
      </c>
      <c r="Y138">
        <v>0</v>
      </c>
      <c r="Z138">
        <v>0</v>
      </c>
      <c r="AA138">
        <v>129876</v>
      </c>
      <c r="AB138">
        <v>43341</v>
      </c>
      <c r="AC138">
        <v>6026</v>
      </c>
      <c r="AD138">
        <v>1.93</v>
      </c>
      <c r="AE138">
        <v>18457</v>
      </c>
      <c r="AF138">
        <v>1</v>
      </c>
      <c r="AG138">
        <v>0.833</v>
      </c>
      <c r="AH138">
        <v>0.017</v>
      </c>
      <c r="AI138">
        <v>142.11</v>
      </c>
      <c r="AJ138">
        <v>2.69</v>
      </c>
      <c r="AK138">
        <v>1289608</v>
      </c>
      <c r="AL138">
        <v>266598</v>
      </c>
      <c r="AM138">
        <v>14108</v>
      </c>
      <c r="AN138">
        <v>8</v>
      </c>
      <c r="AO138">
        <v>8715.68</v>
      </c>
      <c r="AP138">
        <v>0.895</v>
      </c>
      <c r="AQ138">
        <v>0.13</v>
      </c>
      <c r="AR138">
        <v>0.13</v>
      </c>
      <c r="AS138" s="3">
        <v>46107.76658564815</v>
      </c>
    </row>
    <row r="139" ht="25.5" customHeight="1">
      <c r="A139" t="inlineStr">
        <is>
          <t>6538ba31000000000400aaba</t>
        </is>
      </c>
      <c r="B139" s="2" t="str">
        <f>=HYPERLINK("https://www.xiaohongshu.com/user/profile/6538ba31000000000400aaba", "https://www.xiaohongshu.com/user/profile/6538ba31000000000400aaba")</f>
        <v>https://www.xiaohongshu.com/user/profile/6538ba31000000000400aaba</v>
      </c>
      <c r="C139" s="2" t="str">
        <f>=HYPERLINK("https://pgy.xiaohongshu.com/solar/pre-trade/blogger-detail/6538ba31000000000400aaba", "https://pgy.xiaohongshu.com/solar/pre-trade/blogger-detail/6538ba31000000000400aaba")</f>
        <v>https://pgy.xiaohongshu.com/solar/pre-trade/blogger-detail/6538ba31000000000400aaba</v>
      </c>
      <c r="D139" t="inlineStr">
        <is>
          <t>女</t>
        </is>
      </c>
      <c r="E139" t="inlineStr">
        <is>
          <t>threebears23</t>
        </is>
      </c>
      <c r="F139" t="inlineStr">
        <is>
          <t>threebears</t>
        </is>
      </c>
      <c r="G139" t="inlineStr">
        <is>
          <t>北京</t>
        </is>
      </c>
      <c r="H139" t="inlineStr">
        <is>
          <t>学生</t>
        </is>
      </c>
      <c r="I139" t="inlineStr">
        <is>
          <t>教育</t>
        </is>
      </c>
      <c r="J139">
        <v>19223</v>
      </c>
      <c r="K139" t="inlineStr">
        <is>
          <t>1.9</t>
        </is>
      </c>
      <c r="L139">
        <v>15509</v>
      </c>
      <c r="M139">
        <v>2642</v>
      </c>
      <c r="N139">
        <v>239</v>
      </c>
      <c r="O139">
        <v>800</v>
      </c>
      <c r="P139">
        <v>0</v>
      </c>
      <c r="Q139">
        <v>1</v>
      </c>
      <c r="R139">
        <v>16537</v>
      </c>
      <c r="S139">
        <v>2839</v>
      </c>
      <c r="T139">
        <v>237</v>
      </c>
      <c r="U139">
        <v>0.56</v>
      </c>
      <c r="V139">
        <v>800</v>
      </c>
      <c r="W139">
        <v>1</v>
      </c>
      <c r="X139">
        <v>0</v>
      </c>
      <c r="Y139">
        <v>51.58</v>
      </c>
      <c r="Z139">
        <v>3.35</v>
      </c>
      <c r="AA139">
        <v>10694</v>
      </c>
      <c r="AB139">
        <v>1803</v>
      </c>
      <c r="AC139">
        <v>146</v>
      </c>
      <c r="AD139">
        <v>2.05</v>
      </c>
      <c r="AE139">
        <v>1000</v>
      </c>
      <c r="AF139">
        <v>1</v>
      </c>
      <c r="AG139">
        <v>0</v>
      </c>
      <c r="AH139">
        <v>0.072</v>
      </c>
      <c r="AI139">
        <v>93.51</v>
      </c>
      <c r="AJ139">
        <v>6.54</v>
      </c>
      <c r="AK139">
        <v>47683</v>
      </c>
      <c r="AL139">
        <v>7110</v>
      </c>
      <c r="AM139">
        <v>232</v>
      </c>
      <c r="AN139">
        <v>16</v>
      </c>
      <c r="AO139">
        <v>17.37</v>
      </c>
      <c r="AP139">
        <v>0.868</v>
      </c>
      <c r="AQ139">
        <v>0.047</v>
      </c>
      <c r="AR139">
        <v>0.011</v>
      </c>
      <c r="AS139" s="3">
        <v>46107.76658564815</v>
      </c>
    </row>
    <row r="140" ht="25.5" customHeight="1">
      <c r="A140" t="inlineStr">
        <is>
          <t>629b563f0000000019028a28</t>
        </is>
      </c>
      <c r="B140" s="2" t="str">
        <f>=HYPERLINK("https://www.xiaohongshu.com/user/profile/629b563f0000000019028a28", "https://www.xiaohongshu.com/user/profile/629b563f0000000019028a28")</f>
        <v>https://www.xiaohongshu.com/user/profile/629b563f0000000019028a28</v>
      </c>
      <c r="C140" s="2" t="str">
        <f>=HYPERLINK("https://pgy.xiaohongshu.com/solar/pre-trade/blogger-detail/629b563f0000000019028a28", "https://pgy.xiaohongshu.com/solar/pre-trade/blogger-detail/629b563f0000000019028a28")</f>
        <v>https://pgy.xiaohongshu.com/solar/pre-trade/blogger-detail/629b563f0000000019028a28</v>
      </c>
      <c r="D140" t="inlineStr">
        <is>
          <t>女</t>
        </is>
      </c>
      <c r="E140" t="inlineStr">
        <is>
          <t>5473470352</t>
        </is>
      </c>
      <c r="F140" t="inlineStr">
        <is>
          <t>aoo小角落</t>
        </is>
      </c>
      <c r="G140" t="inlineStr">
        <is>
          <t>湖南 郴州 北湖区</t>
        </is>
      </c>
      <c r="H140" t="inlineStr">
        <is>
          <t>学生</t>
        </is>
      </c>
      <c r="I140" t="inlineStr">
        <is>
          <t>教育</t>
        </is>
      </c>
      <c r="J140">
        <v>6006</v>
      </c>
      <c r="K140" t="inlineStr">
        <is>
          <t>0.6</t>
        </is>
      </c>
      <c r="L140">
        <v>2677</v>
      </c>
      <c r="M140">
        <v>597</v>
      </c>
      <c r="N140">
        <v>217</v>
      </c>
      <c r="O140">
        <v>590</v>
      </c>
      <c r="P140">
        <v>0</v>
      </c>
      <c r="Q140">
        <v>0.864</v>
      </c>
      <c r="R140">
        <v>0</v>
      </c>
      <c r="S140">
        <v>0</v>
      </c>
      <c r="T140">
        <v>0</v>
      </c>
      <c r="U140">
        <v>0</v>
      </c>
      <c r="V140">
        <v>590</v>
      </c>
      <c r="W140">
        <v>0</v>
      </c>
      <c r="X140">
        <v>0</v>
      </c>
      <c r="Y140">
        <v>0</v>
      </c>
      <c r="Z140">
        <v>0</v>
      </c>
      <c r="AA140">
        <v>2677</v>
      </c>
      <c r="AB140">
        <v>597</v>
      </c>
      <c r="AC140">
        <v>206</v>
      </c>
      <c r="AD140">
        <v>2.44</v>
      </c>
      <c r="AE140">
        <v>610</v>
      </c>
      <c r="AF140">
        <v>0.864</v>
      </c>
      <c r="AG140">
        <v>0</v>
      </c>
      <c r="AH140">
        <v>0.086</v>
      </c>
      <c r="AI140">
        <v>219.98</v>
      </c>
      <c r="AJ140">
        <v>2.74</v>
      </c>
      <c r="AK140">
        <v>12232</v>
      </c>
      <c r="AL140">
        <v>1588</v>
      </c>
      <c r="AM140">
        <v>341</v>
      </c>
      <c r="AN140">
        <v>0</v>
      </c>
      <c r="AO140">
        <v>43.47</v>
      </c>
      <c r="AP140">
        <v>0.836</v>
      </c>
      <c r="AQ140">
        <v>0.074</v>
      </c>
      <c r="AR140">
        <v>0.047</v>
      </c>
      <c r="AS140" s="3">
        <v>46107.76658564815</v>
      </c>
    </row>
    <row r="141" ht="25.5" customHeight="1">
      <c r="A141" t="inlineStr">
        <is>
          <t>618f944a0000000010009e10</t>
        </is>
      </c>
      <c r="B141" s="2" t="str">
        <f>=HYPERLINK("https://www.xiaohongshu.com/user/profile/618f944a0000000010009e10", "https://www.xiaohongshu.com/user/profile/618f944a0000000010009e10")</f>
        <v>https://www.xiaohongshu.com/user/profile/618f944a0000000010009e10</v>
      </c>
      <c r="C141" s="2" t="str">
        <f>=HYPERLINK("https://pgy.xiaohongshu.com/solar/pre-trade/blogger-detail/618f944a0000000010009e10", "https://pgy.xiaohongshu.com/solar/pre-trade/blogger-detail/618f944a0000000010009e10")</f>
        <v>https://pgy.xiaohongshu.com/solar/pre-trade/blogger-detail/618f944a0000000010009e10</v>
      </c>
      <c r="D141" t="inlineStr">
        <is>
          <t>男</t>
        </is>
      </c>
      <c r="E141" t="inlineStr">
        <is>
          <t>1176173537</t>
        </is>
      </c>
      <c r="F141" t="inlineStr">
        <is>
          <t>史提芬Fun</t>
        </is>
      </c>
      <c r="G141" t="inlineStr">
        <is>
          <t>广东 广州 番禺区</t>
        </is>
      </c>
      <c r="H141"/>
      <c r="I141" t="inlineStr">
        <is>
          <t>教育</t>
        </is>
      </c>
      <c r="J141">
        <v>12975</v>
      </c>
      <c r="K141" t="inlineStr">
        <is>
          <t>1.3</t>
        </is>
      </c>
      <c r="L141">
        <v>6732</v>
      </c>
      <c r="M141">
        <v>3990</v>
      </c>
      <c r="N141">
        <v>314</v>
      </c>
      <c r="O141">
        <v>350</v>
      </c>
      <c r="P141">
        <v>0</v>
      </c>
      <c r="Q141">
        <v>0.957</v>
      </c>
      <c r="R141">
        <v>0</v>
      </c>
      <c r="S141">
        <v>0</v>
      </c>
      <c r="T141">
        <v>0</v>
      </c>
      <c r="U141">
        <v>0</v>
      </c>
      <c r="V141">
        <v>350</v>
      </c>
      <c r="W141">
        <v>0</v>
      </c>
      <c r="X141">
        <v>0</v>
      </c>
      <c r="Y141">
        <v>0</v>
      </c>
      <c r="Z141">
        <v>0</v>
      </c>
      <c r="AA141">
        <v>6732</v>
      </c>
      <c r="AB141">
        <v>3990</v>
      </c>
      <c r="AC141">
        <v>255</v>
      </c>
      <c r="AD141">
        <v>1.73</v>
      </c>
      <c r="AE141">
        <v>900</v>
      </c>
      <c r="AF141">
        <v>0.957</v>
      </c>
      <c r="AG141">
        <v>0</v>
      </c>
      <c r="AH141">
        <v>0.482</v>
      </c>
      <c r="AI141">
        <v>134.21</v>
      </c>
      <c r="AJ141">
        <v>2.93</v>
      </c>
      <c r="AK141">
        <v>5928</v>
      </c>
      <c r="AL141">
        <v>1493</v>
      </c>
      <c r="AM141">
        <v>134</v>
      </c>
      <c r="AN141">
        <v>0</v>
      </c>
      <c r="AO141">
        <v>0</v>
      </c>
      <c r="AP141">
        <v>0.944</v>
      </c>
      <c r="AQ141">
        <v>0.100999999999999</v>
      </c>
      <c r="AR141">
        <v>0.004</v>
      </c>
      <c r="AS141" s="3">
        <v>46107.76658564815</v>
      </c>
    </row>
    <row r="142" ht="25.5" customHeight="1">
      <c r="A142" t="inlineStr">
        <is>
          <t>6896c48b000000002801f26b</t>
        </is>
      </c>
      <c r="B142" s="2" t="str">
        <f>=HYPERLINK("https://www.xiaohongshu.com/user/profile/6896c48b000000002801f26b", "https://www.xiaohongshu.com/user/profile/6896c48b000000002801f26b")</f>
        <v>https://www.xiaohongshu.com/user/profile/6896c48b000000002801f26b</v>
      </c>
      <c r="C142" s="2" t="str">
        <f>=HYPERLINK("https://pgy.xiaohongshu.com/solar/pre-trade/blogger-detail/6896c48b000000002801f26b", "https://pgy.xiaohongshu.com/solar/pre-trade/blogger-detail/6896c48b000000002801f26b")</f>
        <v>https://pgy.xiaohongshu.com/solar/pre-trade/blogger-detail/6896c48b000000002801f26b</v>
      </c>
      <c r="D142" t="inlineStr">
        <is>
          <t>女</t>
        </is>
      </c>
      <c r="E142" t="inlineStr">
        <is>
          <t>49740422768</t>
        </is>
      </c>
      <c r="F142" t="inlineStr">
        <is>
          <t>Umi虞虞</t>
        </is>
      </c>
      <c r="G142" t="inlineStr">
        <is>
          <t>四川 成都 龙泉驿区</t>
        </is>
      </c>
      <c r="H142"/>
      <c r="I142" t="inlineStr">
        <is>
          <t>教育</t>
        </is>
      </c>
      <c r="J142">
        <v>31136</v>
      </c>
      <c r="K142" t="inlineStr">
        <is>
          <t>3.1</t>
        </is>
      </c>
      <c r="L142">
        <v>18271</v>
      </c>
      <c r="M142">
        <v>5974</v>
      </c>
      <c r="N142">
        <v>584</v>
      </c>
      <c r="O142">
        <v>270</v>
      </c>
      <c r="P142">
        <v>0.166999999999999</v>
      </c>
      <c r="Q142">
        <v>0.833</v>
      </c>
      <c r="R142">
        <v>2109</v>
      </c>
      <c r="S142">
        <v>376</v>
      </c>
      <c r="T142">
        <v>30</v>
      </c>
      <c r="U142">
        <v>1.02</v>
      </c>
      <c r="V142">
        <v>270</v>
      </c>
      <c r="W142">
        <v>0</v>
      </c>
      <c r="X142">
        <v>0</v>
      </c>
      <c r="Y142">
        <v>128.02</v>
      </c>
      <c r="Z142">
        <v>9</v>
      </c>
      <c r="AA142">
        <v>20750</v>
      </c>
      <c r="AB142">
        <v>6361</v>
      </c>
      <c r="AC142">
        <v>561</v>
      </c>
      <c r="AD142">
        <v>1.81</v>
      </c>
      <c r="AE142">
        <v>2000</v>
      </c>
      <c r="AF142">
        <v>1</v>
      </c>
      <c r="AG142">
        <v>0.2</v>
      </c>
      <c r="AH142">
        <v>0.151</v>
      </c>
      <c r="AI142">
        <v>96.39</v>
      </c>
      <c r="AJ142">
        <v>3.36</v>
      </c>
      <c r="AK142">
        <v>0</v>
      </c>
      <c r="AL142">
        <v>0</v>
      </c>
      <c r="AM142">
        <v>0</v>
      </c>
      <c r="AN142">
        <v>0</v>
      </c>
      <c r="AO142">
        <v>0</v>
      </c>
      <c r="AP142">
        <v>0.969</v>
      </c>
      <c r="AQ142">
        <v>0.154</v>
      </c>
      <c r="AR142">
        <v>0.106</v>
      </c>
      <c r="AS142" s="3">
        <v>46107.76681712963</v>
      </c>
    </row>
    <row r="143" ht="25.5" customHeight="1">
      <c r="A143" t="inlineStr">
        <is>
          <t>5cea0c2a000000001003a8d0</t>
        </is>
      </c>
      <c r="B143" s="2" t="str">
        <f>=HYPERLINK("https://www.xiaohongshu.com/user/profile/5cea0c2a000000001003a8d0", "https://www.xiaohongshu.com/user/profile/5cea0c2a000000001003a8d0")</f>
        <v>https://www.xiaohongshu.com/user/profile/5cea0c2a000000001003a8d0</v>
      </c>
      <c r="C143" s="2" t="str">
        <f>=HYPERLINK("https://pgy.xiaohongshu.com/solar/pre-trade/blogger-detail/5cea0c2a000000001003a8d0", "https://pgy.xiaohongshu.com/solar/pre-trade/blogger-detail/5cea0c2a000000001003a8d0")</f>
        <v>https://pgy.xiaohongshu.com/solar/pre-trade/blogger-detail/5cea0c2a000000001003a8d0</v>
      </c>
      <c r="D143" t="inlineStr">
        <is>
          <t>女</t>
        </is>
      </c>
      <c r="E143" t="inlineStr">
        <is>
          <t>273964066A</t>
        </is>
      </c>
      <c r="F143" t="inlineStr">
        <is>
          <t>小贝学姐</t>
        </is>
      </c>
      <c r="G143" t="inlineStr">
        <is>
          <t>美国</t>
        </is>
      </c>
      <c r="H143" t="inlineStr">
        <is>
          <t>妈妈, 留学背景, 海外华人, 3-6岁</t>
        </is>
      </c>
      <c r="I143" t="inlineStr">
        <is>
          <t>教育</t>
        </is>
      </c>
      <c r="J143">
        <v>53945</v>
      </c>
      <c r="K143" t="inlineStr">
        <is>
          <t>5.4</t>
        </is>
      </c>
      <c r="L143">
        <v>18592</v>
      </c>
      <c r="M143">
        <v>5537</v>
      </c>
      <c r="N143">
        <v>423</v>
      </c>
      <c r="O143">
        <v>2000</v>
      </c>
      <c r="P143">
        <v>0.071</v>
      </c>
      <c r="Q143">
        <v>0.643</v>
      </c>
      <c r="R143">
        <v>11731</v>
      </c>
      <c r="S143">
        <v>2395</v>
      </c>
      <c r="T143">
        <v>64</v>
      </c>
      <c r="U143">
        <v>1.14</v>
      </c>
      <c r="V143">
        <v>2000</v>
      </c>
      <c r="W143">
        <v>0</v>
      </c>
      <c r="X143">
        <v>0</v>
      </c>
      <c r="Y143">
        <v>170.49</v>
      </c>
      <c r="Z143">
        <v>30.77</v>
      </c>
      <c r="AA143">
        <v>20016</v>
      </c>
      <c r="AB143">
        <v>6134</v>
      </c>
      <c r="AC143">
        <v>382</v>
      </c>
      <c r="AD143">
        <v>2.32</v>
      </c>
      <c r="AE143">
        <v>5000</v>
      </c>
      <c r="AF143">
        <v>0.692</v>
      </c>
      <c r="AG143">
        <v>0.077</v>
      </c>
      <c r="AH143">
        <v>0.057</v>
      </c>
      <c r="AI143">
        <v>249.8</v>
      </c>
      <c r="AJ143">
        <v>11.68</v>
      </c>
      <c r="AK143">
        <v>72292</v>
      </c>
      <c r="AL143">
        <v>8440</v>
      </c>
      <c r="AM143">
        <v>211</v>
      </c>
      <c r="AN143">
        <v>0</v>
      </c>
      <c r="AO143">
        <v>0</v>
      </c>
      <c r="AP143">
        <v>0.912999999999999</v>
      </c>
      <c r="AQ143">
        <v>0.069</v>
      </c>
      <c r="AR143">
        <v>0.032</v>
      </c>
      <c r="AS143" s="3">
        <v>46107.76681712963</v>
      </c>
    </row>
    <row r="144" ht="25.5" customHeight="1">
      <c r="A144" t="inlineStr">
        <is>
          <t>67e3aefa000000000d008d1b</t>
        </is>
      </c>
      <c r="B144" s="2" t="str">
        <f>=HYPERLINK("https://www.xiaohongshu.com/user/profile/67e3aefa000000000d008d1b", "https://www.xiaohongshu.com/user/profile/67e3aefa000000000d008d1b")</f>
        <v>https://www.xiaohongshu.com/user/profile/67e3aefa000000000d008d1b</v>
      </c>
      <c r="C144" s="2" t="str">
        <f>=HYPERLINK("https://pgy.xiaohongshu.com/solar/pre-trade/blogger-detail/67e3aefa000000000d008d1b", "https://pgy.xiaohongshu.com/solar/pre-trade/blogger-detail/67e3aefa000000000d008d1b")</f>
        <v>https://pgy.xiaohongshu.com/solar/pre-trade/blogger-detail/67e3aefa000000000d008d1b</v>
      </c>
      <c r="D144" t="inlineStr">
        <is>
          <t>女</t>
        </is>
      </c>
      <c r="E144" t="inlineStr">
        <is>
          <t>94192242191</t>
        </is>
      </c>
      <c r="F144" t="inlineStr">
        <is>
          <t>小乃</t>
        </is>
      </c>
      <c r="G144" t="inlineStr">
        <is>
          <t>日本</t>
        </is>
      </c>
      <c r="H144"/>
      <c r="I144" t="inlineStr">
        <is>
          <t>教育, 生活记录</t>
        </is>
      </c>
      <c r="J144">
        <v>37909</v>
      </c>
      <c r="K144" t="inlineStr">
        <is>
          <t>3.8</t>
        </is>
      </c>
      <c r="L144">
        <v>440181</v>
      </c>
      <c r="M144">
        <v>54702</v>
      </c>
      <c r="N144">
        <v>6637</v>
      </c>
      <c r="O144">
        <v>1000</v>
      </c>
      <c r="P144">
        <v>1</v>
      </c>
      <c r="Q144">
        <v>1</v>
      </c>
      <c r="R144">
        <v>0</v>
      </c>
      <c r="S144">
        <v>0</v>
      </c>
      <c r="T144">
        <v>0</v>
      </c>
      <c r="U144">
        <v>0</v>
      </c>
      <c r="V144">
        <v>1000</v>
      </c>
      <c r="W144">
        <v>0</v>
      </c>
      <c r="X144">
        <v>0</v>
      </c>
      <c r="Y144">
        <v>0</v>
      </c>
      <c r="Z144">
        <v>0</v>
      </c>
      <c r="AA144">
        <v>440181</v>
      </c>
      <c r="AB144">
        <v>54702</v>
      </c>
      <c r="AC144">
        <v>5263</v>
      </c>
      <c r="AD144">
        <v>1.56</v>
      </c>
      <c r="AE144">
        <v>3303</v>
      </c>
      <c r="AF144">
        <v>1</v>
      </c>
      <c r="AG144">
        <v>1</v>
      </c>
      <c r="AH144">
        <v>0.078</v>
      </c>
      <c r="AI144">
        <v>7.5</v>
      </c>
      <c r="AJ144">
        <v>0.5</v>
      </c>
      <c r="AK144">
        <v>0</v>
      </c>
      <c r="AL144">
        <v>0</v>
      </c>
      <c r="AM144">
        <v>0</v>
      </c>
      <c r="AN144">
        <v>0</v>
      </c>
      <c r="AO144">
        <v>0</v>
      </c>
      <c r="AP144">
        <v>0.905999999999999</v>
      </c>
      <c r="AQ144">
        <v>0.062</v>
      </c>
      <c r="AR144">
        <v>0.047</v>
      </c>
      <c r="AS144" s="3">
        <v>46107.76681712963</v>
      </c>
    </row>
    <row r="145" ht="25.5" customHeight="1">
      <c r="A145" t="inlineStr">
        <is>
          <t>5f1197ff000000000100600f</t>
        </is>
      </c>
      <c r="B145" s="2" t="str">
        <f>=HYPERLINK("https://www.xiaohongshu.com/user/profile/5f1197ff000000000100600f", "https://www.xiaohongshu.com/user/profile/5f1197ff000000000100600f")</f>
        <v>https://www.xiaohongshu.com/user/profile/5f1197ff000000000100600f</v>
      </c>
      <c r="C145" s="2" t="str">
        <f>=HYPERLINK("https://pgy.xiaohongshu.com/solar/pre-trade/blogger-detail/5f1197ff000000000100600f", "https://pgy.xiaohongshu.com/solar/pre-trade/blogger-detail/5f1197ff000000000100600f")</f>
        <v>https://pgy.xiaohongshu.com/solar/pre-trade/blogger-detail/5f1197ff000000000100600f</v>
      </c>
      <c r="D145" t="inlineStr">
        <is>
          <t>女</t>
        </is>
      </c>
      <c r="E145" t="inlineStr">
        <is>
          <t>Stephasong</t>
        </is>
      </c>
      <c r="F145" t="inlineStr">
        <is>
          <t>怂怂</t>
        </is>
      </c>
      <c r="G145" t="inlineStr">
        <is>
          <t>广东 广州 黄埔区</t>
        </is>
      </c>
      <c r="H145" t="inlineStr">
        <is>
          <t>学生</t>
        </is>
      </c>
      <c r="I145" t="inlineStr">
        <is>
          <t>教育</t>
        </is>
      </c>
      <c r="J145">
        <v>58037</v>
      </c>
      <c r="K145" t="inlineStr">
        <is>
          <t>5.8</t>
        </is>
      </c>
      <c r="L145">
        <v>14544</v>
      </c>
      <c r="M145">
        <v>4572</v>
      </c>
      <c r="N145">
        <v>460</v>
      </c>
      <c r="O145">
        <v>3500</v>
      </c>
      <c r="P145">
        <v>0.133</v>
      </c>
      <c r="Q145">
        <v>0.8</v>
      </c>
      <c r="R145">
        <v>9568</v>
      </c>
      <c r="S145">
        <v>972</v>
      </c>
      <c r="T145">
        <v>79</v>
      </c>
      <c r="U145">
        <v>3.9</v>
      </c>
      <c r="V145">
        <v>3500</v>
      </c>
      <c r="W145">
        <v>0</v>
      </c>
      <c r="X145">
        <v>0</v>
      </c>
      <c r="Y145">
        <v>365.8</v>
      </c>
      <c r="Z145">
        <v>43.75</v>
      </c>
      <c r="AA145">
        <v>19549</v>
      </c>
      <c r="AB145">
        <v>5509</v>
      </c>
      <c r="AC145">
        <v>479</v>
      </c>
      <c r="AD145">
        <v>2.54</v>
      </c>
      <c r="AE145">
        <v>8000</v>
      </c>
      <c r="AF145">
        <v>0.857</v>
      </c>
      <c r="AG145">
        <v>0.143</v>
      </c>
      <c r="AH145">
        <v>0.049</v>
      </c>
      <c r="AI145">
        <v>325.8</v>
      </c>
      <c r="AJ145">
        <v>9.78</v>
      </c>
      <c r="AK145">
        <v>96271</v>
      </c>
      <c r="AL145">
        <v>9008</v>
      </c>
      <c r="AM145">
        <v>913</v>
      </c>
      <c r="AN145">
        <v>0</v>
      </c>
      <c r="AO145">
        <v>3684.93</v>
      </c>
      <c r="AP145">
        <v>0.889</v>
      </c>
      <c r="AQ145">
        <v>0.084</v>
      </c>
      <c r="AR145">
        <v>0.045</v>
      </c>
      <c r="AS145" s="3">
        <v>46107.76681712963</v>
      </c>
    </row>
    <row r="146" ht="25.5" customHeight="1">
      <c r="A146" t="inlineStr">
        <is>
          <t>66d9ae41000000001d033da8</t>
        </is>
      </c>
      <c r="B146" s="2" t="str">
        <f>=HYPERLINK("https://www.xiaohongshu.com/user/profile/66d9ae41000000001d033da8", "https://www.xiaohongshu.com/user/profile/66d9ae41000000001d033da8")</f>
        <v>https://www.xiaohongshu.com/user/profile/66d9ae41000000001d033da8</v>
      </c>
      <c r="C146" s="2" t="str">
        <f>=HYPERLINK("https://pgy.xiaohongshu.com/solar/pre-trade/blogger-detail/66d9ae41000000001d033da8", "https://pgy.xiaohongshu.com/solar/pre-trade/blogger-detail/66d9ae41000000001d033da8")</f>
        <v>https://pgy.xiaohongshu.com/solar/pre-trade/blogger-detail/66d9ae41000000001d033da8</v>
      </c>
      <c r="D146" t="inlineStr">
        <is>
          <t>女</t>
        </is>
      </c>
      <c r="E146" t="inlineStr">
        <is>
          <t>jale020628</t>
        </is>
      </c>
      <c r="F146" t="inlineStr">
        <is>
          <t>一只虫🐛</t>
        </is>
      </c>
      <c r="G146" t="inlineStr">
        <is>
          <t>安徽 合肥 蜀山区</t>
        </is>
      </c>
      <c r="H146" t="inlineStr">
        <is>
          <t>考研过来人, 学生</t>
        </is>
      </c>
      <c r="I146" t="inlineStr">
        <is>
          <t>教育</t>
        </is>
      </c>
      <c r="J146">
        <v>3419</v>
      </c>
      <c r="K146" t="inlineStr">
        <is>
          <t>0.3</t>
        </is>
      </c>
      <c r="L146">
        <v>2610</v>
      </c>
      <c r="M146">
        <v>427</v>
      </c>
      <c r="N146">
        <v>158</v>
      </c>
      <c r="O146">
        <v>350</v>
      </c>
      <c r="P146">
        <v>0</v>
      </c>
      <c r="Q146">
        <v>0.3</v>
      </c>
      <c r="R146">
        <v>2610</v>
      </c>
      <c r="S146">
        <v>427</v>
      </c>
      <c r="T146">
        <v>150</v>
      </c>
      <c r="U146">
        <v>1.15</v>
      </c>
      <c r="V146">
        <v>350</v>
      </c>
      <c r="W146">
        <v>0.3</v>
      </c>
      <c r="X146">
        <v>0</v>
      </c>
      <c r="Y146">
        <v>163.63</v>
      </c>
      <c r="Z146">
        <v>2.45</v>
      </c>
      <c r="AA146">
        <v>0</v>
      </c>
      <c r="AB146">
        <v>0</v>
      </c>
      <c r="AC146">
        <v>0</v>
      </c>
      <c r="AD146">
        <v>0</v>
      </c>
      <c r="AE146">
        <v>500</v>
      </c>
      <c r="AF146">
        <v>0</v>
      </c>
      <c r="AG146">
        <v>0</v>
      </c>
      <c r="AH146">
        <v>0</v>
      </c>
      <c r="AI146">
        <v>0</v>
      </c>
      <c r="AJ146">
        <v>0</v>
      </c>
      <c r="AK146">
        <v>3430</v>
      </c>
      <c r="AL146">
        <v>402</v>
      </c>
      <c r="AM146">
        <v>86</v>
      </c>
      <c r="AN146">
        <v>0</v>
      </c>
      <c r="AO146">
        <v>601.2</v>
      </c>
      <c r="AP146">
        <v>0.864</v>
      </c>
      <c r="AQ146">
        <v>0.092</v>
      </c>
      <c r="AR146">
        <v>0.096</v>
      </c>
      <c r="AS146" s="3">
        <v>46107.76681712963</v>
      </c>
    </row>
    <row r="147" ht="25.5" customHeight="1">
      <c r="A147" t="inlineStr">
        <is>
          <t>63cf88d30000000026012a84</t>
        </is>
      </c>
      <c r="B147" s="2" t="str">
        <f>=HYPERLINK("https://www.xiaohongshu.com/user/profile/63cf88d30000000026012a84", "https://www.xiaohongshu.com/user/profile/63cf88d30000000026012a84")</f>
        <v>https://www.xiaohongshu.com/user/profile/63cf88d30000000026012a84</v>
      </c>
      <c r="C147" s="2" t="str">
        <f>=HYPERLINK("https://pgy.xiaohongshu.com/solar/pre-trade/blogger-detail/63cf88d30000000026012a84", "https://pgy.xiaohongshu.com/solar/pre-trade/blogger-detail/63cf88d30000000026012a84")</f>
        <v>https://pgy.xiaohongshu.com/solar/pre-trade/blogger-detail/63cf88d30000000026012a84</v>
      </c>
      <c r="D147" t="inlineStr">
        <is>
          <t>女</t>
        </is>
      </c>
      <c r="E147" t="inlineStr">
        <is>
          <t>5041283984</t>
        </is>
      </c>
      <c r="F147" t="inlineStr">
        <is>
          <t>学英语的只只呀～</t>
        </is>
      </c>
      <c r="G147" t="inlineStr">
        <is>
          <t>加拿大</t>
        </is>
      </c>
      <c r="H147" t="inlineStr">
        <is>
          <t>留学背景</t>
        </is>
      </c>
      <c r="I147" t="inlineStr">
        <is>
          <t>教育</t>
        </is>
      </c>
      <c r="J147">
        <v>45375</v>
      </c>
      <c r="K147" t="inlineStr">
        <is>
          <t>4.5</t>
        </is>
      </c>
      <c r="L147">
        <v>25958</v>
      </c>
      <c r="M147">
        <v>2056</v>
      </c>
      <c r="N147">
        <v>514</v>
      </c>
      <c r="O147">
        <v>250</v>
      </c>
      <c r="P147">
        <v>0</v>
      </c>
      <c r="Q147">
        <v>0.75</v>
      </c>
      <c r="R147">
        <v>25958</v>
      </c>
      <c r="S147">
        <v>2056</v>
      </c>
      <c r="T147">
        <v>475</v>
      </c>
      <c r="U147">
        <v>0.52</v>
      </c>
      <c r="V147">
        <v>250</v>
      </c>
      <c r="W147">
        <v>0.75</v>
      </c>
      <c r="X147">
        <v>0</v>
      </c>
      <c r="Y147">
        <v>18.99</v>
      </c>
      <c r="Z147">
        <v>0.66</v>
      </c>
      <c r="AA147">
        <v>0</v>
      </c>
      <c r="AB147">
        <v>0</v>
      </c>
      <c r="AC147">
        <v>0</v>
      </c>
      <c r="AD147">
        <v>0</v>
      </c>
      <c r="AE147">
        <v>865</v>
      </c>
      <c r="AF147">
        <v>0</v>
      </c>
      <c r="AG147">
        <v>0</v>
      </c>
      <c r="AH147">
        <v>0</v>
      </c>
      <c r="AI147">
        <v>0</v>
      </c>
      <c r="AJ147">
        <v>0</v>
      </c>
      <c r="AK147">
        <v>11915</v>
      </c>
      <c r="AL147">
        <v>1131</v>
      </c>
      <c r="AM147">
        <v>349</v>
      </c>
      <c r="AN147">
        <v>0</v>
      </c>
      <c r="AO147">
        <v>0</v>
      </c>
      <c r="AP147">
        <v>0.880999999999999</v>
      </c>
      <c r="AQ147">
        <v>0.013</v>
      </c>
      <c r="AR147">
        <v>0.001</v>
      </c>
      <c r="AS147" s="3">
        <v>46107.76681712963</v>
      </c>
    </row>
    <row r="148" ht="25.5" customHeight="1">
      <c r="A148" t="inlineStr">
        <is>
          <t>5a8a5ae611be1014a4547bc2</t>
        </is>
      </c>
      <c r="B148" s="2" t="str">
        <f>=HYPERLINK("https://www.xiaohongshu.com/user/profile/5a8a5ae611be1014a4547bc2", "https://www.xiaohongshu.com/user/profile/5a8a5ae611be1014a4547bc2")</f>
        <v>https://www.xiaohongshu.com/user/profile/5a8a5ae611be1014a4547bc2</v>
      </c>
      <c r="C148" s="2" t="str">
        <f>=HYPERLINK("https://pgy.xiaohongshu.com/solar/pre-trade/blogger-detail/5a8a5ae611be1014a4547bc2", "https://pgy.xiaohongshu.com/solar/pre-trade/blogger-detail/5a8a5ae611be1014a4547bc2")</f>
        <v>https://pgy.xiaohongshu.com/solar/pre-trade/blogger-detail/5a8a5ae611be1014a4547bc2</v>
      </c>
      <c r="D148" t="inlineStr">
        <is>
          <t>女</t>
        </is>
      </c>
      <c r="E148" t="inlineStr">
        <is>
          <t>yicute522</t>
        </is>
      </c>
      <c r="F148" t="inlineStr">
        <is>
          <t>章鱼鱼鱼</t>
        </is>
      </c>
      <c r="G148" t="inlineStr">
        <is>
          <t>江西 赣州 章贡区</t>
        </is>
      </c>
      <c r="H148" t="inlineStr">
        <is>
          <t>学生</t>
        </is>
      </c>
      <c r="I148" t="inlineStr">
        <is>
          <t>生活记录</t>
        </is>
      </c>
      <c r="J148">
        <v>31505</v>
      </c>
      <c r="K148" t="inlineStr">
        <is>
          <t>3.2</t>
        </is>
      </c>
      <c r="L148">
        <v>49648</v>
      </c>
      <c r="M148">
        <v>14988</v>
      </c>
      <c r="N148">
        <v>610</v>
      </c>
      <c r="O148">
        <v>3800</v>
      </c>
      <c r="P148">
        <v>0.1</v>
      </c>
      <c r="Q148">
        <v>1</v>
      </c>
      <c r="R148">
        <v>0</v>
      </c>
      <c r="S148">
        <v>0</v>
      </c>
      <c r="T148">
        <v>0</v>
      </c>
      <c r="U148">
        <v>0</v>
      </c>
      <c r="V148">
        <v>3800</v>
      </c>
      <c r="W148">
        <v>0</v>
      </c>
      <c r="X148">
        <v>0</v>
      </c>
      <c r="Y148">
        <v>0</v>
      </c>
      <c r="Z148">
        <v>0</v>
      </c>
      <c r="AA148">
        <v>49648</v>
      </c>
      <c r="AB148">
        <v>14988</v>
      </c>
      <c r="AC148">
        <v>570</v>
      </c>
      <c r="AD148">
        <v>1.99</v>
      </c>
      <c r="AE148">
        <v>6900</v>
      </c>
      <c r="AF148">
        <v>1</v>
      </c>
      <c r="AG148">
        <v>0.1</v>
      </c>
      <c r="AH148">
        <v>0.209</v>
      </c>
      <c r="AI148">
        <v>120.69</v>
      </c>
      <c r="AJ148">
        <v>11.26</v>
      </c>
      <c r="AK148">
        <v>58612</v>
      </c>
      <c r="AL148">
        <v>13345</v>
      </c>
      <c r="AM148">
        <v>607</v>
      </c>
      <c r="AN148">
        <v>139</v>
      </c>
      <c r="AO148">
        <v>15.53</v>
      </c>
      <c r="AP148">
        <v>0.677</v>
      </c>
      <c r="AQ148">
        <v>0.07</v>
      </c>
      <c r="AR148">
        <v>0.011</v>
      </c>
      <c r="AS148" s="3">
        <v>46107.76681712963</v>
      </c>
    </row>
    <row r="149" ht="25.5" customHeight="1">
      <c r="A149" t="inlineStr">
        <is>
          <t>5bcbe5c41193dc0001085f83</t>
        </is>
      </c>
      <c r="B149" s="2" t="str">
        <f>=HYPERLINK("https://www.xiaohongshu.com/user/profile/5bcbe5c41193dc0001085f83", "https://www.xiaohongshu.com/user/profile/5bcbe5c41193dc0001085f83")</f>
        <v>https://www.xiaohongshu.com/user/profile/5bcbe5c41193dc0001085f83</v>
      </c>
      <c r="C149" s="2" t="str">
        <f>=HYPERLINK("https://pgy.xiaohongshu.com/solar/pre-trade/blogger-detail/5bcbe5c41193dc0001085f83", "https://pgy.xiaohongshu.com/solar/pre-trade/blogger-detail/5bcbe5c41193dc0001085f83")</f>
        <v>https://pgy.xiaohongshu.com/solar/pre-trade/blogger-detail/5bcbe5c41193dc0001085f83</v>
      </c>
      <c r="D149" t="inlineStr">
        <is>
          <t>女</t>
        </is>
      </c>
      <c r="E149" t="inlineStr">
        <is>
          <t>isshiki_rebe</t>
        </is>
      </c>
      <c r="F149" t="inlineStr">
        <is>
          <t>i_am小被</t>
        </is>
      </c>
      <c r="G149" t="inlineStr">
        <is>
          <t>美国</t>
        </is>
      </c>
      <c r="H149" t="inlineStr">
        <is>
          <t>学生, 留学背景</t>
        </is>
      </c>
      <c r="I149" t="inlineStr">
        <is>
          <t>教育, 生活记录</t>
        </is>
      </c>
      <c r="J149">
        <v>24725</v>
      </c>
      <c r="K149" t="inlineStr">
        <is>
          <t>2.5</t>
        </is>
      </c>
      <c r="L149">
        <v>31114</v>
      </c>
      <c r="M149">
        <v>4960</v>
      </c>
      <c r="N149">
        <v>503</v>
      </c>
      <c r="O149">
        <v>2500</v>
      </c>
      <c r="P149">
        <v>0</v>
      </c>
      <c r="Q149">
        <v>1</v>
      </c>
      <c r="R149">
        <v>16432</v>
      </c>
      <c r="S149">
        <v>2500</v>
      </c>
      <c r="T149">
        <v>215</v>
      </c>
      <c r="U149">
        <v>1.23</v>
      </c>
      <c r="V149">
        <v>2500</v>
      </c>
      <c r="W149">
        <v>1</v>
      </c>
      <c r="X149">
        <v>0</v>
      </c>
      <c r="Y149">
        <v>133.35</v>
      </c>
      <c r="Z149">
        <v>13.7</v>
      </c>
      <c r="AA149">
        <v>45797</v>
      </c>
      <c r="AB149">
        <v>7103</v>
      </c>
      <c r="AC149">
        <v>600</v>
      </c>
      <c r="AD149">
        <v>2.01</v>
      </c>
      <c r="AE149">
        <v>4100</v>
      </c>
      <c r="AF149">
        <v>1</v>
      </c>
      <c r="AG149">
        <v>0</v>
      </c>
      <c r="AH149">
        <v>0.118</v>
      </c>
      <c r="AI149">
        <v>110.08</v>
      </c>
      <c r="AJ149">
        <v>4.97</v>
      </c>
      <c r="AK149">
        <v>36355</v>
      </c>
      <c r="AL149">
        <v>13809</v>
      </c>
      <c r="AM149">
        <v>818</v>
      </c>
      <c r="AN149">
        <v>0</v>
      </c>
      <c r="AO149">
        <v>0</v>
      </c>
      <c r="AP149">
        <v>0.894</v>
      </c>
      <c r="AQ149">
        <v>0.051</v>
      </c>
      <c r="AR149">
        <v>0.036</v>
      </c>
      <c r="AS149" s="3">
        <v>46107.76681712963</v>
      </c>
    </row>
    <row r="150" ht="25.5" customHeight="1">
      <c r="A150" t="inlineStr">
        <is>
          <t>5c9cdb260000000016029b72</t>
        </is>
      </c>
      <c r="B150" s="2" t="str">
        <f>=HYPERLINK("https://www.xiaohongshu.com/user/profile/5c9cdb260000000016029b72", "https://www.xiaohongshu.com/user/profile/5c9cdb260000000016029b72")</f>
        <v>https://www.xiaohongshu.com/user/profile/5c9cdb260000000016029b72</v>
      </c>
      <c r="C150" s="2" t="str">
        <f>=HYPERLINK("https://pgy.xiaohongshu.com/solar/pre-trade/blogger-detail/5c9cdb260000000016029b72", "https://pgy.xiaohongshu.com/solar/pre-trade/blogger-detail/5c9cdb260000000016029b72")</f>
        <v>https://pgy.xiaohongshu.com/solar/pre-trade/blogger-detail/5c9cdb260000000016029b72</v>
      </c>
      <c r="D150" t="inlineStr">
        <is>
          <t>男</t>
        </is>
      </c>
      <c r="E150" t="inlineStr">
        <is>
          <t>617290355</t>
        </is>
      </c>
      <c r="F150" t="inlineStr">
        <is>
          <t>N同学</t>
        </is>
      </c>
      <c r="G150" t="inlineStr">
        <is>
          <t>北京</t>
        </is>
      </c>
      <c r="H150" t="inlineStr">
        <is>
          <t>学生</t>
        </is>
      </c>
      <c r="I150" t="inlineStr">
        <is>
          <t>教育</t>
        </is>
      </c>
      <c r="J150">
        <v>12928</v>
      </c>
      <c r="K150" t="inlineStr">
        <is>
          <t>1.3</t>
        </is>
      </c>
      <c r="L150">
        <v>6246</v>
      </c>
      <c r="M150">
        <v>5213</v>
      </c>
      <c r="N150">
        <v>735</v>
      </c>
      <c r="O150">
        <v>1000</v>
      </c>
      <c r="P150">
        <v>0.332999999999999</v>
      </c>
      <c r="Q150">
        <v>0.667</v>
      </c>
      <c r="R150">
        <v>0</v>
      </c>
      <c r="S150">
        <v>0</v>
      </c>
      <c r="T150">
        <v>0</v>
      </c>
      <c r="U150">
        <v>0</v>
      </c>
      <c r="V150">
        <v>1000</v>
      </c>
      <c r="W150">
        <v>0</v>
      </c>
      <c r="X150">
        <v>0</v>
      </c>
      <c r="Y150">
        <v>0</v>
      </c>
      <c r="Z150">
        <v>0</v>
      </c>
      <c r="AA150">
        <v>6246</v>
      </c>
      <c r="AB150">
        <v>5213</v>
      </c>
      <c r="AC150">
        <v>686</v>
      </c>
      <c r="AD150">
        <v>1.7</v>
      </c>
      <c r="AE150">
        <v>1200</v>
      </c>
      <c r="AF150">
        <v>0.667</v>
      </c>
      <c r="AG150">
        <v>0.332999999999999</v>
      </c>
      <c r="AH150">
        <v>0.11</v>
      </c>
      <c r="AI150">
        <v>142.1</v>
      </c>
      <c r="AJ150">
        <v>1.71</v>
      </c>
      <c r="AK150">
        <v>67373</v>
      </c>
      <c r="AL150">
        <v>7015</v>
      </c>
      <c r="AM150">
        <v>608</v>
      </c>
      <c r="AN150">
        <v>0</v>
      </c>
      <c r="AO150">
        <v>0</v>
      </c>
      <c r="AP150">
        <v>0.809</v>
      </c>
      <c r="AQ150">
        <v>0.035</v>
      </c>
      <c r="AR150">
        <v>0.034</v>
      </c>
      <c r="AS150" s="3">
        <v>46107.76681712963</v>
      </c>
    </row>
    <row r="151" ht="25.5" customHeight="1">
      <c r="A151" t="inlineStr">
        <is>
          <t>5b41b881e8ac2b7dc6077846</t>
        </is>
      </c>
      <c r="B151" s="2" t="str">
        <f>=HYPERLINK("https://www.xiaohongshu.com/user/profile/5b41b881e8ac2b7dc6077846", "https://www.xiaohongshu.com/user/profile/5b41b881e8ac2b7dc6077846")</f>
        <v>https://www.xiaohongshu.com/user/profile/5b41b881e8ac2b7dc6077846</v>
      </c>
      <c r="C151" s="2" t="str">
        <f>=HYPERLINK("https://pgy.xiaohongshu.com/solar/pre-trade/blogger-detail/5b41b881e8ac2b7dc6077846", "https://pgy.xiaohongshu.com/solar/pre-trade/blogger-detail/5b41b881e8ac2b7dc6077846")</f>
        <v>https://pgy.xiaohongshu.com/solar/pre-trade/blogger-detail/5b41b881e8ac2b7dc6077846</v>
      </c>
      <c r="D151" t="inlineStr">
        <is>
          <t>女</t>
        </is>
      </c>
      <c r="E151" t="inlineStr">
        <is>
          <t>2229602075</t>
        </is>
      </c>
      <c r="F151" t="inlineStr">
        <is>
          <t>是肥肥啊</t>
        </is>
      </c>
      <c r="G151" t="inlineStr">
        <is>
          <t>山西 长治 武乡县</t>
        </is>
      </c>
      <c r="H151" t="inlineStr">
        <is>
          <t>学生</t>
        </is>
      </c>
      <c r="I151" t="inlineStr">
        <is>
          <t>教育</t>
        </is>
      </c>
      <c r="J151">
        <v>46586</v>
      </c>
      <c r="K151" t="inlineStr">
        <is>
          <t>4.7</t>
        </is>
      </c>
      <c r="L151">
        <v>8789</v>
      </c>
      <c r="M151">
        <v>2235</v>
      </c>
      <c r="N151">
        <v>243</v>
      </c>
      <c r="O151">
        <v>1192</v>
      </c>
      <c r="P151">
        <v>0</v>
      </c>
      <c r="Q151">
        <v>1</v>
      </c>
      <c r="R151">
        <v>0</v>
      </c>
      <c r="S151">
        <v>0</v>
      </c>
      <c r="T151">
        <v>0</v>
      </c>
      <c r="U151">
        <v>0</v>
      </c>
      <c r="V151">
        <v>1192</v>
      </c>
      <c r="W151">
        <v>0</v>
      </c>
      <c r="X151">
        <v>0</v>
      </c>
      <c r="Y151">
        <v>0</v>
      </c>
      <c r="Z151">
        <v>0</v>
      </c>
      <c r="AA151">
        <v>8789</v>
      </c>
      <c r="AB151">
        <v>2235</v>
      </c>
      <c r="AC151">
        <v>265</v>
      </c>
      <c r="AD151">
        <v>2.11</v>
      </c>
      <c r="AE151">
        <v>1600</v>
      </c>
      <c r="AF151">
        <v>1</v>
      </c>
      <c r="AG151">
        <v>0</v>
      </c>
      <c r="AH151">
        <v>0.02</v>
      </c>
      <c r="AI151">
        <v>90.24</v>
      </c>
      <c r="AJ151">
        <v>3.45</v>
      </c>
      <c r="AK151">
        <v>26409</v>
      </c>
      <c r="AL151">
        <v>3048</v>
      </c>
      <c r="AM151">
        <v>666</v>
      </c>
      <c r="AN151">
        <v>0</v>
      </c>
      <c r="AO151">
        <v>3.22</v>
      </c>
      <c r="AP151">
        <v>0.854</v>
      </c>
      <c r="AQ151">
        <v>0.042</v>
      </c>
      <c r="AR151">
        <v>0.015</v>
      </c>
      <c r="AS151" s="3">
        <v>46107.76681712963</v>
      </c>
    </row>
    <row r="152" ht="25.5" customHeight="1">
      <c r="A152" t="inlineStr">
        <is>
          <t>6358a1e6000000001802a570</t>
        </is>
      </c>
      <c r="B152" s="2" t="str">
        <f>=HYPERLINK("https://www.xiaohongshu.com/user/profile/6358a1e6000000001802a570", "https://www.xiaohongshu.com/user/profile/6358a1e6000000001802a570")</f>
        <v>https://www.xiaohongshu.com/user/profile/6358a1e6000000001802a570</v>
      </c>
      <c r="C152" s="2" t="str">
        <f>=HYPERLINK("https://pgy.xiaohongshu.com/solar/pre-trade/blogger-detail/6358a1e6000000001802a570", "https://pgy.xiaohongshu.com/solar/pre-trade/blogger-detail/6358a1e6000000001802a570")</f>
        <v>https://pgy.xiaohongshu.com/solar/pre-trade/blogger-detail/6358a1e6000000001802a570</v>
      </c>
      <c r="D152" t="inlineStr">
        <is>
          <t>女</t>
        </is>
      </c>
      <c r="E152" t="inlineStr">
        <is>
          <t>sunny51217</t>
        </is>
      </c>
      <c r="F152" t="inlineStr">
        <is>
          <t>橙橙橙橙橙子</t>
        </is>
      </c>
      <c r="G152" t="inlineStr">
        <is>
          <t>四川 成都 武侯区</t>
        </is>
      </c>
      <c r="H152" t="inlineStr">
        <is>
          <t>创业者, 留学背景</t>
        </is>
      </c>
      <c r="I152" t="inlineStr">
        <is>
          <t>教育, 科技数码</t>
        </is>
      </c>
      <c r="J152">
        <v>18819</v>
      </c>
      <c r="K152" t="inlineStr">
        <is>
          <t>1.9</t>
        </is>
      </c>
      <c r="L152">
        <v>7512</v>
      </c>
      <c r="M152">
        <v>1657</v>
      </c>
      <c r="N152">
        <v>187</v>
      </c>
      <c r="O152">
        <v>3000</v>
      </c>
      <c r="P152">
        <v>0.1</v>
      </c>
      <c r="Q152">
        <v>0.4</v>
      </c>
      <c r="R152">
        <v>4786</v>
      </c>
      <c r="S152">
        <v>668</v>
      </c>
      <c r="T152">
        <v>52</v>
      </c>
      <c r="U152">
        <v>5.29</v>
      </c>
      <c r="V152">
        <v>3000</v>
      </c>
      <c r="W152">
        <v>0</v>
      </c>
      <c r="X152">
        <v>0</v>
      </c>
      <c r="Y152">
        <v>734.03</v>
      </c>
      <c r="Z152">
        <v>88.24</v>
      </c>
      <c r="AA152">
        <v>11075</v>
      </c>
      <c r="AB152">
        <v>4573</v>
      </c>
      <c r="AC152">
        <v>681</v>
      </c>
      <c r="AD152">
        <v>3.69</v>
      </c>
      <c r="AE152">
        <v>10000</v>
      </c>
      <c r="AF152">
        <v>0.667</v>
      </c>
      <c r="AG152">
        <v>0.166999999999999</v>
      </c>
      <c r="AH152">
        <v>0.073</v>
      </c>
      <c r="AI152">
        <v>902.89</v>
      </c>
      <c r="AJ152">
        <v>10.94</v>
      </c>
      <c r="AK152">
        <v>2207</v>
      </c>
      <c r="AL152">
        <v>206</v>
      </c>
      <c r="AM152">
        <v>14</v>
      </c>
      <c r="AN152">
        <v>0</v>
      </c>
      <c r="AO152">
        <v>0</v>
      </c>
      <c r="AP152">
        <v>0.945</v>
      </c>
      <c r="AQ152">
        <v>0.096</v>
      </c>
      <c r="AR152">
        <v>0.18</v>
      </c>
      <c r="AS152" s="3">
        <v>46107.76681712963</v>
      </c>
    </row>
    <row r="153" ht="25.5" customHeight="1">
      <c r="A153" t="inlineStr">
        <is>
          <t>5f106e87000000000101e7dc</t>
        </is>
      </c>
      <c r="B153" s="2" t="str">
        <f>=HYPERLINK("https://www.xiaohongshu.com/user/profile/5f106e87000000000101e7dc", "https://www.xiaohongshu.com/user/profile/5f106e87000000000101e7dc")</f>
        <v>https://www.xiaohongshu.com/user/profile/5f106e87000000000101e7dc</v>
      </c>
      <c r="C153" s="2" t="str">
        <f>=HYPERLINK("https://pgy.xiaohongshu.com/solar/pre-trade/blogger-detail/5f106e87000000000101e7dc", "https://pgy.xiaohongshu.com/solar/pre-trade/blogger-detail/5f106e87000000000101e7dc")</f>
        <v>https://pgy.xiaohongshu.com/solar/pre-trade/blogger-detail/5f106e87000000000101e7dc</v>
      </c>
      <c r="D153" t="inlineStr">
        <is>
          <t>女</t>
        </is>
      </c>
      <c r="E153" t="inlineStr">
        <is>
          <t>Tenfeyy</t>
        </is>
      </c>
      <c r="F153" t="inlineStr">
        <is>
          <t>斯维塔不是老外</t>
        </is>
      </c>
      <c r="G153" t="inlineStr">
        <is>
          <t>俄罗斯</t>
        </is>
      </c>
      <c r="H153" t="inlineStr">
        <is>
          <t>海外华人, 留学背景, 学生, 翻译</t>
        </is>
      </c>
      <c r="I153" t="inlineStr">
        <is>
          <t>教育, 生活记录</t>
        </is>
      </c>
      <c r="J153">
        <v>10895</v>
      </c>
      <c r="K153" t="inlineStr">
        <is>
          <t>1.1</t>
        </is>
      </c>
      <c r="L153">
        <v>11550</v>
      </c>
      <c r="M153">
        <v>3251</v>
      </c>
      <c r="N153">
        <v>198</v>
      </c>
      <c r="O153">
        <v>880</v>
      </c>
      <c r="P153">
        <v>0.083</v>
      </c>
      <c r="Q153">
        <v>0.833</v>
      </c>
      <c r="R153">
        <v>0</v>
      </c>
      <c r="S153">
        <v>0</v>
      </c>
      <c r="T153">
        <v>0</v>
      </c>
      <c r="U153">
        <v>0</v>
      </c>
      <c r="V153">
        <v>880</v>
      </c>
      <c r="W153">
        <v>0</v>
      </c>
      <c r="X153">
        <v>0</v>
      </c>
      <c r="Y153">
        <v>0</v>
      </c>
      <c r="Z153">
        <v>0</v>
      </c>
      <c r="AA153">
        <v>11550</v>
      </c>
      <c r="AB153">
        <v>3251</v>
      </c>
      <c r="AC153">
        <v>178</v>
      </c>
      <c r="AD153">
        <v>1.86</v>
      </c>
      <c r="AE153">
        <v>1173</v>
      </c>
      <c r="AF153">
        <v>0.833</v>
      </c>
      <c r="AG153">
        <v>0.083</v>
      </c>
      <c r="AH153">
        <v>0.439</v>
      </c>
      <c r="AI153">
        <v>101.55</v>
      </c>
      <c r="AJ153">
        <v>5.91</v>
      </c>
      <c r="AK153">
        <v>0</v>
      </c>
      <c r="AL153">
        <v>0</v>
      </c>
      <c r="AM153">
        <v>0</v>
      </c>
      <c r="AN153">
        <v>0</v>
      </c>
      <c r="AO153">
        <v>0</v>
      </c>
      <c r="AP153">
        <v>0.747</v>
      </c>
      <c r="AQ153">
        <v>0.12</v>
      </c>
      <c r="AR153">
        <v>0.16</v>
      </c>
      <c r="AS153" s="3">
        <v>46107.76681712963</v>
      </c>
    </row>
    <row r="154" ht="25.5" customHeight="1">
      <c r="A154" t="inlineStr">
        <is>
          <t>65dd0c1f000000000500cbb8</t>
        </is>
      </c>
      <c r="B154" s="2" t="str">
        <f>=HYPERLINK("https://www.xiaohongshu.com/user/profile/65dd0c1f000000000500cbb8", "https://www.xiaohongshu.com/user/profile/65dd0c1f000000000500cbb8")</f>
        <v>https://www.xiaohongshu.com/user/profile/65dd0c1f000000000500cbb8</v>
      </c>
      <c r="C154" s="2" t="str">
        <f>=HYPERLINK("https://pgy.xiaohongshu.com/solar/pre-trade/blogger-detail/65dd0c1f000000000500cbb8", "https://pgy.xiaohongshu.com/solar/pre-trade/blogger-detail/65dd0c1f000000000500cbb8")</f>
        <v>https://pgy.xiaohongshu.com/solar/pre-trade/blogger-detail/65dd0c1f000000000500cbb8</v>
      </c>
      <c r="D154" t="inlineStr">
        <is>
          <t>男</t>
        </is>
      </c>
      <c r="E154" t="inlineStr">
        <is>
          <t>Lukiooo</t>
        </is>
      </c>
      <c r="F154" t="inlineStr">
        <is>
          <t>噜噜大王（自责大王）</t>
        </is>
      </c>
      <c r="G154" t="inlineStr">
        <is>
          <t>德国</t>
        </is>
      </c>
      <c r="H154" t="inlineStr">
        <is>
          <t>户外爱好者, 留学背景, 海外华人, 独居人群, 学生</t>
        </is>
      </c>
      <c r="I154" t="inlineStr">
        <is>
          <t>教育, 生活记录</t>
        </is>
      </c>
      <c r="J154">
        <v>30507</v>
      </c>
      <c r="K154" t="inlineStr">
        <is>
          <t>3.1</t>
        </is>
      </c>
      <c r="L154">
        <v>121527</v>
      </c>
      <c r="M154">
        <v>26940</v>
      </c>
      <c r="N154">
        <v>3480</v>
      </c>
      <c r="O154">
        <v>2063</v>
      </c>
      <c r="P154">
        <v>0.765</v>
      </c>
      <c r="Q154">
        <v>1</v>
      </c>
      <c r="R154">
        <v>129011</v>
      </c>
      <c r="S154">
        <v>26940</v>
      </c>
      <c r="T154">
        <v>3156</v>
      </c>
      <c r="U154">
        <v>0.38</v>
      </c>
      <c r="V154">
        <v>2063</v>
      </c>
      <c r="W154">
        <v>1</v>
      </c>
      <c r="X154">
        <v>1</v>
      </c>
      <c r="Y154">
        <v>15.99</v>
      </c>
      <c r="Z154">
        <v>0.59</v>
      </c>
      <c r="AA154">
        <v>93556</v>
      </c>
      <c r="AB154">
        <v>26582</v>
      </c>
      <c r="AC154">
        <v>2437</v>
      </c>
      <c r="AD154">
        <v>1.63</v>
      </c>
      <c r="AE154">
        <v>3390</v>
      </c>
      <c r="AF154">
        <v>1</v>
      </c>
      <c r="AG154">
        <v>0.75</v>
      </c>
      <c r="AH154">
        <v>0.084</v>
      </c>
      <c r="AI154">
        <v>36.23</v>
      </c>
      <c r="AJ154">
        <v>1.2</v>
      </c>
      <c r="AK154">
        <v>0</v>
      </c>
      <c r="AL154">
        <v>0</v>
      </c>
      <c r="AM154">
        <v>0</v>
      </c>
      <c r="AN154">
        <v>0</v>
      </c>
      <c r="AO154">
        <v>0</v>
      </c>
      <c r="AP154">
        <v>0.982</v>
      </c>
      <c r="AQ154">
        <v>0.482</v>
      </c>
      <c r="AR154">
        <v>1.09599999999999</v>
      </c>
      <c r="AS154" s="3">
        <v>46107.76681712963</v>
      </c>
    </row>
    <row r="155" ht="25.5" customHeight="1">
      <c r="A155" t="inlineStr">
        <is>
          <t>675a91f9000000001d02f4e6</t>
        </is>
      </c>
      <c r="B155" s="2" t="str">
        <f>=HYPERLINK("https://www.xiaohongshu.com/user/profile/675a91f9000000001d02f4e6", "https://www.xiaohongshu.com/user/profile/675a91f9000000001d02f4e6")</f>
        <v>https://www.xiaohongshu.com/user/profile/675a91f9000000001d02f4e6</v>
      </c>
      <c r="C155" s="2" t="str">
        <f>=HYPERLINK("https://pgy.xiaohongshu.com/solar/pre-trade/blogger-detail/675a91f9000000001d02f4e6", "https://pgy.xiaohongshu.com/solar/pre-trade/blogger-detail/675a91f9000000001d02f4e6")</f>
        <v>https://pgy.xiaohongshu.com/solar/pre-trade/blogger-detail/675a91f9000000001d02f4e6</v>
      </c>
      <c r="D155" t="inlineStr">
        <is>
          <t>女</t>
        </is>
      </c>
      <c r="E155" t="inlineStr">
        <is>
          <t>Win18309917385</t>
        </is>
      </c>
      <c r="F155" t="inlineStr">
        <is>
          <t>万能玉蓉学姐</t>
        </is>
      </c>
      <c r="G155" t="inlineStr">
        <is>
          <t>新疆 乌鲁木齐 水磨沟区</t>
        </is>
      </c>
      <c r="H155" t="inlineStr">
        <is>
          <t>创业者, 考研过来人</t>
        </is>
      </c>
      <c r="I155" t="inlineStr">
        <is>
          <t>教育</t>
        </is>
      </c>
      <c r="J155">
        <v>7299</v>
      </c>
      <c r="K155" t="inlineStr">
        <is>
          <t>0.7</t>
        </is>
      </c>
      <c r="L155">
        <v>58143</v>
      </c>
      <c r="M155">
        <v>28404</v>
      </c>
      <c r="N155">
        <v>4303</v>
      </c>
      <c r="O155">
        <v>462</v>
      </c>
      <c r="P155">
        <v>0.5</v>
      </c>
      <c r="Q155">
        <v>0.667</v>
      </c>
      <c r="R155">
        <v>0</v>
      </c>
      <c r="S155">
        <v>0</v>
      </c>
      <c r="T155">
        <v>0</v>
      </c>
      <c r="U155">
        <v>0.38</v>
      </c>
      <c r="V155">
        <v>462</v>
      </c>
      <c r="W155">
        <v>0</v>
      </c>
      <c r="X155">
        <v>0</v>
      </c>
      <c r="Y155">
        <v>11.19</v>
      </c>
      <c r="Z155">
        <v>0.12</v>
      </c>
      <c r="AA155">
        <v>58143</v>
      </c>
      <c r="AB155">
        <v>28404</v>
      </c>
      <c r="AC155">
        <v>4060</v>
      </c>
      <c r="AD155">
        <v>1.85</v>
      </c>
      <c r="AE155">
        <v>854</v>
      </c>
      <c r="AF155">
        <v>0.667</v>
      </c>
      <c r="AG155">
        <v>0.5</v>
      </c>
      <c r="AH155">
        <v>0.044</v>
      </c>
      <c r="AI155">
        <v>56.56</v>
      </c>
      <c r="AJ155">
        <v>1.75</v>
      </c>
      <c r="AK155">
        <v>18310</v>
      </c>
      <c r="AL155">
        <v>2300</v>
      </c>
      <c r="AM155">
        <v>728</v>
      </c>
      <c r="AN155">
        <v>0</v>
      </c>
      <c r="AO155">
        <v>0</v>
      </c>
      <c r="AP155">
        <v>0.954</v>
      </c>
      <c r="AQ155">
        <v>0.29</v>
      </c>
      <c r="AR155">
        <v>0.414</v>
      </c>
      <c r="AS155" s="3">
        <v>46107.76681712963</v>
      </c>
    </row>
    <row r="156" ht="25.5" customHeight="1">
      <c r="A156" t="inlineStr">
        <is>
          <t>5f8054a6000000000100bd5a</t>
        </is>
      </c>
      <c r="B156" s="2" t="str">
        <f>=HYPERLINK("https://www.xiaohongshu.com/user/profile/5f8054a6000000000100bd5a", "https://www.xiaohongshu.com/user/profile/5f8054a6000000000100bd5a")</f>
        <v>https://www.xiaohongshu.com/user/profile/5f8054a6000000000100bd5a</v>
      </c>
      <c r="C156" s="2" t="str">
        <f>=HYPERLINK("https://pgy.xiaohongshu.com/solar/pre-trade/blogger-detail/5f8054a6000000000100bd5a", "https://pgy.xiaohongshu.com/solar/pre-trade/blogger-detail/5f8054a6000000000100bd5a")</f>
        <v>https://pgy.xiaohongshu.com/solar/pre-trade/blogger-detail/5f8054a6000000000100bd5a</v>
      </c>
      <c r="D156" t="inlineStr">
        <is>
          <t>女</t>
        </is>
      </c>
      <c r="E156" t="inlineStr">
        <is>
          <t>X180814</t>
        </is>
      </c>
      <c r="F156" t="inlineStr">
        <is>
          <t>盐昭昭</t>
        </is>
      </c>
      <c r="G156" t="inlineStr">
        <is>
          <t>云南 临沧 耿马傣族佤族自治县</t>
        </is>
      </c>
      <c r="H156" t="inlineStr">
        <is>
          <t>翻译</t>
        </is>
      </c>
      <c r="I156" t="inlineStr">
        <is>
          <t>教育</t>
        </is>
      </c>
      <c r="J156">
        <v>99272</v>
      </c>
      <c r="K156" t="inlineStr">
        <is>
          <t>9.9</t>
        </is>
      </c>
      <c r="L156">
        <v>50686</v>
      </c>
      <c r="M156">
        <v>5846</v>
      </c>
      <c r="N156">
        <v>482</v>
      </c>
      <c r="O156">
        <v>995</v>
      </c>
      <c r="P156">
        <v>0.332999999999999</v>
      </c>
      <c r="Q156">
        <v>1</v>
      </c>
      <c r="R156">
        <v>50686</v>
      </c>
      <c r="S156">
        <v>5846</v>
      </c>
      <c r="T156">
        <v>376</v>
      </c>
      <c r="U156">
        <v>0.54</v>
      </c>
      <c r="V156">
        <v>995</v>
      </c>
      <c r="W156">
        <v>1</v>
      </c>
      <c r="X156">
        <v>0.332999999999999</v>
      </c>
      <c r="Y156">
        <v>26.14</v>
      </c>
      <c r="Z156">
        <v>2.62</v>
      </c>
      <c r="AA156">
        <v>0</v>
      </c>
      <c r="AB156">
        <v>0</v>
      </c>
      <c r="AC156">
        <v>0</v>
      </c>
      <c r="AD156">
        <v>0</v>
      </c>
      <c r="AE156">
        <v>6010</v>
      </c>
      <c r="AF156">
        <v>0</v>
      </c>
      <c r="AG156">
        <v>0</v>
      </c>
      <c r="AH156">
        <v>0</v>
      </c>
      <c r="AI156">
        <v>0</v>
      </c>
      <c r="AJ156">
        <v>0</v>
      </c>
      <c r="AK156">
        <v>19586</v>
      </c>
      <c r="AL156">
        <v>1690</v>
      </c>
      <c r="AM156">
        <v>239</v>
      </c>
      <c r="AN156">
        <v>0</v>
      </c>
      <c r="AO156">
        <v>0</v>
      </c>
      <c r="AP156">
        <v>0.852</v>
      </c>
      <c r="AQ156">
        <v>0.017</v>
      </c>
      <c r="AR156">
        <v>0.032</v>
      </c>
      <c r="AS156" s="3">
        <v>46107.76681712963</v>
      </c>
    </row>
    <row r="157" ht="25.5" customHeight="1">
      <c r="A157" t="inlineStr">
        <is>
          <t>677e8531000000000801917d</t>
        </is>
      </c>
      <c r="B157" s="2" t="str">
        <f>=HYPERLINK("https://www.xiaohongshu.com/user/profile/677e8531000000000801917d", "https://www.xiaohongshu.com/user/profile/677e8531000000000801917d")</f>
        <v>https://www.xiaohongshu.com/user/profile/677e8531000000000801917d</v>
      </c>
      <c r="C157" s="2" t="str">
        <f>=HYPERLINK("https://pgy.xiaohongshu.com/solar/pre-trade/blogger-detail/677e8531000000000801917d", "https://pgy.xiaohongshu.com/solar/pre-trade/blogger-detail/677e8531000000000801917d")</f>
        <v>https://pgy.xiaohongshu.com/solar/pre-trade/blogger-detail/677e8531000000000801917d</v>
      </c>
      <c r="D157" t="inlineStr">
        <is>
          <t>女</t>
        </is>
      </c>
      <c r="E157" t="inlineStr">
        <is>
          <t>95616672251</t>
        </is>
      </c>
      <c r="F157" t="inlineStr">
        <is>
          <t>Mr.Bear何小熊｜NeatStudy</t>
        </is>
      </c>
      <c r="G157" t="inlineStr">
        <is>
          <t>河南 安阳 林州市</t>
        </is>
      </c>
      <c r="H157" t="inlineStr">
        <is>
          <t>学生</t>
        </is>
      </c>
      <c r="I157" t="inlineStr">
        <is>
          <t>教育</t>
        </is>
      </c>
      <c r="J157">
        <v>31951</v>
      </c>
      <c r="K157" t="inlineStr">
        <is>
          <t>3.2</t>
        </is>
      </c>
      <c r="L157">
        <v>4928</v>
      </c>
      <c r="M157">
        <v>1494</v>
      </c>
      <c r="N157">
        <v>117</v>
      </c>
      <c r="O157">
        <v>300</v>
      </c>
      <c r="P157">
        <v>0.045</v>
      </c>
      <c r="Q157">
        <v>0.455</v>
      </c>
      <c r="R157">
        <v>3127</v>
      </c>
      <c r="S157">
        <v>471</v>
      </c>
      <c r="T157">
        <v>51</v>
      </c>
      <c r="U157">
        <v>0.94</v>
      </c>
      <c r="V157">
        <v>300</v>
      </c>
      <c r="W157">
        <v>0</v>
      </c>
      <c r="X157">
        <v>0</v>
      </c>
      <c r="Y157">
        <v>95.94</v>
      </c>
      <c r="Z157">
        <v>5.88</v>
      </c>
      <c r="AA157">
        <v>5029</v>
      </c>
      <c r="AB157">
        <v>1712</v>
      </c>
      <c r="AC157">
        <v>115</v>
      </c>
      <c r="AD157">
        <v>1.85</v>
      </c>
      <c r="AE157">
        <v>681</v>
      </c>
      <c r="AF157">
        <v>0.476</v>
      </c>
      <c r="AG157">
        <v>0.048</v>
      </c>
      <c r="AH157">
        <v>0.006</v>
      </c>
      <c r="AI157">
        <v>121.13</v>
      </c>
      <c r="AJ157">
        <v>3.63</v>
      </c>
      <c r="AK157">
        <v>10780</v>
      </c>
      <c r="AL157">
        <v>1964</v>
      </c>
      <c r="AM157">
        <v>228</v>
      </c>
      <c r="AN157">
        <v>0</v>
      </c>
      <c r="AO157">
        <v>3.93</v>
      </c>
      <c r="AP157">
        <v>0.957</v>
      </c>
      <c r="AQ157">
        <v>0.144</v>
      </c>
      <c r="AR157">
        <v>0.105</v>
      </c>
      <c r="AS157" s="3">
        <v>46107.76681712963</v>
      </c>
    </row>
    <row r="158" ht="25.5" customHeight="1">
      <c r="A158" t="inlineStr">
        <is>
          <t>5cc50f16000000001600915d</t>
        </is>
      </c>
      <c r="B158" s="2" t="str">
        <f>=HYPERLINK("https://www.xiaohongshu.com/user/profile/5cc50f16000000001600915d", "https://www.xiaohongshu.com/user/profile/5cc50f16000000001600915d")</f>
        <v>https://www.xiaohongshu.com/user/profile/5cc50f16000000001600915d</v>
      </c>
      <c r="C158" s="2" t="str">
        <f>=HYPERLINK("https://pgy.xiaohongshu.com/solar/pre-trade/blogger-detail/5cc50f16000000001600915d", "https://pgy.xiaohongshu.com/solar/pre-trade/blogger-detail/5cc50f16000000001600915d")</f>
        <v>https://pgy.xiaohongshu.com/solar/pre-trade/blogger-detail/5cc50f16000000001600915d</v>
      </c>
      <c r="D158" t="inlineStr">
        <is>
          <t>男</t>
        </is>
      </c>
      <c r="E158" t="inlineStr">
        <is>
          <t>511193798</t>
        </is>
      </c>
      <c r="F158" t="inlineStr">
        <is>
          <t>M同学爱分享</t>
        </is>
      </c>
      <c r="G158" t="inlineStr">
        <is>
          <t>广东 深圳 宝安区</t>
        </is>
      </c>
      <c r="H158"/>
      <c r="I158" t="inlineStr">
        <is>
          <t>教育</t>
        </is>
      </c>
      <c r="J158">
        <v>7534</v>
      </c>
      <c r="K158" t="inlineStr">
        <is>
          <t>0.8</t>
        </is>
      </c>
      <c r="L158">
        <v>3585</v>
      </c>
      <c r="M158">
        <v>1512</v>
      </c>
      <c r="N158">
        <v>231</v>
      </c>
      <c r="O158">
        <v>1500</v>
      </c>
      <c r="P158">
        <v>0</v>
      </c>
      <c r="Q158">
        <v>1</v>
      </c>
      <c r="R158">
        <v>0</v>
      </c>
      <c r="S158">
        <v>0</v>
      </c>
      <c r="T158">
        <v>0</v>
      </c>
      <c r="U158">
        <v>0</v>
      </c>
      <c r="V158">
        <v>1500</v>
      </c>
      <c r="W158">
        <v>0</v>
      </c>
      <c r="X158">
        <v>0</v>
      </c>
      <c r="Y158">
        <v>0</v>
      </c>
      <c r="Z158">
        <v>0</v>
      </c>
      <c r="AA158">
        <v>3585</v>
      </c>
      <c r="AB158">
        <v>1512</v>
      </c>
      <c r="AC158">
        <v>228</v>
      </c>
      <c r="AD158">
        <v>1.72</v>
      </c>
      <c r="AE158">
        <v>2200</v>
      </c>
      <c r="AF158">
        <v>1</v>
      </c>
      <c r="AG158">
        <v>0</v>
      </c>
      <c r="AH158">
        <v>0.061</v>
      </c>
      <c r="AI158">
        <v>90.79</v>
      </c>
      <c r="AJ158">
        <v>4.52</v>
      </c>
      <c r="AK158">
        <v>236724</v>
      </c>
      <c r="AL158">
        <v>28364</v>
      </c>
      <c r="AM158">
        <v>3394</v>
      </c>
      <c r="AN158">
        <v>0</v>
      </c>
      <c r="AO158">
        <v>0</v>
      </c>
      <c r="AP158">
        <v>0.765</v>
      </c>
      <c r="AQ158">
        <v>0.034</v>
      </c>
      <c r="AR158">
        <v>0.016</v>
      </c>
      <c r="AS158" s="3">
        <v>46107.76681712963</v>
      </c>
    </row>
    <row r="159" ht="25.5" customHeight="1">
      <c r="A159" t="inlineStr">
        <is>
          <t>5bf0c87c693aac000184079e</t>
        </is>
      </c>
      <c r="B159" s="2" t="str">
        <f>=HYPERLINK("https://www.xiaohongshu.com/user/profile/5bf0c87c693aac000184079e", "https://www.xiaohongshu.com/user/profile/5bf0c87c693aac000184079e")</f>
        <v>https://www.xiaohongshu.com/user/profile/5bf0c87c693aac000184079e</v>
      </c>
      <c r="C159" s="2" t="str">
        <f>=HYPERLINK("https://pgy.xiaohongshu.com/solar/pre-trade/blogger-detail/5bf0c87c693aac000184079e", "https://pgy.xiaohongshu.com/solar/pre-trade/blogger-detail/5bf0c87c693aac000184079e")</f>
        <v>https://pgy.xiaohongshu.com/solar/pre-trade/blogger-detail/5bf0c87c693aac000184079e</v>
      </c>
      <c r="D159" t="inlineStr">
        <is>
          <t>女</t>
        </is>
      </c>
      <c r="E159" t="inlineStr">
        <is>
          <t>HyggeSusu_0311</t>
        </is>
      </c>
      <c r="F159" t="inlineStr">
        <is>
          <t>逍遥苏苏HyggeSusu</t>
        </is>
      </c>
      <c r="G159" t="inlineStr">
        <is>
          <t>澳大利亚</t>
        </is>
      </c>
      <c r="H159" t="inlineStr">
        <is>
          <t>留学背景, 海外华人, 学生, 二次元人群</t>
        </is>
      </c>
      <c r="I159" t="inlineStr">
        <is>
          <t>教育, 生活记录</t>
        </is>
      </c>
      <c r="J159">
        <v>39886</v>
      </c>
      <c r="K159" t="inlineStr">
        <is>
          <t>4.0</t>
        </is>
      </c>
      <c r="L159">
        <v>70360</v>
      </c>
      <c r="M159">
        <v>11712</v>
      </c>
      <c r="N159">
        <v>2230</v>
      </c>
      <c r="O159">
        <v>1699</v>
      </c>
      <c r="P159">
        <v>0.5</v>
      </c>
      <c r="Q159">
        <v>1</v>
      </c>
      <c r="R159">
        <v>0</v>
      </c>
      <c r="S159">
        <v>0</v>
      </c>
      <c r="T159">
        <v>0</v>
      </c>
      <c r="U159">
        <v>0</v>
      </c>
      <c r="V159">
        <v>1699</v>
      </c>
      <c r="W159">
        <v>0</v>
      </c>
      <c r="X159">
        <v>0</v>
      </c>
      <c r="Y159">
        <v>0</v>
      </c>
      <c r="Z159">
        <v>0</v>
      </c>
      <c r="AA159">
        <v>70360</v>
      </c>
      <c r="AB159">
        <v>11712</v>
      </c>
      <c r="AC159">
        <v>1885</v>
      </c>
      <c r="AD159">
        <v>1.82</v>
      </c>
      <c r="AE159">
        <v>3699</v>
      </c>
      <c r="AF159">
        <v>1</v>
      </c>
      <c r="AG159">
        <v>0.5</v>
      </c>
      <c r="AH159">
        <v>0.049</v>
      </c>
      <c r="AI159">
        <v>52.6</v>
      </c>
      <c r="AJ159">
        <v>1.66</v>
      </c>
      <c r="AK159">
        <v>74572</v>
      </c>
      <c r="AL159">
        <v>17022</v>
      </c>
      <c r="AM159">
        <v>2625</v>
      </c>
      <c r="AN159">
        <v>53</v>
      </c>
      <c r="AO159">
        <v>93.29</v>
      </c>
      <c r="AP159">
        <v>0.687</v>
      </c>
      <c r="AQ159">
        <v>0.039</v>
      </c>
      <c r="AR159">
        <v>0.0279999999999999</v>
      </c>
      <c r="AS159" s="3">
        <v>46107.76681712963</v>
      </c>
    </row>
    <row r="160" ht="25.5" customHeight="1">
      <c r="A160" t="inlineStr">
        <is>
          <t>6062c466000000000101c393</t>
        </is>
      </c>
      <c r="B160" s="2" t="str">
        <f>=HYPERLINK("https://www.xiaohongshu.com/user/profile/6062c466000000000101c393", "https://www.xiaohongshu.com/user/profile/6062c466000000000101c393")</f>
        <v>https://www.xiaohongshu.com/user/profile/6062c466000000000101c393</v>
      </c>
      <c r="C160" s="2" t="str">
        <f>=HYPERLINK("https://pgy.xiaohongshu.com/solar/pre-trade/blogger-detail/6062c466000000000101c393", "https://pgy.xiaohongshu.com/solar/pre-trade/blogger-detail/6062c466000000000101c393")</f>
        <v>https://pgy.xiaohongshu.com/solar/pre-trade/blogger-detail/6062c466000000000101c393</v>
      </c>
      <c r="D160" t="inlineStr">
        <is>
          <t>女</t>
        </is>
      </c>
      <c r="E160" t="inlineStr">
        <is>
          <t>2650166002</t>
        </is>
      </c>
      <c r="F160" t="inlineStr">
        <is>
          <t>殚思竭虑</t>
        </is>
      </c>
      <c r="G160" t="inlineStr">
        <is>
          <t>湖北 黄石 西塞山区</t>
        </is>
      </c>
      <c r="H160" t="inlineStr">
        <is>
          <t>学生</t>
        </is>
      </c>
      <c r="I160" t="inlineStr">
        <is>
          <t>职场, 教育</t>
        </is>
      </c>
      <c r="J160">
        <v>14967</v>
      </c>
      <c r="K160" t="inlineStr">
        <is>
          <t>1.5</t>
        </is>
      </c>
      <c r="L160">
        <v>4291</v>
      </c>
      <c r="M160">
        <v>864</v>
      </c>
      <c r="N160">
        <v>113</v>
      </c>
      <c r="O160">
        <v>1500</v>
      </c>
      <c r="P160">
        <v>0</v>
      </c>
      <c r="Q160">
        <v>0.4</v>
      </c>
      <c r="R160">
        <v>0</v>
      </c>
      <c r="S160">
        <v>0</v>
      </c>
      <c r="T160">
        <v>0</v>
      </c>
      <c r="U160">
        <v>0</v>
      </c>
      <c r="V160">
        <v>1500</v>
      </c>
      <c r="W160">
        <v>0</v>
      </c>
      <c r="X160">
        <v>0</v>
      </c>
      <c r="Y160">
        <v>0</v>
      </c>
      <c r="Z160">
        <v>0</v>
      </c>
      <c r="AA160">
        <v>4291</v>
      </c>
      <c r="AB160">
        <v>864</v>
      </c>
      <c r="AC160">
        <v>107</v>
      </c>
      <c r="AD160">
        <v>3.84</v>
      </c>
      <c r="AE160">
        <v>2000</v>
      </c>
      <c r="AF160">
        <v>0.4</v>
      </c>
      <c r="AG160">
        <v>0</v>
      </c>
      <c r="AH160">
        <v>0.019</v>
      </c>
      <c r="AI160">
        <v>491.4</v>
      </c>
      <c r="AJ160">
        <v>18.26</v>
      </c>
      <c r="AK160">
        <v>971</v>
      </c>
      <c r="AL160">
        <v>309</v>
      </c>
      <c r="AM160">
        <v>14</v>
      </c>
      <c r="AN160">
        <v>0</v>
      </c>
      <c r="AO160">
        <v>0</v>
      </c>
      <c r="AP160">
        <v>0.845</v>
      </c>
      <c r="AQ160">
        <v>0.03</v>
      </c>
      <c r="AR160">
        <v>0.016</v>
      </c>
      <c r="AS160" s="3">
        <v>46107.76681712963</v>
      </c>
    </row>
    <row r="161" ht="25.5" customHeight="1">
      <c r="A161" t="inlineStr">
        <is>
          <t>5aa7aa58e8ac2b725c95ec70</t>
        </is>
      </c>
      <c r="B161" s="2" t="str">
        <f>=HYPERLINK("https://www.xiaohongshu.com/user/profile/5aa7aa58e8ac2b725c95ec70", "https://www.xiaohongshu.com/user/profile/5aa7aa58e8ac2b725c95ec70")</f>
        <v>https://www.xiaohongshu.com/user/profile/5aa7aa58e8ac2b725c95ec70</v>
      </c>
      <c r="C161" s="2" t="str">
        <f>=HYPERLINK("https://pgy.xiaohongshu.com/solar/pre-trade/blogger-detail/5aa7aa58e8ac2b725c95ec70", "https://pgy.xiaohongshu.com/solar/pre-trade/blogger-detail/5aa7aa58e8ac2b725c95ec70")</f>
        <v>https://pgy.xiaohongshu.com/solar/pre-trade/blogger-detail/5aa7aa58e8ac2b725c95ec70</v>
      </c>
      <c r="D161" t="inlineStr">
        <is>
          <t>男</t>
        </is>
      </c>
      <c r="E161" t="inlineStr">
        <is>
          <t>184741276</t>
        </is>
      </c>
      <c r="F161" t="inlineStr">
        <is>
          <t>大民不乐意</t>
        </is>
      </c>
      <c r="G161" t="inlineStr">
        <is>
          <t>辽宁 沈阳 于洪区</t>
        </is>
      </c>
      <c r="H161"/>
      <c r="I161" t="inlineStr">
        <is>
          <t>教育</t>
        </is>
      </c>
      <c r="J161">
        <v>232216</v>
      </c>
      <c r="K161" t="inlineStr">
        <is>
          <t>23.2</t>
        </is>
      </c>
      <c r="L161">
        <v>19996</v>
      </c>
      <c r="M161">
        <v>8918</v>
      </c>
      <c r="N161">
        <v>342</v>
      </c>
      <c r="O161">
        <v>12000</v>
      </c>
      <c r="P161">
        <v>0.1</v>
      </c>
      <c r="Q161">
        <v>0.9</v>
      </c>
      <c r="R161">
        <v>0</v>
      </c>
      <c r="S161">
        <v>0</v>
      </c>
      <c r="T161">
        <v>0</v>
      </c>
      <c r="U161">
        <v>0</v>
      </c>
      <c r="V161">
        <v>12000</v>
      </c>
      <c r="W161">
        <v>0</v>
      </c>
      <c r="X161">
        <v>0</v>
      </c>
      <c r="Y161">
        <v>0</v>
      </c>
      <c r="Z161">
        <v>0</v>
      </c>
      <c r="AA161">
        <v>19996</v>
      </c>
      <c r="AB161">
        <v>8918</v>
      </c>
      <c r="AC161">
        <v>315</v>
      </c>
      <c r="AD161">
        <v>3.52</v>
      </c>
      <c r="AE161">
        <v>18000</v>
      </c>
      <c r="AF161">
        <v>0.9</v>
      </c>
      <c r="AG161">
        <v>0.1</v>
      </c>
      <c r="AH161">
        <v>0.324</v>
      </c>
      <c r="AI161">
        <v>900.18</v>
      </c>
      <c r="AJ161">
        <v>52.55</v>
      </c>
      <c r="AK161">
        <v>0</v>
      </c>
      <c r="AL161">
        <v>0</v>
      </c>
      <c r="AM161">
        <v>0</v>
      </c>
      <c r="AN161">
        <v>0</v>
      </c>
      <c r="AO161">
        <v>0</v>
      </c>
      <c r="AP161">
        <v>0.932999999999999</v>
      </c>
      <c r="AQ161">
        <v>0.012</v>
      </c>
      <c r="AR161">
        <v>-0.004</v>
      </c>
      <c r="AS161" s="3">
        <v>46107.76681712963</v>
      </c>
    </row>
    <row r="162" ht="25.5" customHeight="1">
      <c r="A162" t="inlineStr">
        <is>
          <t>68cd688e000000002101fe3b</t>
        </is>
      </c>
      <c r="B162" s="2" t="str">
        <f>=HYPERLINK("https://www.xiaohongshu.com/user/profile/68cd688e000000002101fe3b", "https://www.xiaohongshu.com/user/profile/68cd688e000000002101fe3b")</f>
        <v>https://www.xiaohongshu.com/user/profile/68cd688e000000002101fe3b</v>
      </c>
      <c r="C162" s="2" t="str">
        <f>=HYPERLINK("https://pgy.xiaohongshu.com/solar/pre-trade/blogger-detail/68cd688e000000002101fe3b", "https://pgy.xiaohongshu.com/solar/pre-trade/blogger-detail/68cd688e000000002101fe3b")</f>
        <v>https://pgy.xiaohongshu.com/solar/pre-trade/blogger-detail/68cd688e000000002101fe3b</v>
      </c>
      <c r="D162" t="inlineStr">
        <is>
          <t>女</t>
        </is>
      </c>
      <c r="E162" t="inlineStr">
        <is>
          <t>49660588354</t>
        </is>
      </c>
      <c r="F162" t="inlineStr">
        <is>
          <t>950905</t>
        </is>
      </c>
      <c r="G162" t="inlineStr">
        <is>
          <t>浙江 温州 乐清市</t>
        </is>
      </c>
      <c r="H162"/>
      <c r="I162" t="inlineStr">
        <is>
          <t>教育</t>
        </is>
      </c>
      <c r="J162">
        <v>8688</v>
      </c>
      <c r="K162" t="inlineStr">
        <is>
          <t>0.9</t>
        </is>
      </c>
      <c r="L162">
        <v>30351</v>
      </c>
      <c r="M162">
        <v>25559</v>
      </c>
      <c r="N162">
        <v>3903</v>
      </c>
      <c r="O162">
        <v>600</v>
      </c>
      <c r="P162">
        <v>0.5</v>
      </c>
      <c r="Q162">
        <v>1</v>
      </c>
      <c r="R162">
        <v>0</v>
      </c>
      <c r="S162">
        <v>0</v>
      </c>
      <c r="T162">
        <v>0</v>
      </c>
      <c r="U162">
        <v>0</v>
      </c>
      <c r="V162">
        <v>300</v>
      </c>
      <c r="W162">
        <v>0</v>
      </c>
      <c r="X162">
        <v>0</v>
      </c>
      <c r="Y162">
        <v>0</v>
      </c>
      <c r="Z162">
        <v>0</v>
      </c>
      <c r="AA162">
        <v>30351</v>
      </c>
      <c r="AB162">
        <v>25559</v>
      </c>
      <c r="AC162">
        <v>3639</v>
      </c>
      <c r="AD162">
        <v>1.52</v>
      </c>
      <c r="AE162">
        <v>600</v>
      </c>
      <c r="AF162">
        <v>1</v>
      </c>
      <c r="AG162">
        <v>0.5</v>
      </c>
      <c r="AH162">
        <v>0.0139999999999999</v>
      </c>
      <c r="AI162">
        <v>19.77</v>
      </c>
      <c r="AJ162">
        <v>0.15</v>
      </c>
      <c r="AK162">
        <v>0</v>
      </c>
      <c r="AL162">
        <v>0</v>
      </c>
      <c r="AM162">
        <v>0</v>
      </c>
      <c r="AN162">
        <v>0</v>
      </c>
      <c r="AO162">
        <v>0</v>
      </c>
      <c r="AP162">
        <v>0.978</v>
      </c>
      <c r="AQ162">
        <v>0.193</v>
      </c>
      <c r="AR162">
        <v>0.248</v>
      </c>
      <c r="AS162" s="3">
        <v>46107.767060185186</v>
      </c>
    </row>
    <row r="163" ht="25.5" customHeight="1">
      <c r="A163" t="inlineStr">
        <is>
          <t>68d05c1200000000210229e8</t>
        </is>
      </c>
      <c r="B163" s="2" t="str">
        <f>=HYPERLINK("https://www.xiaohongshu.com/user/profile/68d05c1200000000210229e8", "https://www.xiaohongshu.com/user/profile/68d05c1200000000210229e8")</f>
        <v>https://www.xiaohongshu.com/user/profile/68d05c1200000000210229e8</v>
      </c>
      <c r="C163" s="2" t="str">
        <f>=HYPERLINK("https://pgy.xiaohongshu.com/solar/pre-trade/blogger-detail/68d05c1200000000210229e8", "https://pgy.xiaohongshu.com/solar/pre-trade/blogger-detail/68d05c1200000000210229e8")</f>
        <v>https://pgy.xiaohongshu.com/solar/pre-trade/blogger-detail/68d05c1200000000210229e8</v>
      </c>
      <c r="D163" t="inlineStr">
        <is>
          <t>女</t>
        </is>
      </c>
      <c r="E163" t="inlineStr">
        <is>
          <t>49661388939</t>
        </is>
      </c>
      <c r="F163" t="inlineStr">
        <is>
          <t>Luke Priddy卢克老师</t>
        </is>
      </c>
      <c r="G163" t="inlineStr">
        <is>
          <t>美国</t>
        </is>
      </c>
      <c r="H163" t="inlineStr">
        <is>
          <t>创业者, 外国人, 爸爸</t>
        </is>
      </c>
      <c r="I163" t="inlineStr">
        <is>
          <t>教育</t>
        </is>
      </c>
      <c r="J163">
        <v>16445</v>
      </c>
      <c r="K163" t="inlineStr">
        <is>
          <t>1.6</t>
        </is>
      </c>
      <c r="L163">
        <v>39997</v>
      </c>
      <c r="M163">
        <v>17637</v>
      </c>
      <c r="N163">
        <v>1013</v>
      </c>
      <c r="O163">
        <v>2500</v>
      </c>
      <c r="P163">
        <v>0.2</v>
      </c>
      <c r="Q163">
        <v>0.7</v>
      </c>
      <c r="R163">
        <v>0</v>
      </c>
      <c r="S163">
        <v>0</v>
      </c>
      <c r="T163">
        <v>0</v>
      </c>
      <c r="U163">
        <v>0</v>
      </c>
      <c r="V163">
        <v>2500</v>
      </c>
      <c r="W163">
        <v>0</v>
      </c>
      <c r="X163">
        <v>0</v>
      </c>
      <c r="Y163">
        <v>0</v>
      </c>
      <c r="Z163">
        <v>0</v>
      </c>
      <c r="AA163">
        <v>39997</v>
      </c>
      <c r="AB163">
        <v>17637</v>
      </c>
      <c r="AC163">
        <v>701</v>
      </c>
      <c r="AD163">
        <v>1.83</v>
      </c>
      <c r="AE163">
        <v>3500</v>
      </c>
      <c r="AF163">
        <v>0.7</v>
      </c>
      <c r="AG163">
        <v>0.2</v>
      </c>
      <c r="AH163">
        <v>0.15</v>
      </c>
      <c r="AI163">
        <v>107.68</v>
      </c>
      <c r="AJ163">
        <v>3.5</v>
      </c>
      <c r="AK163">
        <v>27725</v>
      </c>
      <c r="AL163">
        <v>3944</v>
      </c>
      <c r="AM163">
        <v>392</v>
      </c>
      <c r="AN163">
        <v>0</v>
      </c>
      <c r="AO163">
        <v>0</v>
      </c>
      <c r="AP163">
        <v>0.98</v>
      </c>
      <c r="AQ163">
        <v>0.081</v>
      </c>
      <c r="AR163">
        <v>0.252</v>
      </c>
      <c r="AS163" s="3">
        <v>46107.767060185186</v>
      </c>
    </row>
    <row r="164" ht="25.5" customHeight="1">
      <c r="A164" t="inlineStr">
        <is>
          <t>5ba7a0e356245400017046a0</t>
        </is>
      </c>
      <c r="B164" s="2" t="str">
        <f>=HYPERLINK("https://www.xiaohongshu.com/user/profile/5ba7a0e356245400017046a0", "https://www.xiaohongshu.com/user/profile/5ba7a0e356245400017046a0")</f>
        <v>https://www.xiaohongshu.com/user/profile/5ba7a0e356245400017046a0</v>
      </c>
      <c r="C164" s="2" t="str">
        <f>=HYPERLINK("https://pgy.xiaohongshu.com/solar/pre-trade/blogger-detail/5ba7a0e356245400017046a0", "https://pgy.xiaohongshu.com/solar/pre-trade/blogger-detail/5ba7a0e356245400017046a0")</f>
        <v>https://pgy.xiaohongshu.com/solar/pre-trade/blogger-detail/5ba7a0e356245400017046a0</v>
      </c>
      <c r="D164" t="inlineStr">
        <is>
          <t>女</t>
        </is>
      </c>
      <c r="E164" t="inlineStr">
        <is>
          <t>Sishisi_444</t>
        </is>
      </c>
      <c r="F164" t="inlineStr">
        <is>
          <t>泗十泗444（3w🎁）</t>
        </is>
      </c>
      <c r="G164" t="inlineStr">
        <is>
          <t>英国</t>
        </is>
      </c>
      <c r="H164" t="inlineStr">
        <is>
          <t>留学背景, 学生</t>
        </is>
      </c>
      <c r="I164" t="inlineStr">
        <is>
          <t>教育</t>
        </is>
      </c>
      <c r="J164">
        <v>18497</v>
      </c>
      <c r="K164" t="inlineStr">
        <is>
          <t>1.8</t>
        </is>
      </c>
      <c r="L164">
        <v>17362</v>
      </c>
      <c r="M164">
        <v>4570</v>
      </c>
      <c r="N164">
        <v>679</v>
      </c>
      <c r="O164">
        <v>800</v>
      </c>
      <c r="P164">
        <v>0.222</v>
      </c>
      <c r="Q164">
        <v>0.833</v>
      </c>
      <c r="R164">
        <v>0</v>
      </c>
      <c r="S164">
        <v>0</v>
      </c>
      <c r="T164">
        <v>0</v>
      </c>
      <c r="U164">
        <v>0</v>
      </c>
      <c r="V164">
        <v>800</v>
      </c>
      <c r="W164">
        <v>0</v>
      </c>
      <c r="X164">
        <v>0</v>
      </c>
      <c r="Y164">
        <v>0</v>
      </c>
      <c r="Z164">
        <v>0</v>
      </c>
      <c r="AA164">
        <v>17362</v>
      </c>
      <c r="AB164">
        <v>4570</v>
      </c>
      <c r="AC164">
        <v>625</v>
      </c>
      <c r="AD164">
        <v>1.92</v>
      </c>
      <c r="AE164">
        <v>1500</v>
      </c>
      <c r="AF164">
        <v>0.833</v>
      </c>
      <c r="AG164">
        <v>0.222</v>
      </c>
      <c r="AH164">
        <v>0.027</v>
      </c>
      <c r="AI164">
        <v>107.03</v>
      </c>
      <c r="AJ164">
        <v>2.7</v>
      </c>
      <c r="AK164">
        <v>4416</v>
      </c>
      <c r="AL164">
        <v>576</v>
      </c>
      <c r="AM164">
        <v>20</v>
      </c>
      <c r="AN164">
        <v>0</v>
      </c>
      <c r="AO164">
        <v>0</v>
      </c>
      <c r="AP164">
        <v>0.86</v>
      </c>
      <c r="AQ164">
        <v>0.148</v>
      </c>
      <c r="AR164">
        <v>0.22</v>
      </c>
      <c r="AS164" s="3">
        <v>46107.767060185186</v>
      </c>
    </row>
    <row r="165" ht="25.5" customHeight="1">
      <c r="A165" t="inlineStr">
        <is>
          <t>5b382fe1e8ac2b6c66ccdbe4</t>
        </is>
      </c>
      <c r="B165" s="2" t="str">
        <f>=HYPERLINK("https://www.xiaohongshu.com/user/profile/5b382fe1e8ac2b6c66ccdbe4", "https://www.xiaohongshu.com/user/profile/5b382fe1e8ac2b6c66ccdbe4")</f>
        <v>https://www.xiaohongshu.com/user/profile/5b382fe1e8ac2b6c66ccdbe4</v>
      </c>
      <c r="C165" s="2" t="str">
        <f>=HYPERLINK("https://pgy.xiaohongshu.com/solar/pre-trade/blogger-detail/5b382fe1e8ac2b6c66ccdbe4", "https://pgy.xiaohongshu.com/solar/pre-trade/blogger-detail/5b382fe1e8ac2b6c66ccdbe4")</f>
        <v>https://pgy.xiaohongshu.com/solar/pre-trade/blogger-detail/5b382fe1e8ac2b6c66ccdbe4</v>
      </c>
      <c r="D165" t="inlineStr">
        <is>
          <t>女</t>
        </is>
      </c>
      <c r="E165" t="inlineStr">
        <is>
          <t>117651172</t>
        </is>
      </c>
      <c r="F165" t="inlineStr">
        <is>
          <t>虎虎小吐司</t>
        </is>
      </c>
      <c r="G165" t="inlineStr">
        <is>
          <t>浙江 杭州 拱墅区</t>
        </is>
      </c>
      <c r="H165" t="inlineStr">
        <is>
          <t>考研过来人, 学生</t>
        </is>
      </c>
      <c r="I165" t="inlineStr">
        <is>
          <t>教育</t>
        </is>
      </c>
      <c r="J165">
        <v>7074</v>
      </c>
      <c r="K165" t="inlineStr">
        <is>
          <t>0.7</t>
        </is>
      </c>
      <c r="L165">
        <v>9055</v>
      </c>
      <c r="M165">
        <v>2284</v>
      </c>
      <c r="N165">
        <v>292</v>
      </c>
      <c r="O165">
        <v>400</v>
      </c>
      <c r="P165">
        <v>0.25</v>
      </c>
      <c r="Q165">
        <v>0.5</v>
      </c>
      <c r="R165">
        <v>82518</v>
      </c>
      <c r="S165">
        <v>13399</v>
      </c>
      <c r="T165">
        <v>2807</v>
      </c>
      <c r="U165">
        <v>0.36</v>
      </c>
      <c r="V165">
        <v>400</v>
      </c>
      <c r="W165">
        <v>1</v>
      </c>
      <c r="X165">
        <v>1</v>
      </c>
      <c r="Y165">
        <v>8.96</v>
      </c>
      <c r="Z165">
        <v>0.27</v>
      </c>
      <c r="AA165">
        <v>8910</v>
      </c>
      <c r="AB165">
        <v>1555</v>
      </c>
      <c r="AC165">
        <v>57</v>
      </c>
      <c r="AD165">
        <v>1.95</v>
      </c>
      <c r="AE165">
        <v>700</v>
      </c>
      <c r="AF165">
        <v>0.332999999999999</v>
      </c>
      <c r="AG165">
        <v>0</v>
      </c>
      <c r="AH165">
        <v>0.125</v>
      </c>
      <c r="AI165">
        <v>78.56</v>
      </c>
      <c r="AJ165">
        <v>11.29</v>
      </c>
      <c r="AK165">
        <v>6797</v>
      </c>
      <c r="AL165">
        <v>774</v>
      </c>
      <c r="AM165">
        <v>73</v>
      </c>
      <c r="AN165">
        <v>0</v>
      </c>
      <c r="AO165">
        <v>0</v>
      </c>
      <c r="AP165">
        <v>0.829</v>
      </c>
      <c r="AQ165">
        <v>0.07</v>
      </c>
      <c r="AR165">
        <v>0.024</v>
      </c>
      <c r="AS165" s="3">
        <v>46107.767060185186</v>
      </c>
    </row>
    <row r="166" ht="25.5" customHeight="1">
      <c r="A166" t="inlineStr">
        <is>
          <t>5786165150c4b4692f4fca22</t>
        </is>
      </c>
      <c r="B166" s="2" t="str">
        <f>=HYPERLINK("https://www.xiaohongshu.com/user/profile/5786165150c4b4692f4fca22", "https://www.xiaohongshu.com/user/profile/5786165150c4b4692f4fca22")</f>
        <v>https://www.xiaohongshu.com/user/profile/5786165150c4b4692f4fca22</v>
      </c>
      <c r="C166" s="2" t="str">
        <f>=HYPERLINK("https://pgy.xiaohongshu.com/solar/pre-trade/blogger-detail/5786165150c4b4692f4fca22", "https://pgy.xiaohongshu.com/solar/pre-trade/blogger-detail/5786165150c4b4692f4fca22")</f>
        <v>https://pgy.xiaohongshu.com/solar/pre-trade/blogger-detail/5786165150c4b4692f4fca22</v>
      </c>
      <c r="D166" t="inlineStr">
        <is>
          <t>女</t>
        </is>
      </c>
      <c r="E166" t="inlineStr">
        <is>
          <t>ichiryo67</t>
        </is>
      </c>
      <c r="F166" t="inlineStr">
        <is>
          <t>纱纱本莎</t>
        </is>
      </c>
      <c r="G166" t="inlineStr">
        <is>
          <t>江苏 南京 栖霞区</t>
        </is>
      </c>
      <c r="H166" t="inlineStr">
        <is>
          <t>学生</t>
        </is>
      </c>
      <c r="I166" t="inlineStr">
        <is>
          <t>教育</t>
        </is>
      </c>
      <c r="J166">
        <v>11811</v>
      </c>
      <c r="K166" t="inlineStr">
        <is>
          <t>1.2</t>
        </is>
      </c>
      <c r="L166">
        <v>16505</v>
      </c>
      <c r="M166">
        <v>5142</v>
      </c>
      <c r="N166">
        <v>797</v>
      </c>
      <c r="O166">
        <v>1800</v>
      </c>
      <c r="P166">
        <v>0.332999999999999</v>
      </c>
      <c r="Q166">
        <v>1</v>
      </c>
      <c r="R166">
        <v>0</v>
      </c>
      <c r="S166">
        <v>0</v>
      </c>
      <c r="T166">
        <v>0</v>
      </c>
      <c r="U166">
        <v>0</v>
      </c>
      <c r="V166">
        <v>1800</v>
      </c>
      <c r="W166">
        <v>0</v>
      </c>
      <c r="X166">
        <v>0</v>
      </c>
      <c r="Y166">
        <v>0</v>
      </c>
      <c r="Z166">
        <v>0</v>
      </c>
      <c r="AA166">
        <v>16505</v>
      </c>
      <c r="AB166">
        <v>5142</v>
      </c>
      <c r="AC166">
        <v>677</v>
      </c>
      <c r="AD166">
        <v>2.12</v>
      </c>
      <c r="AE166">
        <v>3200</v>
      </c>
      <c r="AF166">
        <v>1</v>
      </c>
      <c r="AG166">
        <v>0.332999999999999</v>
      </c>
      <c r="AH166">
        <v>0.009</v>
      </c>
      <c r="AI166">
        <v>193.88</v>
      </c>
      <c r="AJ166">
        <v>4.02</v>
      </c>
      <c r="AK166">
        <v>0</v>
      </c>
      <c r="AL166">
        <v>0</v>
      </c>
      <c r="AM166">
        <v>0</v>
      </c>
      <c r="AN166">
        <v>0</v>
      </c>
      <c r="AO166">
        <v>0</v>
      </c>
      <c r="AP166">
        <v>0.846</v>
      </c>
      <c r="AQ166">
        <v>0.064</v>
      </c>
      <c r="AR166">
        <v>0.091</v>
      </c>
      <c r="AS166" s="3">
        <v>46107.767060185186</v>
      </c>
    </row>
    <row r="167" ht="25.5" customHeight="1">
      <c r="A167" t="inlineStr">
        <is>
          <t>5fffff360000000001007b24</t>
        </is>
      </c>
      <c r="B167" s="2" t="str">
        <f>=HYPERLINK("https://www.xiaohongshu.com/user/profile/5fffff360000000001007b24", "https://www.xiaohongshu.com/user/profile/5fffff360000000001007b24")</f>
        <v>https://www.xiaohongshu.com/user/profile/5fffff360000000001007b24</v>
      </c>
      <c r="C167" s="2" t="str">
        <f>=HYPERLINK("https://pgy.xiaohongshu.com/solar/pre-trade/blogger-detail/5fffff360000000001007b24", "https://pgy.xiaohongshu.com/solar/pre-trade/blogger-detail/5fffff360000000001007b24")</f>
        <v>https://pgy.xiaohongshu.com/solar/pre-trade/blogger-detail/5fffff360000000001007b24</v>
      </c>
      <c r="D167" t="inlineStr">
        <is>
          <t>女</t>
        </is>
      </c>
      <c r="E167" t="inlineStr">
        <is>
          <t>4269032783</t>
        </is>
      </c>
      <c r="F167" t="inlineStr">
        <is>
          <t>塞林格Gaau</t>
        </is>
      </c>
      <c r="G167" t="inlineStr">
        <is>
          <t>重庆</t>
        </is>
      </c>
      <c r="H167" t="inlineStr">
        <is>
          <t>学生</t>
        </is>
      </c>
      <c r="I167" t="inlineStr">
        <is>
          <t>教育</t>
        </is>
      </c>
      <c r="J167">
        <v>5294</v>
      </c>
      <c r="K167" t="inlineStr">
        <is>
          <t>0.5</t>
        </is>
      </c>
      <c r="L167">
        <v>3416</v>
      </c>
      <c r="M167">
        <v>1352</v>
      </c>
      <c r="N167">
        <v>298</v>
      </c>
      <c r="O167">
        <v>300</v>
      </c>
      <c r="P167">
        <v>0</v>
      </c>
      <c r="Q167">
        <v>0.857</v>
      </c>
      <c r="R167">
        <v>0</v>
      </c>
      <c r="S167">
        <v>0</v>
      </c>
      <c r="T167">
        <v>0</v>
      </c>
      <c r="U167">
        <v>0</v>
      </c>
      <c r="V167">
        <v>300</v>
      </c>
      <c r="W167">
        <v>0</v>
      </c>
      <c r="X167">
        <v>0</v>
      </c>
      <c r="Y167">
        <v>0</v>
      </c>
      <c r="Z167">
        <v>0</v>
      </c>
      <c r="AA167">
        <v>3416</v>
      </c>
      <c r="AB167">
        <v>1352</v>
      </c>
      <c r="AC167">
        <v>299</v>
      </c>
      <c r="AD167">
        <v>1.87</v>
      </c>
      <c r="AE167">
        <v>400</v>
      </c>
      <c r="AF167">
        <v>0.857</v>
      </c>
      <c r="AG167">
        <v>0</v>
      </c>
      <c r="AH167">
        <v>0.272</v>
      </c>
      <c r="AI167">
        <v>117.1</v>
      </c>
      <c r="AJ167">
        <v>1.69</v>
      </c>
      <c r="AK167">
        <v>3186</v>
      </c>
      <c r="AL167">
        <v>807</v>
      </c>
      <c r="AM167">
        <v>150</v>
      </c>
      <c r="AN167">
        <v>27</v>
      </c>
      <c r="AO167">
        <v>16.03</v>
      </c>
      <c r="AP167">
        <v>0.82</v>
      </c>
      <c r="AQ167">
        <v>0.051</v>
      </c>
      <c r="AR167">
        <v>0.009</v>
      </c>
      <c r="AS167" s="3">
        <v>46107.767060185186</v>
      </c>
    </row>
    <row r="168" ht="25.5" customHeight="1">
      <c r="A168" t="inlineStr">
        <is>
          <t>66260e1a00000000070066ac</t>
        </is>
      </c>
      <c r="B168" s="2" t="str">
        <f>=HYPERLINK("https://www.xiaohongshu.com/user/profile/66260e1a00000000070066ac", "https://www.xiaohongshu.com/user/profile/66260e1a00000000070066ac")</f>
        <v>https://www.xiaohongshu.com/user/profile/66260e1a00000000070066ac</v>
      </c>
      <c r="C168" s="2" t="str">
        <f>=HYPERLINK("https://pgy.xiaohongshu.com/solar/pre-trade/blogger-detail/66260e1a00000000070066ac", "https://pgy.xiaohongshu.com/solar/pre-trade/blogger-detail/66260e1a00000000070066ac")</f>
        <v>https://pgy.xiaohongshu.com/solar/pre-trade/blogger-detail/66260e1a00000000070066ac</v>
      </c>
      <c r="D168" t="inlineStr">
        <is>
          <t>男</t>
        </is>
      </c>
      <c r="E168" t="inlineStr">
        <is>
          <t>26563545232</t>
        </is>
      </c>
      <c r="F168" t="inlineStr">
        <is>
          <t>风天语（生活版）</t>
        </is>
      </c>
      <c r="G168" t="inlineStr">
        <is>
          <t>湖北 武汉 江夏区</t>
        </is>
      </c>
      <c r="H168"/>
      <c r="I168" t="inlineStr">
        <is>
          <t>教育</t>
        </is>
      </c>
      <c r="J168">
        <v>3221</v>
      </c>
      <c r="K168" t="inlineStr">
        <is>
          <t>0.3</t>
        </is>
      </c>
      <c r="L168">
        <v>9607</v>
      </c>
      <c r="M168">
        <v>4700</v>
      </c>
      <c r="N168">
        <v>454</v>
      </c>
      <c r="O168">
        <v>235</v>
      </c>
      <c r="P168">
        <v>0</v>
      </c>
      <c r="Q168">
        <v>0.75</v>
      </c>
      <c r="R168">
        <v>0</v>
      </c>
      <c r="S168">
        <v>0</v>
      </c>
      <c r="T168">
        <v>0</v>
      </c>
      <c r="U168">
        <v>0</v>
      </c>
      <c r="V168">
        <v>235</v>
      </c>
      <c r="W168">
        <v>0</v>
      </c>
      <c r="X168">
        <v>0</v>
      </c>
      <c r="Y168">
        <v>0</v>
      </c>
      <c r="Z168">
        <v>0</v>
      </c>
      <c r="AA168">
        <v>9607</v>
      </c>
      <c r="AB168">
        <v>4700</v>
      </c>
      <c r="AC168">
        <v>421</v>
      </c>
      <c r="AD168">
        <v>1.7</v>
      </c>
      <c r="AE168">
        <v>430</v>
      </c>
      <c r="AF168">
        <v>0.75</v>
      </c>
      <c r="AG168">
        <v>0</v>
      </c>
      <c r="AH168">
        <v>0.046</v>
      </c>
      <c r="AI168">
        <v>46.96</v>
      </c>
      <c r="AJ168">
        <v>1.37</v>
      </c>
      <c r="AK168">
        <v>9156</v>
      </c>
      <c r="AL168">
        <v>1319</v>
      </c>
      <c r="AM168">
        <v>299</v>
      </c>
      <c r="AN168">
        <v>0</v>
      </c>
      <c r="AO168">
        <v>0</v>
      </c>
      <c r="AP168">
        <v>0.987</v>
      </c>
      <c r="AQ168">
        <v>0.085</v>
      </c>
      <c r="AR168">
        <v>0.042</v>
      </c>
      <c r="AS168" s="3">
        <v>46107.767060185186</v>
      </c>
    </row>
    <row r="169" ht="25.5" customHeight="1">
      <c r="A169" t="inlineStr">
        <is>
          <t>65eadf4c000000000500e70e</t>
        </is>
      </c>
      <c r="B169" s="2" t="str">
        <f>=HYPERLINK("https://www.xiaohongshu.com/user/profile/65eadf4c000000000500e70e", "https://www.xiaohongshu.com/user/profile/65eadf4c000000000500e70e")</f>
        <v>https://www.xiaohongshu.com/user/profile/65eadf4c000000000500e70e</v>
      </c>
      <c r="C169" s="2" t="str">
        <f>=HYPERLINK("https://pgy.xiaohongshu.com/solar/pre-trade/blogger-detail/65eadf4c000000000500e70e", "https://pgy.xiaohongshu.com/solar/pre-trade/blogger-detail/65eadf4c000000000500e70e")</f>
        <v>https://pgy.xiaohongshu.com/solar/pre-trade/blogger-detail/65eadf4c000000000500e70e</v>
      </c>
      <c r="D169" t="inlineStr">
        <is>
          <t>女</t>
        </is>
      </c>
      <c r="E169" t="inlineStr">
        <is>
          <t>Mickiverse</t>
        </is>
      </c>
      <c r="F169" t="inlineStr">
        <is>
          <t>MissMicki</t>
        </is>
      </c>
      <c r="G169" t="inlineStr">
        <is>
          <t>北京</t>
        </is>
      </c>
      <c r="H169"/>
      <c r="I169" t="inlineStr">
        <is>
          <t>教育</t>
        </is>
      </c>
      <c r="J169">
        <v>4433</v>
      </c>
      <c r="K169" t="inlineStr">
        <is>
          <t>0.4</t>
        </is>
      </c>
      <c r="L169">
        <v>19238</v>
      </c>
      <c r="M169">
        <v>15905</v>
      </c>
      <c r="N169">
        <v>2615</v>
      </c>
      <c r="O169">
        <v>300</v>
      </c>
      <c r="P169">
        <v>0.5</v>
      </c>
      <c r="Q169">
        <v>0.75</v>
      </c>
      <c r="R169">
        <v>0</v>
      </c>
      <c r="S169">
        <v>0</v>
      </c>
      <c r="T169">
        <v>0</v>
      </c>
      <c r="U169">
        <v>0</v>
      </c>
      <c r="V169">
        <v>300</v>
      </c>
      <c r="W169">
        <v>0</v>
      </c>
      <c r="X169">
        <v>0</v>
      </c>
      <c r="Y169">
        <v>0</v>
      </c>
      <c r="Z169">
        <v>0</v>
      </c>
      <c r="AA169">
        <v>19238</v>
      </c>
      <c r="AB169">
        <v>15905</v>
      </c>
      <c r="AC169">
        <v>2389</v>
      </c>
      <c r="AD169">
        <v>1.77</v>
      </c>
      <c r="AE169">
        <v>400</v>
      </c>
      <c r="AF169">
        <v>0.75</v>
      </c>
      <c r="AG169">
        <v>0.5</v>
      </c>
      <c r="AH169">
        <v>0.389</v>
      </c>
      <c r="AI169">
        <v>50.64</v>
      </c>
      <c r="AJ169">
        <v>1.41</v>
      </c>
      <c r="AK169">
        <v>6673</v>
      </c>
      <c r="AL169">
        <v>1302</v>
      </c>
      <c r="AM169">
        <v>237</v>
      </c>
      <c r="AN169">
        <v>0</v>
      </c>
      <c r="AO169">
        <v>0</v>
      </c>
      <c r="AP169">
        <v>0.961</v>
      </c>
      <c r="AQ169">
        <v>0.143</v>
      </c>
      <c r="AR169">
        <v>0.175</v>
      </c>
      <c r="AS169" s="3">
        <v>46107.767060185186</v>
      </c>
    </row>
    <row r="170" ht="25.5" customHeight="1">
      <c r="A170" t="inlineStr">
        <is>
          <t>5a3a21b811be10110993d01e</t>
        </is>
      </c>
      <c r="B170" s="2" t="str">
        <f>=HYPERLINK("https://www.xiaohongshu.com/user/profile/5a3a21b811be10110993d01e", "https://www.xiaohongshu.com/user/profile/5a3a21b811be10110993d01e")</f>
        <v>https://www.xiaohongshu.com/user/profile/5a3a21b811be10110993d01e</v>
      </c>
      <c r="C170" s="2" t="str">
        <f>=HYPERLINK("https://pgy.xiaohongshu.com/solar/pre-trade/blogger-detail/5a3a21b811be10110993d01e", "https://pgy.xiaohongshu.com/solar/pre-trade/blogger-detail/5a3a21b811be10110993d01e")</f>
        <v>https://pgy.xiaohongshu.com/solar/pre-trade/blogger-detail/5a3a21b811be10110993d01e</v>
      </c>
      <c r="D170" t="inlineStr">
        <is>
          <t>女</t>
        </is>
      </c>
      <c r="E170" t="inlineStr">
        <is>
          <t>ibin_ke273</t>
        </is>
      </c>
      <c r="F170" t="inlineStr">
        <is>
          <t>冷静小粥🥣</t>
        </is>
      </c>
      <c r="G170" t="inlineStr">
        <is>
          <t>上海</t>
        </is>
      </c>
      <c r="H170" t="inlineStr">
        <is>
          <t>学生</t>
        </is>
      </c>
      <c r="I170" t="inlineStr">
        <is>
          <t>教育</t>
        </is>
      </c>
      <c r="J170">
        <v>12905</v>
      </c>
      <c r="K170" t="inlineStr">
        <is>
          <t>1.3</t>
        </is>
      </c>
      <c r="L170">
        <v>9983</v>
      </c>
      <c r="M170">
        <v>2203</v>
      </c>
      <c r="N170">
        <v>206</v>
      </c>
      <c r="O170">
        <v>1500</v>
      </c>
      <c r="P170">
        <v>0</v>
      </c>
      <c r="Q170">
        <v>1</v>
      </c>
      <c r="R170">
        <v>9983</v>
      </c>
      <c r="S170">
        <v>2203</v>
      </c>
      <c r="T170">
        <v>197</v>
      </c>
      <c r="U170">
        <v>1.44</v>
      </c>
      <c r="V170">
        <v>1500</v>
      </c>
      <c r="W170">
        <v>1</v>
      </c>
      <c r="X170">
        <v>0</v>
      </c>
      <c r="Y170">
        <v>238.02</v>
      </c>
      <c r="Z170">
        <v>13.64</v>
      </c>
      <c r="AA170">
        <v>0</v>
      </c>
      <c r="AB170">
        <v>0</v>
      </c>
      <c r="AC170">
        <v>0</v>
      </c>
      <c r="AD170">
        <v>0</v>
      </c>
      <c r="AE170">
        <v>1500</v>
      </c>
      <c r="AF170">
        <v>0</v>
      </c>
      <c r="AG170">
        <v>0</v>
      </c>
      <c r="AH170">
        <v>0</v>
      </c>
      <c r="AI170">
        <v>0</v>
      </c>
      <c r="AJ170">
        <v>0</v>
      </c>
      <c r="AK170">
        <v>2621</v>
      </c>
      <c r="AL170">
        <v>438</v>
      </c>
      <c r="AM170">
        <v>13</v>
      </c>
      <c r="AN170">
        <v>0</v>
      </c>
      <c r="AO170">
        <v>0</v>
      </c>
      <c r="AP170">
        <v>0.782999999999999</v>
      </c>
      <c r="AQ170">
        <v>0.009</v>
      </c>
      <c r="AR170">
        <v>-0.003</v>
      </c>
      <c r="AS170" s="3">
        <v>46107.767060185186</v>
      </c>
    </row>
    <row r="171" ht="25.5" customHeight="1">
      <c r="A171" t="inlineStr">
        <is>
          <t>630f6324000000000f004efc</t>
        </is>
      </c>
      <c r="B171" s="2" t="str">
        <f>=HYPERLINK("https://www.xiaohongshu.com/user/profile/630f6324000000000f004efc", "https://www.xiaohongshu.com/user/profile/630f6324000000000f004efc")</f>
        <v>https://www.xiaohongshu.com/user/profile/630f6324000000000f004efc</v>
      </c>
      <c r="C171" s="2" t="str">
        <f>=HYPERLINK("https://pgy.xiaohongshu.com/solar/pre-trade/blogger-detail/630f6324000000000f004efc", "https://pgy.xiaohongshu.com/solar/pre-trade/blogger-detail/630f6324000000000f004efc")</f>
        <v>https://pgy.xiaohongshu.com/solar/pre-trade/blogger-detail/630f6324000000000f004efc</v>
      </c>
      <c r="D171" t="inlineStr">
        <is>
          <t>男</t>
        </is>
      </c>
      <c r="E171" t="inlineStr">
        <is>
          <t>2986161338</t>
        </is>
      </c>
      <c r="F171" t="inlineStr">
        <is>
          <t>叫我阿涵吧</t>
        </is>
      </c>
      <c r="G171" t="inlineStr">
        <is>
          <t>福建 厦门 思明区</t>
        </is>
      </c>
      <c r="H171"/>
      <c r="I171" t="inlineStr">
        <is>
          <t>教育</t>
        </is>
      </c>
      <c r="J171">
        <v>57329</v>
      </c>
      <c r="K171" t="inlineStr">
        <is>
          <t>5.7</t>
        </is>
      </c>
      <c r="L171">
        <v>142800</v>
      </c>
      <c r="M171">
        <v>47545</v>
      </c>
      <c r="N171">
        <v>5873</v>
      </c>
      <c r="O171">
        <v>2500</v>
      </c>
      <c r="P171">
        <v>0.5</v>
      </c>
      <c r="Q171">
        <v>1</v>
      </c>
      <c r="R171">
        <v>0</v>
      </c>
      <c r="S171">
        <v>0</v>
      </c>
      <c r="T171">
        <v>0</v>
      </c>
      <c r="U171">
        <v>0</v>
      </c>
      <c r="V171">
        <v>2500</v>
      </c>
      <c r="W171">
        <v>0</v>
      </c>
      <c r="X171">
        <v>0</v>
      </c>
      <c r="Y171">
        <v>0</v>
      </c>
      <c r="Z171">
        <v>0</v>
      </c>
      <c r="AA171">
        <v>142800</v>
      </c>
      <c r="AB171">
        <v>47545</v>
      </c>
      <c r="AC171">
        <v>4512</v>
      </c>
      <c r="AD171">
        <v>1.85</v>
      </c>
      <c r="AE171">
        <v>7500</v>
      </c>
      <c r="AF171">
        <v>1</v>
      </c>
      <c r="AG171">
        <v>0.5</v>
      </c>
      <c r="AH171">
        <v>0.047</v>
      </c>
      <c r="AI171">
        <v>43.2</v>
      </c>
      <c r="AJ171">
        <v>1.12</v>
      </c>
      <c r="AK171">
        <v>191162</v>
      </c>
      <c r="AL171">
        <v>21484</v>
      </c>
      <c r="AM171">
        <v>5609</v>
      </c>
      <c r="AN171">
        <v>0</v>
      </c>
      <c r="AO171">
        <v>0</v>
      </c>
      <c r="AP171">
        <v>0.760999999999999</v>
      </c>
      <c r="AQ171">
        <v>0.062</v>
      </c>
      <c r="AR171">
        <v>0.069</v>
      </c>
      <c r="AS171" s="3">
        <v>46107.767060185186</v>
      </c>
    </row>
    <row r="172" ht="25.5" customHeight="1">
      <c r="A172" t="inlineStr">
        <is>
          <t>5a86cd454eacab660624e793</t>
        </is>
      </c>
      <c r="B172" s="2" t="str">
        <f>=HYPERLINK("https://www.xiaohongshu.com/user/profile/5a86cd454eacab660624e793", "https://www.xiaohongshu.com/user/profile/5a86cd454eacab660624e793")</f>
        <v>https://www.xiaohongshu.com/user/profile/5a86cd454eacab660624e793</v>
      </c>
      <c r="C172" s="2" t="str">
        <f>=HYPERLINK("https://pgy.xiaohongshu.com/solar/pre-trade/blogger-detail/5a86cd454eacab660624e793", "https://pgy.xiaohongshu.com/solar/pre-trade/blogger-detail/5a86cd454eacab660624e793")</f>
        <v>https://pgy.xiaohongshu.com/solar/pre-trade/blogger-detail/5a86cd454eacab660624e793</v>
      </c>
      <c r="D172" t="inlineStr">
        <is>
          <t>女</t>
        </is>
      </c>
      <c r="E172" t="inlineStr">
        <is>
          <t>G020202</t>
        </is>
      </c>
      <c r="F172" t="inlineStr">
        <is>
          <t>一只会脸红的猫</t>
        </is>
      </c>
      <c r="G172" t="inlineStr">
        <is>
          <t>澳大利亚</t>
        </is>
      </c>
      <c r="H172" t="inlineStr">
        <is>
          <t>留学背景, 学生</t>
        </is>
      </c>
      <c r="I172" t="inlineStr">
        <is>
          <t>教育, 生活记录</t>
        </is>
      </c>
      <c r="J172">
        <v>11444</v>
      </c>
      <c r="K172" t="inlineStr">
        <is>
          <t>1.1</t>
        </is>
      </c>
      <c r="L172">
        <v>40719</v>
      </c>
      <c r="M172">
        <v>7290</v>
      </c>
      <c r="N172">
        <v>193</v>
      </c>
      <c r="O172">
        <v>1999</v>
      </c>
      <c r="P172">
        <v>0.111</v>
      </c>
      <c r="Q172">
        <v>0.667</v>
      </c>
      <c r="R172">
        <v>29790</v>
      </c>
      <c r="S172">
        <v>5660</v>
      </c>
      <c r="T172">
        <v>176</v>
      </c>
      <c r="U172">
        <v>0.65</v>
      </c>
      <c r="V172">
        <v>1999</v>
      </c>
      <c r="W172">
        <v>0.6</v>
      </c>
      <c r="X172">
        <v>0</v>
      </c>
      <c r="Y172">
        <v>67.1</v>
      </c>
      <c r="Z172">
        <v>10.36</v>
      </c>
      <c r="AA172">
        <v>65765</v>
      </c>
      <c r="AB172">
        <v>12253</v>
      </c>
      <c r="AC172">
        <v>199</v>
      </c>
      <c r="AD172">
        <v>1.73</v>
      </c>
      <c r="AE172">
        <v>2800</v>
      </c>
      <c r="AF172">
        <v>0.75</v>
      </c>
      <c r="AG172">
        <v>0.25</v>
      </c>
      <c r="AH172">
        <v>0.178</v>
      </c>
      <c r="AI172">
        <v>80.56</v>
      </c>
      <c r="AJ172">
        <v>12.53</v>
      </c>
      <c r="AK172">
        <v>94554</v>
      </c>
      <c r="AL172">
        <v>18410</v>
      </c>
      <c r="AM172">
        <v>250</v>
      </c>
      <c r="AN172">
        <v>0</v>
      </c>
      <c r="AO172">
        <v>0</v>
      </c>
      <c r="AP172">
        <v>0.802999999999999</v>
      </c>
      <c r="AQ172">
        <v>0.045</v>
      </c>
      <c r="AR172">
        <v>0.075</v>
      </c>
      <c r="AS172" s="3">
        <v>46107.767060185186</v>
      </c>
    </row>
    <row r="173" ht="25.5" customHeight="1">
      <c r="A173" t="inlineStr">
        <is>
          <t>6016146200000000010066d3</t>
        </is>
      </c>
      <c r="B173" s="2" t="str">
        <f>=HYPERLINK("https://www.xiaohongshu.com/user/profile/6016146200000000010066d3", "https://www.xiaohongshu.com/user/profile/6016146200000000010066d3")</f>
        <v>https://www.xiaohongshu.com/user/profile/6016146200000000010066d3</v>
      </c>
      <c r="C173" s="2" t="str">
        <f>=HYPERLINK("https://pgy.xiaohongshu.com/solar/pre-trade/blogger-detail/6016146200000000010066d3", "https://pgy.xiaohongshu.com/solar/pre-trade/blogger-detail/6016146200000000010066d3")</f>
        <v>https://pgy.xiaohongshu.com/solar/pre-trade/blogger-detail/6016146200000000010066d3</v>
      </c>
      <c r="D173" t="inlineStr">
        <is>
          <t>男</t>
        </is>
      </c>
      <c r="E173" t="inlineStr">
        <is>
          <t>4958429243</t>
        </is>
      </c>
      <c r="F173" t="inlineStr">
        <is>
          <t>kk鱼</t>
        </is>
      </c>
      <c r="G173" t="inlineStr">
        <is>
          <t>加拿大</t>
        </is>
      </c>
      <c r="H173" t="inlineStr">
        <is>
          <t>留学背景, 学生</t>
        </is>
      </c>
      <c r="I173" t="inlineStr">
        <is>
          <t>教育, 生活记录</t>
        </is>
      </c>
      <c r="J173">
        <v>29381</v>
      </c>
      <c r="K173" t="inlineStr">
        <is>
          <t>2.9</t>
        </is>
      </c>
      <c r="L173">
        <v>25536</v>
      </c>
      <c r="M173">
        <v>3578</v>
      </c>
      <c r="N173">
        <v>494</v>
      </c>
      <c r="O173">
        <v>1554</v>
      </c>
      <c r="P173">
        <v>0</v>
      </c>
      <c r="Q173">
        <v>0.9</v>
      </c>
      <c r="R173">
        <v>18944</v>
      </c>
      <c r="S173">
        <v>2560</v>
      </c>
      <c r="T173">
        <v>326</v>
      </c>
      <c r="U173">
        <v>0.79</v>
      </c>
      <c r="V173">
        <v>1554</v>
      </c>
      <c r="W173">
        <v>0.875</v>
      </c>
      <c r="X173">
        <v>0</v>
      </c>
      <c r="Y173">
        <v>72.16</v>
      </c>
      <c r="Z173">
        <v>2.86</v>
      </c>
      <c r="AA173">
        <v>30426</v>
      </c>
      <c r="AB173">
        <v>4983</v>
      </c>
      <c r="AC173">
        <v>595</v>
      </c>
      <c r="AD173">
        <v>2.28</v>
      </c>
      <c r="AE173">
        <v>3886</v>
      </c>
      <c r="AF173">
        <v>1</v>
      </c>
      <c r="AG173">
        <v>0</v>
      </c>
      <c r="AH173">
        <v>0.228999999999999</v>
      </c>
      <c r="AI173">
        <v>127.72</v>
      </c>
      <c r="AJ173">
        <v>6.13</v>
      </c>
      <c r="AK173">
        <v>21535</v>
      </c>
      <c r="AL173">
        <v>3419</v>
      </c>
      <c r="AM173">
        <v>611</v>
      </c>
      <c r="AN173">
        <v>0</v>
      </c>
      <c r="AO173">
        <v>0</v>
      </c>
      <c r="AP173">
        <v>0.787</v>
      </c>
      <c r="AQ173">
        <v>0.043</v>
      </c>
      <c r="AR173">
        <v>0.004</v>
      </c>
      <c r="AS173" s="3">
        <v>46107.767060185186</v>
      </c>
    </row>
    <row r="174" ht="25.5" customHeight="1">
      <c r="A174" t="inlineStr">
        <is>
          <t>5d54f91e000000001601ffd6</t>
        </is>
      </c>
      <c r="B174" s="2" t="str">
        <f>=HYPERLINK("https://www.xiaohongshu.com/user/profile/5d54f91e000000001601ffd6", "https://www.xiaohongshu.com/user/profile/5d54f91e000000001601ffd6")</f>
        <v>https://www.xiaohongshu.com/user/profile/5d54f91e000000001601ffd6</v>
      </c>
      <c r="C174" s="2" t="str">
        <f>=HYPERLINK("https://pgy.xiaohongshu.com/solar/pre-trade/blogger-detail/5d54f91e000000001601ffd6", "https://pgy.xiaohongshu.com/solar/pre-trade/blogger-detail/5d54f91e000000001601ffd6")</f>
        <v>https://pgy.xiaohongshu.com/solar/pre-trade/blogger-detail/5d54f91e000000001601ffd6</v>
      </c>
      <c r="D174" t="inlineStr">
        <is>
          <t>男</t>
        </is>
      </c>
      <c r="E174" t="inlineStr">
        <is>
          <t>596042114</t>
        </is>
      </c>
      <c r="F174" t="inlineStr">
        <is>
          <t>Dash与张小二</t>
        </is>
      </c>
      <c r="G174" t="inlineStr">
        <is>
          <t>北京</t>
        </is>
      </c>
      <c r="H174" t="inlineStr">
        <is>
          <t>留学背景, 家庭, 12岁以上, 爸爸</t>
        </is>
      </c>
      <c r="I174" t="inlineStr">
        <is>
          <t>情感, 生活记录</t>
        </is>
      </c>
      <c r="J174">
        <v>14409</v>
      </c>
      <c r="K174" t="inlineStr">
        <is>
          <t>1.4</t>
        </is>
      </c>
      <c r="L174">
        <v>14659</v>
      </c>
      <c r="M174">
        <v>2382</v>
      </c>
      <c r="N174">
        <v>115</v>
      </c>
      <c r="O174">
        <v>4000</v>
      </c>
      <c r="P174">
        <v>0.059</v>
      </c>
      <c r="Q174">
        <v>0.353</v>
      </c>
      <c r="R174">
        <v>14297</v>
      </c>
      <c r="S174">
        <v>2027</v>
      </c>
      <c r="T174">
        <v>104</v>
      </c>
      <c r="U174">
        <v>2.27</v>
      </c>
      <c r="V174">
        <v>4000</v>
      </c>
      <c r="W174">
        <v>0.332999999999999</v>
      </c>
      <c r="X174">
        <v>0.067</v>
      </c>
      <c r="Y174">
        <v>282.69</v>
      </c>
      <c r="Z174">
        <v>38.1</v>
      </c>
      <c r="AA174">
        <v>16103</v>
      </c>
      <c r="AB174">
        <v>3118</v>
      </c>
      <c r="AC174">
        <v>244</v>
      </c>
      <c r="AD174">
        <v>3.58</v>
      </c>
      <c r="AE174">
        <v>6500</v>
      </c>
      <c r="AF174">
        <v>0.5</v>
      </c>
      <c r="AG174">
        <v>0</v>
      </c>
      <c r="AH174">
        <v>0.18</v>
      </c>
      <c r="AI174">
        <v>403.64</v>
      </c>
      <c r="AJ174">
        <v>23.99</v>
      </c>
      <c r="AK174">
        <v>29859</v>
      </c>
      <c r="AL174">
        <v>2757</v>
      </c>
      <c r="AM174">
        <v>65</v>
      </c>
      <c r="AN174">
        <v>788</v>
      </c>
      <c r="AO174">
        <v>7.07</v>
      </c>
      <c r="AP174">
        <v>0.98</v>
      </c>
      <c r="AQ174">
        <v>0.063</v>
      </c>
      <c r="AR174">
        <v>0.033</v>
      </c>
      <c r="AS174" s="3">
        <v>46107.767060185186</v>
      </c>
    </row>
    <row r="175" ht="25.5" customHeight="1">
      <c r="A175" t="inlineStr">
        <is>
          <t>5b20f0d84eacab4978628aa9</t>
        </is>
      </c>
      <c r="B175" s="2" t="str">
        <f>=HYPERLINK("https://www.xiaohongshu.com/user/profile/5b20f0d84eacab4978628aa9", "https://www.xiaohongshu.com/user/profile/5b20f0d84eacab4978628aa9")</f>
        <v>https://www.xiaohongshu.com/user/profile/5b20f0d84eacab4978628aa9</v>
      </c>
      <c r="C175" s="2" t="str">
        <f>=HYPERLINK("https://pgy.xiaohongshu.com/solar/pre-trade/blogger-detail/5b20f0d84eacab4978628aa9", "https://pgy.xiaohongshu.com/solar/pre-trade/blogger-detail/5b20f0d84eacab4978628aa9")</f>
        <v>https://pgy.xiaohongshu.com/solar/pre-trade/blogger-detail/5b20f0d84eacab4978628aa9</v>
      </c>
      <c r="D175" t="inlineStr">
        <is>
          <t>女</t>
        </is>
      </c>
      <c r="E175" t="inlineStr">
        <is>
          <t>634349328</t>
        </is>
      </c>
      <c r="F175" t="inlineStr">
        <is>
          <t>shanshan_</t>
        </is>
      </c>
      <c r="G175" t="inlineStr">
        <is>
          <t>江苏 南京 浦口区</t>
        </is>
      </c>
      <c r="H175" t="inlineStr">
        <is>
          <t>考研过来人, 学生</t>
        </is>
      </c>
      <c r="I175" t="inlineStr">
        <is>
          <t>生活记录</t>
        </is>
      </c>
      <c r="J175">
        <v>13712</v>
      </c>
      <c r="K175" t="inlineStr">
        <is>
          <t>1.4</t>
        </is>
      </c>
      <c r="L175">
        <v>31191</v>
      </c>
      <c r="M175">
        <v>3770</v>
      </c>
      <c r="N175">
        <v>384</v>
      </c>
      <c r="O175">
        <v>1800</v>
      </c>
      <c r="P175">
        <v>0</v>
      </c>
      <c r="Q175">
        <v>1</v>
      </c>
      <c r="R175">
        <v>0</v>
      </c>
      <c r="S175">
        <v>0</v>
      </c>
      <c r="T175">
        <v>0</v>
      </c>
      <c r="U175">
        <v>0</v>
      </c>
      <c r="V175">
        <v>1800</v>
      </c>
      <c r="W175">
        <v>0</v>
      </c>
      <c r="X175">
        <v>0</v>
      </c>
      <c r="Y175">
        <v>0</v>
      </c>
      <c r="Z175">
        <v>0</v>
      </c>
      <c r="AA175">
        <v>31191</v>
      </c>
      <c r="AB175">
        <v>3770</v>
      </c>
      <c r="AC175">
        <v>341</v>
      </c>
      <c r="AD175">
        <v>2.42</v>
      </c>
      <c r="AE175">
        <v>2800</v>
      </c>
      <c r="AF175">
        <v>1</v>
      </c>
      <c r="AG175">
        <v>0</v>
      </c>
      <c r="AH175">
        <v>0.151</v>
      </c>
      <c r="AI175">
        <v>163.53</v>
      </c>
      <c r="AJ175">
        <v>8.64</v>
      </c>
      <c r="AK175">
        <v>17406</v>
      </c>
      <c r="AL175">
        <v>2317</v>
      </c>
      <c r="AM175">
        <v>230</v>
      </c>
      <c r="AN175">
        <v>0</v>
      </c>
      <c r="AO175">
        <v>296.9</v>
      </c>
      <c r="AP175">
        <v>0.88</v>
      </c>
      <c r="AQ175">
        <v>0.044</v>
      </c>
      <c r="AR175">
        <v>0.027</v>
      </c>
      <c r="AS175" s="3">
        <v>46107.767060185186</v>
      </c>
    </row>
    <row r="176" ht="25.5" customHeight="1">
      <c r="A176" t="inlineStr">
        <is>
          <t>6103609b00000000010029e2</t>
        </is>
      </c>
      <c r="B176" s="2" t="str">
        <f>=HYPERLINK("https://www.xiaohongshu.com/user/profile/6103609b00000000010029e2", "https://www.xiaohongshu.com/user/profile/6103609b00000000010029e2")</f>
        <v>https://www.xiaohongshu.com/user/profile/6103609b00000000010029e2</v>
      </c>
      <c r="C176" s="2" t="str">
        <f>=HYPERLINK("https://pgy.xiaohongshu.com/solar/pre-trade/blogger-detail/6103609b00000000010029e2", "https://pgy.xiaohongshu.com/solar/pre-trade/blogger-detail/6103609b00000000010029e2")</f>
        <v>https://pgy.xiaohongshu.com/solar/pre-trade/blogger-detail/6103609b00000000010029e2</v>
      </c>
      <c r="D176" t="inlineStr">
        <is>
          <t>男</t>
        </is>
      </c>
      <c r="E176" t="inlineStr">
        <is>
          <t>4221512787</t>
        </is>
      </c>
      <c r="F176" t="inlineStr">
        <is>
          <t>虎腿肠</t>
        </is>
      </c>
      <c r="G176" t="inlineStr">
        <is>
          <t>湖南 新邵县</t>
        </is>
      </c>
      <c r="H176" t="inlineStr">
        <is>
          <t>考研过来人, 学生, 考公过来人</t>
        </is>
      </c>
      <c r="I176" t="inlineStr">
        <is>
          <t>教育</t>
        </is>
      </c>
      <c r="J176">
        <v>10037</v>
      </c>
      <c r="K176" t="inlineStr">
        <is>
          <t>1.0</t>
        </is>
      </c>
      <c r="L176">
        <v>48804</v>
      </c>
      <c r="M176">
        <v>12833</v>
      </c>
      <c r="N176">
        <v>1051</v>
      </c>
      <c r="O176">
        <v>500</v>
      </c>
      <c r="P176">
        <v>0.332999999999999</v>
      </c>
      <c r="Q176">
        <v>0.889</v>
      </c>
      <c r="R176">
        <v>48804</v>
      </c>
      <c r="S176">
        <v>12833</v>
      </c>
      <c r="T176">
        <v>893</v>
      </c>
      <c r="U176">
        <v>0.34</v>
      </c>
      <c r="V176">
        <v>500</v>
      </c>
      <c r="W176">
        <v>0.889</v>
      </c>
      <c r="X176">
        <v>0.332999999999999</v>
      </c>
      <c r="Y176">
        <v>11.57</v>
      </c>
      <c r="Z176">
        <v>0.67</v>
      </c>
      <c r="AA176">
        <v>0</v>
      </c>
      <c r="AB176">
        <v>0</v>
      </c>
      <c r="AC176">
        <v>0</v>
      </c>
      <c r="AD176">
        <v>0</v>
      </c>
      <c r="AE176">
        <v>900</v>
      </c>
      <c r="AF176">
        <v>0</v>
      </c>
      <c r="AG176">
        <v>0</v>
      </c>
      <c r="AH176">
        <v>0</v>
      </c>
      <c r="AI176">
        <v>0</v>
      </c>
      <c r="AJ176">
        <v>0</v>
      </c>
      <c r="AK176">
        <v>30775</v>
      </c>
      <c r="AL176">
        <v>4914</v>
      </c>
      <c r="AM176">
        <v>363</v>
      </c>
      <c r="AN176">
        <v>0</v>
      </c>
      <c r="AO176">
        <v>0</v>
      </c>
      <c r="AP176">
        <v>0.894</v>
      </c>
      <c r="AQ176">
        <v>0.262</v>
      </c>
      <c r="AR176">
        <v>0.315</v>
      </c>
      <c r="AS176" s="3">
        <v>46107.767060185186</v>
      </c>
    </row>
    <row r="177" ht="25.5" customHeight="1">
      <c r="A177" t="inlineStr">
        <is>
          <t>65a7c03500000000080072f3</t>
        </is>
      </c>
      <c r="B177" s="2" t="str">
        <f>=HYPERLINK("https://www.xiaohongshu.com/user/profile/65a7c03500000000080072f3", "https://www.xiaohongshu.com/user/profile/65a7c03500000000080072f3")</f>
        <v>https://www.xiaohongshu.com/user/profile/65a7c03500000000080072f3</v>
      </c>
      <c r="C177" s="2" t="str">
        <f>=HYPERLINK("https://pgy.xiaohongshu.com/solar/pre-trade/blogger-detail/65a7c03500000000080072f3", "https://pgy.xiaohongshu.com/solar/pre-trade/blogger-detail/65a7c03500000000080072f3")</f>
        <v>https://pgy.xiaohongshu.com/solar/pre-trade/blogger-detail/65a7c03500000000080072f3</v>
      </c>
      <c r="D177" t="inlineStr">
        <is>
          <t>女</t>
        </is>
      </c>
      <c r="E177" t="inlineStr">
        <is>
          <t>1963540428</t>
        </is>
      </c>
      <c r="F177" t="inlineStr">
        <is>
          <t>田壮壮</t>
        </is>
      </c>
      <c r="G177" t="inlineStr">
        <is>
          <t>北京</t>
        </is>
      </c>
      <c r="H177" t="inlineStr">
        <is>
          <t>学生</t>
        </is>
      </c>
      <c r="I177" t="inlineStr">
        <is>
          <t>教育</t>
        </is>
      </c>
      <c r="J177">
        <v>27960</v>
      </c>
      <c r="K177" t="inlineStr">
        <is>
          <t>2.8</t>
        </is>
      </c>
      <c r="L177">
        <v>14390</v>
      </c>
      <c r="M177">
        <v>1917</v>
      </c>
      <c r="N177">
        <v>224</v>
      </c>
      <c r="O177">
        <v>3000</v>
      </c>
      <c r="P177">
        <v>0</v>
      </c>
      <c r="Q177">
        <v>1</v>
      </c>
      <c r="R177">
        <v>14390</v>
      </c>
      <c r="S177">
        <v>1917</v>
      </c>
      <c r="T177">
        <v>227</v>
      </c>
      <c r="U177">
        <v>1.75</v>
      </c>
      <c r="V177">
        <v>3000</v>
      </c>
      <c r="W177">
        <v>1</v>
      </c>
      <c r="X177">
        <v>0</v>
      </c>
      <c r="Y177">
        <v>203.18</v>
      </c>
      <c r="Z177">
        <v>14.29</v>
      </c>
      <c r="AA177">
        <v>0</v>
      </c>
      <c r="AB177">
        <v>0</v>
      </c>
      <c r="AC177">
        <v>0</v>
      </c>
      <c r="AD177">
        <v>2.63</v>
      </c>
      <c r="AE177">
        <v>5000</v>
      </c>
      <c r="AF177">
        <v>0</v>
      </c>
      <c r="AG177">
        <v>0</v>
      </c>
      <c r="AH177">
        <v>0</v>
      </c>
      <c r="AI177">
        <v>398.15</v>
      </c>
      <c r="AJ177">
        <v>9.47</v>
      </c>
      <c r="AK177">
        <v>17852</v>
      </c>
      <c r="AL177">
        <v>2483</v>
      </c>
      <c r="AM177">
        <v>227</v>
      </c>
      <c r="AN177">
        <v>0</v>
      </c>
      <c r="AO177">
        <v>0</v>
      </c>
      <c r="AP177">
        <v>0.785999999999999</v>
      </c>
      <c r="AQ177">
        <v>0.021</v>
      </c>
      <c r="AR177">
        <v>0.006</v>
      </c>
      <c r="AS177" s="3">
        <v>46107.767060185186</v>
      </c>
    </row>
    <row r="178" ht="25.5" customHeight="1">
      <c r="A178" t="inlineStr">
        <is>
          <t>61b2b279000000001000484d</t>
        </is>
      </c>
      <c r="B178" s="2" t="str">
        <f>=HYPERLINK("https://www.xiaohongshu.com/user/profile/61b2b279000000001000484d", "https://www.xiaohongshu.com/user/profile/61b2b279000000001000484d")</f>
        <v>https://www.xiaohongshu.com/user/profile/61b2b279000000001000484d</v>
      </c>
      <c r="C178" s="2" t="str">
        <f>=HYPERLINK("https://pgy.xiaohongshu.com/solar/pre-trade/blogger-detail/61b2b279000000001000484d", "https://pgy.xiaohongshu.com/solar/pre-trade/blogger-detail/61b2b279000000001000484d")</f>
        <v>https://pgy.xiaohongshu.com/solar/pre-trade/blogger-detail/61b2b279000000001000484d</v>
      </c>
      <c r="D178" t="inlineStr">
        <is>
          <t>女</t>
        </is>
      </c>
      <c r="E178" t="inlineStr">
        <is>
          <t>zz09071004</t>
        </is>
      </c>
      <c r="F178" t="inlineStr">
        <is>
          <t>00日记</t>
        </is>
      </c>
      <c r="G178" t="inlineStr">
        <is>
          <t>江苏 苏州 昆山市</t>
        </is>
      </c>
      <c r="H178" t="inlineStr">
        <is>
          <t>学生</t>
        </is>
      </c>
      <c r="I178" t="inlineStr">
        <is>
          <t>教育</t>
        </is>
      </c>
      <c r="J178">
        <v>29506</v>
      </c>
      <c r="K178" t="inlineStr">
        <is>
          <t>3.0</t>
        </is>
      </c>
      <c r="L178">
        <v>34977</v>
      </c>
      <c r="M178">
        <v>4092</v>
      </c>
      <c r="N178">
        <v>221</v>
      </c>
      <c r="O178">
        <v>2800</v>
      </c>
      <c r="P178">
        <v>0</v>
      </c>
      <c r="Q178">
        <v>1</v>
      </c>
      <c r="R178">
        <v>34977</v>
      </c>
      <c r="S178">
        <v>10218</v>
      </c>
      <c r="T178">
        <v>586</v>
      </c>
      <c r="U178">
        <v>0.57</v>
      </c>
      <c r="V178">
        <v>2800</v>
      </c>
      <c r="W178">
        <v>1</v>
      </c>
      <c r="X178">
        <v>0</v>
      </c>
      <c r="Y178">
        <v>80.05</v>
      </c>
      <c r="Z178">
        <v>4.45</v>
      </c>
      <c r="AA178">
        <v>28378</v>
      </c>
      <c r="AB178">
        <v>4039</v>
      </c>
      <c r="AC178">
        <v>204</v>
      </c>
      <c r="AD178">
        <v>2.44</v>
      </c>
      <c r="AE178">
        <v>3800</v>
      </c>
      <c r="AF178">
        <v>1</v>
      </c>
      <c r="AG178">
        <v>0</v>
      </c>
      <c r="AH178">
        <v>0.094</v>
      </c>
      <c r="AI178">
        <v>137.83</v>
      </c>
      <c r="AJ178">
        <v>16.78</v>
      </c>
      <c r="AK178">
        <v>26796</v>
      </c>
      <c r="AL178">
        <v>4294</v>
      </c>
      <c r="AM178">
        <v>265</v>
      </c>
      <c r="AN178">
        <v>0</v>
      </c>
      <c r="AO178">
        <v>0</v>
      </c>
      <c r="AP178">
        <v>0.785</v>
      </c>
      <c r="AQ178">
        <v>0.0409999999999999</v>
      </c>
      <c r="AR178">
        <v>0.008</v>
      </c>
      <c r="AS178" s="3">
        <v>46107.767060185186</v>
      </c>
    </row>
    <row r="179" ht="25.5" customHeight="1">
      <c r="A179" t="inlineStr">
        <is>
          <t>5f4f834e0000000001000b68</t>
        </is>
      </c>
      <c r="B179" s="2" t="str">
        <f>=HYPERLINK("https://www.xiaohongshu.com/user/profile/5f4f834e0000000001000b68", "https://www.xiaohongshu.com/user/profile/5f4f834e0000000001000b68")</f>
        <v>https://www.xiaohongshu.com/user/profile/5f4f834e0000000001000b68</v>
      </c>
      <c r="C179" s="2" t="str">
        <f>=HYPERLINK("https://pgy.xiaohongshu.com/solar/pre-trade/blogger-detail/5f4f834e0000000001000b68", "https://pgy.xiaohongshu.com/solar/pre-trade/blogger-detail/5f4f834e0000000001000b68")</f>
        <v>https://pgy.xiaohongshu.com/solar/pre-trade/blogger-detail/5f4f834e0000000001000b68</v>
      </c>
      <c r="D179" t="inlineStr">
        <is>
          <t>女</t>
        </is>
      </c>
      <c r="E179" t="inlineStr">
        <is>
          <t>245240482</t>
        </is>
      </c>
      <c r="F179" t="inlineStr">
        <is>
          <t>芭乐嘟嘟</t>
        </is>
      </c>
      <c r="G179" t="inlineStr">
        <is>
          <t>山东 昌乐县</t>
        </is>
      </c>
      <c r="H179" t="inlineStr">
        <is>
          <t>考研过来人, 手账爱好者, 学生, 书法爱好者</t>
        </is>
      </c>
      <c r="I179" t="inlineStr">
        <is>
          <t>教育</t>
        </is>
      </c>
      <c r="J179">
        <v>62399</v>
      </c>
      <c r="K179" t="inlineStr">
        <is>
          <t>6.2</t>
        </is>
      </c>
      <c r="L179">
        <v>33032</v>
      </c>
      <c r="M179">
        <v>8101</v>
      </c>
      <c r="N179">
        <v>1089</v>
      </c>
      <c r="O179">
        <v>600</v>
      </c>
      <c r="P179">
        <v>0.322999999999999</v>
      </c>
      <c r="Q179">
        <v>0.871</v>
      </c>
      <c r="R179">
        <v>0</v>
      </c>
      <c r="S179">
        <v>0</v>
      </c>
      <c r="T179">
        <v>0</v>
      </c>
      <c r="U179">
        <v>0</v>
      </c>
      <c r="V179">
        <v>600</v>
      </c>
      <c r="W179">
        <v>0</v>
      </c>
      <c r="X179">
        <v>0</v>
      </c>
      <c r="Y179">
        <v>0</v>
      </c>
      <c r="Z179">
        <v>0</v>
      </c>
      <c r="AA179">
        <v>33032</v>
      </c>
      <c r="AB179">
        <v>8101</v>
      </c>
      <c r="AC179">
        <v>965</v>
      </c>
      <c r="AD179">
        <v>1.62</v>
      </c>
      <c r="AE179">
        <v>800</v>
      </c>
      <c r="AF179">
        <v>0.871</v>
      </c>
      <c r="AG179">
        <v>0.322999999999999</v>
      </c>
      <c r="AH179">
        <v>0.013</v>
      </c>
      <c r="AI179">
        <v>24.62</v>
      </c>
      <c r="AJ179">
        <v>0.76</v>
      </c>
      <c r="AK179">
        <v>31796</v>
      </c>
      <c r="AL179">
        <v>6138</v>
      </c>
      <c r="AM179">
        <v>645</v>
      </c>
      <c r="AN179">
        <v>0</v>
      </c>
      <c r="AO179">
        <v>6.08</v>
      </c>
      <c r="AP179">
        <v>0.992</v>
      </c>
      <c r="AQ179">
        <v>0.335</v>
      </c>
      <c r="AR179">
        <v>0.792</v>
      </c>
      <c r="AS179" s="3">
        <v>46107.767060185186</v>
      </c>
    </row>
    <row r="180" ht="25.5" customHeight="1">
      <c r="A180" t="inlineStr">
        <is>
          <t>61b1f09a000000001000acf5</t>
        </is>
      </c>
      <c r="B180" s="2" t="str">
        <f>=HYPERLINK("https://www.xiaohongshu.com/user/profile/61b1f09a000000001000acf5", "https://www.xiaohongshu.com/user/profile/61b1f09a000000001000acf5")</f>
        <v>https://www.xiaohongshu.com/user/profile/61b1f09a000000001000acf5</v>
      </c>
      <c r="C180" s="2" t="str">
        <f>=HYPERLINK("https://pgy.xiaohongshu.com/solar/pre-trade/blogger-detail/61b1f09a000000001000acf5", "https://pgy.xiaohongshu.com/solar/pre-trade/blogger-detail/61b1f09a000000001000acf5")</f>
        <v>https://pgy.xiaohongshu.com/solar/pre-trade/blogger-detail/61b1f09a000000001000acf5</v>
      </c>
      <c r="D180" t="inlineStr">
        <is>
          <t>女</t>
        </is>
      </c>
      <c r="E180" t="inlineStr">
        <is>
          <t>Yurx20060528</t>
        </is>
      </c>
      <c r="F180" t="inlineStr">
        <is>
          <t>ramey瑞米🎾</t>
        </is>
      </c>
      <c r="G180" t="inlineStr">
        <is>
          <t>美国</t>
        </is>
      </c>
      <c r="H180" t="inlineStr">
        <is>
          <t>户外爱好者, 留学背景, 学生, 运动员</t>
        </is>
      </c>
      <c r="I180" t="inlineStr">
        <is>
          <t>生活记录, 运动健身</t>
        </is>
      </c>
      <c r="J180">
        <v>15110</v>
      </c>
      <c r="K180" t="inlineStr">
        <is>
          <t>1.5</t>
        </is>
      </c>
      <c r="L180">
        <v>15089</v>
      </c>
      <c r="M180">
        <v>4136</v>
      </c>
      <c r="N180">
        <v>242</v>
      </c>
      <c r="O180">
        <v>3300</v>
      </c>
      <c r="P180">
        <v>0.091</v>
      </c>
      <c r="Q180">
        <v>0.955</v>
      </c>
      <c r="R180">
        <v>0</v>
      </c>
      <c r="S180">
        <v>0</v>
      </c>
      <c r="T180">
        <v>0</v>
      </c>
      <c r="U180">
        <v>0</v>
      </c>
      <c r="V180">
        <v>3300</v>
      </c>
      <c r="W180">
        <v>0</v>
      </c>
      <c r="X180">
        <v>0</v>
      </c>
      <c r="Y180">
        <v>0</v>
      </c>
      <c r="Z180">
        <v>0</v>
      </c>
      <c r="AA180">
        <v>15089</v>
      </c>
      <c r="AB180">
        <v>4136</v>
      </c>
      <c r="AC180">
        <v>213</v>
      </c>
      <c r="AD180">
        <v>2.83</v>
      </c>
      <c r="AE180">
        <v>5500</v>
      </c>
      <c r="AF180">
        <v>0.955</v>
      </c>
      <c r="AG180">
        <v>0.091</v>
      </c>
      <c r="AH180">
        <v>0.198999999999999</v>
      </c>
      <c r="AI180">
        <v>364.5</v>
      </c>
      <c r="AJ180">
        <v>22.68</v>
      </c>
      <c r="AK180">
        <v>0</v>
      </c>
      <c r="AL180">
        <v>0</v>
      </c>
      <c r="AM180">
        <v>0</v>
      </c>
      <c r="AN180">
        <v>0</v>
      </c>
      <c r="AO180">
        <v>0</v>
      </c>
      <c r="AP180">
        <v>0.979</v>
      </c>
      <c r="AQ180">
        <v>0.257</v>
      </c>
      <c r="AR180">
        <v>0.512</v>
      </c>
      <c r="AS180" s="3">
        <v>46107.767060185186</v>
      </c>
    </row>
    <row r="181" ht="25.5" customHeight="1">
      <c r="A181" t="inlineStr">
        <is>
          <t>65bcb8f60000000009024e9d</t>
        </is>
      </c>
      <c r="B181" s="2" t="str">
        <f>=HYPERLINK("https://www.xiaohongshu.com/user/profile/65bcb8f60000000009024e9d", "https://www.xiaohongshu.com/user/profile/65bcb8f60000000009024e9d")</f>
        <v>https://www.xiaohongshu.com/user/profile/65bcb8f60000000009024e9d</v>
      </c>
      <c r="C181" s="2" t="str">
        <f>=HYPERLINK("https://pgy.xiaohongshu.com/solar/pre-trade/blogger-detail/65bcb8f60000000009024e9d", "https://pgy.xiaohongshu.com/solar/pre-trade/blogger-detail/65bcb8f60000000009024e9d")</f>
        <v>https://pgy.xiaohongshu.com/solar/pre-trade/blogger-detail/65bcb8f60000000009024e9d</v>
      </c>
      <c r="D181" t="inlineStr">
        <is>
          <t>男</t>
        </is>
      </c>
      <c r="E181" t="inlineStr">
        <is>
          <t>7179685610</t>
        </is>
      </c>
      <c r="F181" t="inlineStr">
        <is>
          <t>小淘气鬼当家</t>
        </is>
      </c>
      <c r="G181" t="inlineStr">
        <is>
          <t>辽宁 大连 金州区</t>
        </is>
      </c>
      <c r="H181" t="inlineStr">
        <is>
          <t>留学背景</t>
        </is>
      </c>
      <c r="I181" t="inlineStr">
        <is>
          <t>教育, 生活记录</t>
        </is>
      </c>
      <c r="J181">
        <v>451733</v>
      </c>
      <c r="K181" t="inlineStr">
        <is>
          <t>45.2</t>
        </is>
      </c>
      <c r="L181">
        <v>136251</v>
      </c>
      <c r="M181">
        <v>51530</v>
      </c>
      <c r="N181">
        <v>2301</v>
      </c>
      <c r="O181">
        <v>20000</v>
      </c>
      <c r="P181">
        <v>0.727</v>
      </c>
      <c r="Q181">
        <v>1</v>
      </c>
      <c r="R181">
        <v>0</v>
      </c>
      <c r="S181">
        <v>0</v>
      </c>
      <c r="T181">
        <v>0</v>
      </c>
      <c r="U181">
        <v>0</v>
      </c>
      <c r="V181">
        <v>0</v>
      </c>
      <c r="W181">
        <v>0</v>
      </c>
      <c r="X181">
        <v>0</v>
      </c>
      <c r="Y181">
        <v>0</v>
      </c>
      <c r="Z181">
        <v>0</v>
      </c>
      <c r="AA181">
        <v>136251</v>
      </c>
      <c r="AB181">
        <v>51530</v>
      </c>
      <c r="AC181">
        <v>1983</v>
      </c>
      <c r="AD181">
        <v>1.89</v>
      </c>
      <c r="AE181">
        <v>20000</v>
      </c>
      <c r="AF181">
        <v>1</v>
      </c>
      <c r="AG181">
        <v>0.727</v>
      </c>
      <c r="AH181">
        <v>0.287</v>
      </c>
      <c r="AI181">
        <v>146.79</v>
      </c>
      <c r="AJ181">
        <v>8.69</v>
      </c>
      <c r="AK181">
        <v>0</v>
      </c>
      <c r="AL181">
        <v>0</v>
      </c>
      <c r="AM181">
        <v>0</v>
      </c>
      <c r="AN181">
        <v>0</v>
      </c>
      <c r="AO181">
        <v>0</v>
      </c>
      <c r="AP181">
        <v>0.782999999999999</v>
      </c>
      <c r="AQ181">
        <v>0.108</v>
      </c>
      <c r="AR181">
        <v>0.216</v>
      </c>
      <c r="AS181" s="3">
        <v>46107.767060185186</v>
      </c>
    </row>
    <row r="182" ht="25.5" customHeight="1">
      <c r="A182" t="inlineStr">
        <is>
          <t>5c629de400000000100083b8</t>
        </is>
      </c>
      <c r="B182" s="2" t="str">
        <f>=HYPERLINK("https://www.xiaohongshu.com/user/profile/5c629de400000000100083b8", "https://www.xiaohongshu.com/user/profile/5c629de400000000100083b8")</f>
        <v>https://www.xiaohongshu.com/user/profile/5c629de400000000100083b8</v>
      </c>
      <c r="C182" s="2" t="str">
        <f>=HYPERLINK("https://pgy.xiaohongshu.com/solar/pre-trade/blogger-detail/5c629de400000000100083b8", "https://pgy.xiaohongshu.com/solar/pre-trade/blogger-detail/5c629de400000000100083b8")</f>
        <v>https://pgy.xiaohongshu.com/solar/pre-trade/blogger-detail/5c629de400000000100083b8</v>
      </c>
      <c r="D182" t="inlineStr">
        <is>
          <t>女</t>
        </is>
      </c>
      <c r="E182" t="inlineStr">
        <is>
          <t>bellabebetter</t>
        </is>
      </c>
      <c r="F182" t="inlineStr">
        <is>
          <t>噗噗的英语手帐</t>
        </is>
      </c>
      <c r="G182" t="inlineStr">
        <is>
          <t>河南 郑州 金水区</t>
        </is>
      </c>
      <c r="H182" t="inlineStr">
        <is>
          <t>翻译</t>
        </is>
      </c>
      <c r="I182" t="inlineStr">
        <is>
          <t>教育, 影视综资讯</t>
        </is>
      </c>
      <c r="J182">
        <v>14757</v>
      </c>
      <c r="K182" t="inlineStr">
        <is>
          <t>1.5</t>
        </is>
      </c>
      <c r="L182">
        <v>78144</v>
      </c>
      <c r="M182">
        <v>34627</v>
      </c>
      <c r="N182">
        <v>2397</v>
      </c>
      <c r="O182">
        <v>388</v>
      </c>
      <c r="P182">
        <v>0.6</v>
      </c>
      <c r="Q182">
        <v>1</v>
      </c>
      <c r="R182">
        <v>0</v>
      </c>
      <c r="S182">
        <v>0</v>
      </c>
      <c r="T182">
        <v>0</v>
      </c>
      <c r="U182">
        <v>0</v>
      </c>
      <c r="V182">
        <v>388</v>
      </c>
      <c r="W182">
        <v>0</v>
      </c>
      <c r="X182">
        <v>0</v>
      </c>
      <c r="Y182">
        <v>0</v>
      </c>
      <c r="Z182">
        <v>0</v>
      </c>
      <c r="AA182">
        <v>78144</v>
      </c>
      <c r="AB182">
        <v>34627</v>
      </c>
      <c r="AC182">
        <v>2092</v>
      </c>
      <c r="AD182">
        <v>1.53</v>
      </c>
      <c r="AE182">
        <v>888</v>
      </c>
      <c r="AF182">
        <v>1</v>
      </c>
      <c r="AG182">
        <v>0.6</v>
      </c>
      <c r="AH182">
        <v>0.306</v>
      </c>
      <c r="AI182">
        <v>11.36</v>
      </c>
      <c r="AJ182">
        <v>0.37</v>
      </c>
      <c r="AK182">
        <v>0</v>
      </c>
      <c r="AL182">
        <v>0</v>
      </c>
      <c r="AM182">
        <v>0</v>
      </c>
      <c r="AN182">
        <v>0</v>
      </c>
      <c r="AO182">
        <v>0</v>
      </c>
      <c r="AP182">
        <v>0.86</v>
      </c>
      <c r="AQ182">
        <v>0.0409999999999999</v>
      </c>
      <c r="AR182">
        <v>0.096</v>
      </c>
      <c r="AS182" s="3">
        <v>46107.76736111111</v>
      </c>
    </row>
    <row r="183" ht="25.5" customHeight="1">
      <c r="A183" t="inlineStr">
        <is>
          <t>5f13dd2c000000000101defd</t>
        </is>
      </c>
      <c r="B183" s="2" t="str">
        <f>=HYPERLINK("https://www.xiaohongshu.com/user/profile/5f13dd2c000000000101defd", "https://www.xiaohongshu.com/user/profile/5f13dd2c000000000101defd")</f>
        <v>https://www.xiaohongshu.com/user/profile/5f13dd2c000000000101defd</v>
      </c>
      <c r="C183" s="2" t="str">
        <f>=HYPERLINK("https://pgy.xiaohongshu.com/solar/pre-trade/blogger-detail/5f13dd2c000000000101defd", "https://pgy.xiaohongshu.com/solar/pre-trade/blogger-detail/5f13dd2c000000000101defd")</f>
        <v>https://pgy.xiaohongshu.com/solar/pre-trade/blogger-detail/5f13dd2c000000000101defd</v>
      </c>
      <c r="D183" t="inlineStr">
        <is>
          <t>女</t>
        </is>
      </c>
      <c r="E183" t="inlineStr">
        <is>
          <t>401763829</t>
        </is>
      </c>
      <c r="F183" t="inlineStr">
        <is>
          <t>小高今天睡好了嘛🍊</t>
        </is>
      </c>
      <c r="G183" t="inlineStr">
        <is>
          <t>埃及</t>
        </is>
      </c>
      <c r="H183" t="inlineStr">
        <is>
          <t>学生</t>
        </is>
      </c>
      <c r="I183" t="inlineStr">
        <is>
          <t>教育, 生活记录</t>
        </is>
      </c>
      <c r="J183">
        <v>21855</v>
      </c>
      <c r="K183" t="inlineStr">
        <is>
          <t>2.2</t>
        </is>
      </c>
      <c r="L183">
        <v>15591</v>
      </c>
      <c r="M183">
        <v>1836</v>
      </c>
      <c r="N183">
        <v>198</v>
      </c>
      <c r="O183">
        <v>2400</v>
      </c>
      <c r="P183">
        <v>0.143</v>
      </c>
      <c r="Q183">
        <v>0.643</v>
      </c>
      <c r="R183">
        <v>14301</v>
      </c>
      <c r="S183">
        <v>1651</v>
      </c>
      <c r="T183">
        <v>168</v>
      </c>
      <c r="U183">
        <v>1.75</v>
      </c>
      <c r="V183">
        <v>2400</v>
      </c>
      <c r="W183">
        <v>0.714</v>
      </c>
      <c r="X183">
        <v>0</v>
      </c>
      <c r="Y183">
        <v>167.82</v>
      </c>
      <c r="Z183">
        <v>12.97</v>
      </c>
      <c r="AA183">
        <v>16882</v>
      </c>
      <c r="AB183">
        <v>5672</v>
      </c>
      <c r="AC183">
        <v>184</v>
      </c>
      <c r="AD183">
        <v>2.28</v>
      </c>
      <c r="AE183">
        <v>4400</v>
      </c>
      <c r="AF183">
        <v>0.571</v>
      </c>
      <c r="AG183">
        <v>0.286</v>
      </c>
      <c r="AH183">
        <v>0.096</v>
      </c>
      <c r="AI183">
        <v>260.63</v>
      </c>
      <c r="AJ183">
        <v>20.85</v>
      </c>
      <c r="AK183">
        <v>0</v>
      </c>
      <c r="AL183">
        <v>0</v>
      </c>
      <c r="AM183">
        <v>0</v>
      </c>
      <c r="AN183">
        <v>0</v>
      </c>
      <c r="AO183">
        <v>0</v>
      </c>
      <c r="AP183">
        <v>0.852</v>
      </c>
      <c r="AQ183">
        <v>0.092</v>
      </c>
      <c r="AR183">
        <v>0.046</v>
      </c>
      <c r="AS183" s="3">
        <v>46107.76736111111</v>
      </c>
    </row>
    <row r="184" ht="25.5" customHeight="1">
      <c r="A184" t="inlineStr">
        <is>
          <t>61b9353200000000100073f2</t>
        </is>
      </c>
      <c r="B184" s="2" t="str">
        <f>=HYPERLINK("https://www.xiaohongshu.com/user/profile/61b9353200000000100073f2", "https://www.xiaohongshu.com/user/profile/61b9353200000000100073f2")</f>
        <v>https://www.xiaohongshu.com/user/profile/61b9353200000000100073f2</v>
      </c>
      <c r="C184" s="2" t="str">
        <f>=HYPERLINK("https://pgy.xiaohongshu.com/solar/pre-trade/blogger-detail/61b9353200000000100073f2", "https://pgy.xiaohongshu.com/solar/pre-trade/blogger-detail/61b9353200000000100073f2")</f>
        <v>https://pgy.xiaohongshu.com/solar/pre-trade/blogger-detail/61b9353200000000100073f2</v>
      </c>
      <c r="D184" t="inlineStr">
        <is>
          <t>男</t>
        </is>
      </c>
      <c r="E184" t="inlineStr">
        <is>
          <t>6958497210</t>
        </is>
      </c>
      <c r="F184" t="inlineStr">
        <is>
          <t>Spark</t>
        </is>
      </c>
      <c r="G184" t="inlineStr">
        <is>
          <t>江苏 南京 栖霞区</t>
        </is>
      </c>
      <c r="H184" t="inlineStr">
        <is>
          <t>学生</t>
        </is>
      </c>
      <c r="I184" t="inlineStr">
        <is>
          <t>教育</t>
        </is>
      </c>
      <c r="J184">
        <v>6665</v>
      </c>
      <c r="K184" t="inlineStr">
        <is>
          <t>0.7</t>
        </is>
      </c>
      <c r="L184">
        <v>15887</v>
      </c>
      <c r="M184">
        <v>2354</v>
      </c>
      <c r="N184">
        <v>368</v>
      </c>
      <c r="O184">
        <v>600</v>
      </c>
      <c r="P184">
        <v>0</v>
      </c>
      <c r="Q184">
        <v>0.8</v>
      </c>
      <c r="R184">
        <v>15887</v>
      </c>
      <c r="S184">
        <v>2354</v>
      </c>
      <c r="T184">
        <v>323</v>
      </c>
      <c r="U184">
        <v>0.45</v>
      </c>
      <c r="V184">
        <v>600</v>
      </c>
      <c r="W184">
        <v>0.8</v>
      </c>
      <c r="X184">
        <v>0</v>
      </c>
      <c r="Y184">
        <v>22.39</v>
      </c>
      <c r="Z184">
        <v>0.92</v>
      </c>
      <c r="AA184">
        <v>0</v>
      </c>
      <c r="AB184">
        <v>0</v>
      </c>
      <c r="AC184">
        <v>0</v>
      </c>
      <c r="AD184">
        <v>0</v>
      </c>
      <c r="AE184">
        <v>844</v>
      </c>
      <c r="AF184">
        <v>0</v>
      </c>
      <c r="AG184">
        <v>0</v>
      </c>
      <c r="AH184">
        <v>0</v>
      </c>
      <c r="AI184">
        <v>0</v>
      </c>
      <c r="AJ184">
        <v>0</v>
      </c>
      <c r="AK184">
        <v>32673</v>
      </c>
      <c r="AL184">
        <v>4673</v>
      </c>
      <c r="AM184">
        <v>1216</v>
      </c>
      <c r="AN184">
        <v>0</v>
      </c>
      <c r="AO184">
        <v>0</v>
      </c>
      <c r="AP184">
        <v>0.91</v>
      </c>
      <c r="AQ184">
        <v>0.109</v>
      </c>
      <c r="AR184">
        <v>0.08</v>
      </c>
      <c r="AS184" s="3">
        <v>46107.76736111111</v>
      </c>
    </row>
    <row r="185" ht="25.5" customHeight="1">
      <c r="A185" t="inlineStr">
        <is>
          <t>5b87ad32aaf9ff0001fb3e27</t>
        </is>
      </c>
      <c r="B185" s="2" t="str">
        <f>=HYPERLINK("https://www.xiaohongshu.com/user/profile/5b87ad32aaf9ff0001fb3e27", "https://www.xiaohongshu.com/user/profile/5b87ad32aaf9ff0001fb3e27")</f>
        <v>https://www.xiaohongshu.com/user/profile/5b87ad32aaf9ff0001fb3e27</v>
      </c>
      <c r="C185" s="2" t="str">
        <f>=HYPERLINK("https://pgy.xiaohongshu.com/solar/pre-trade/blogger-detail/5b87ad32aaf9ff0001fb3e27", "https://pgy.xiaohongshu.com/solar/pre-trade/blogger-detail/5b87ad32aaf9ff0001fb3e27")</f>
        <v>https://pgy.xiaohongshu.com/solar/pre-trade/blogger-detail/5b87ad32aaf9ff0001fb3e27</v>
      </c>
      <c r="D185" t="inlineStr">
        <is>
          <t>男</t>
        </is>
      </c>
      <c r="E185" t="inlineStr">
        <is>
          <t>shaoswim006</t>
        </is>
      </c>
      <c r="F185" t="inlineStr">
        <is>
          <t>大小阿斯s</t>
        </is>
      </c>
      <c r="G185" t="inlineStr">
        <is>
          <t>广东 广州 白云区</t>
        </is>
      </c>
      <c r="H185" t="inlineStr">
        <is>
          <t>学生</t>
        </is>
      </c>
      <c r="I185" t="inlineStr">
        <is>
          <t>教育</t>
        </is>
      </c>
      <c r="J185">
        <v>33942</v>
      </c>
      <c r="K185" t="inlineStr">
        <is>
          <t>3.4</t>
        </is>
      </c>
      <c r="L185">
        <v>6531</v>
      </c>
      <c r="M185">
        <v>2738</v>
      </c>
      <c r="N185">
        <v>341</v>
      </c>
      <c r="O185">
        <v>2600</v>
      </c>
      <c r="P185">
        <v>0.286</v>
      </c>
      <c r="Q185">
        <v>0.714</v>
      </c>
      <c r="R185">
        <v>0</v>
      </c>
      <c r="S185">
        <v>0</v>
      </c>
      <c r="T185">
        <v>0</v>
      </c>
      <c r="U185">
        <v>0</v>
      </c>
      <c r="V185">
        <v>2600</v>
      </c>
      <c r="W185">
        <v>0</v>
      </c>
      <c r="X185">
        <v>0</v>
      </c>
      <c r="Y185">
        <v>0</v>
      </c>
      <c r="Z185">
        <v>0</v>
      </c>
      <c r="AA185">
        <v>6531</v>
      </c>
      <c r="AB185">
        <v>2738</v>
      </c>
      <c r="AC185">
        <v>327</v>
      </c>
      <c r="AD185">
        <v>3.29</v>
      </c>
      <c r="AE185">
        <v>5000</v>
      </c>
      <c r="AF185">
        <v>0.714</v>
      </c>
      <c r="AG185">
        <v>0.286</v>
      </c>
      <c r="AH185">
        <v>0.0289999999999999</v>
      </c>
      <c r="AI185">
        <v>452.49</v>
      </c>
      <c r="AJ185">
        <v>10.52</v>
      </c>
      <c r="AK185">
        <v>25421</v>
      </c>
      <c r="AL185">
        <v>2834</v>
      </c>
      <c r="AM185">
        <v>568</v>
      </c>
      <c r="AN185">
        <v>0</v>
      </c>
      <c r="AO185">
        <v>0</v>
      </c>
      <c r="AP185">
        <v>0.855</v>
      </c>
      <c r="AQ185">
        <v>0.105</v>
      </c>
      <c r="AR185">
        <v>0.067</v>
      </c>
      <c r="AS185" s="3">
        <v>46107.76736111111</v>
      </c>
    </row>
    <row r="186" ht="25.5" customHeight="1">
      <c r="A186" t="inlineStr">
        <is>
          <t>5bf90a285ec12600018b7ca5</t>
        </is>
      </c>
      <c r="B186" s="2" t="str">
        <f>=HYPERLINK("https://www.xiaohongshu.com/user/profile/5bf90a285ec12600018b7ca5", "https://www.xiaohongshu.com/user/profile/5bf90a285ec12600018b7ca5")</f>
        <v>https://www.xiaohongshu.com/user/profile/5bf90a285ec12600018b7ca5</v>
      </c>
      <c r="C186" s="2" t="str">
        <f>=HYPERLINK("https://pgy.xiaohongshu.com/solar/pre-trade/blogger-detail/5bf90a285ec12600018b7ca5", "https://pgy.xiaohongshu.com/solar/pre-trade/blogger-detail/5bf90a285ec12600018b7ca5")</f>
        <v>https://pgy.xiaohongshu.com/solar/pre-trade/blogger-detail/5bf90a285ec12600018b7ca5</v>
      </c>
      <c r="D186" t="inlineStr">
        <is>
          <t>女</t>
        </is>
      </c>
      <c r="E186" t="inlineStr">
        <is>
          <t>pagecaoli</t>
        </is>
      </c>
      <c r="F186" t="inlineStr">
        <is>
          <t>小路的读博日常</t>
        </is>
      </c>
      <c r="G186" t="inlineStr">
        <is>
          <t>陕西 西安 长安区</t>
        </is>
      </c>
      <c r="H186" t="inlineStr">
        <is>
          <t>考研过来人, 学生</t>
        </is>
      </c>
      <c r="I186" t="inlineStr">
        <is>
          <t>教育</t>
        </is>
      </c>
      <c r="J186">
        <v>6076</v>
      </c>
      <c r="K186" t="inlineStr">
        <is>
          <t>0.6</t>
        </is>
      </c>
      <c r="L186">
        <v>2906</v>
      </c>
      <c r="M186">
        <v>1362</v>
      </c>
      <c r="N186">
        <v>115</v>
      </c>
      <c r="O186">
        <v>650</v>
      </c>
      <c r="P186">
        <v>0</v>
      </c>
      <c r="Q186">
        <v>0</v>
      </c>
      <c r="R186">
        <v>0</v>
      </c>
      <c r="S186">
        <v>0</v>
      </c>
      <c r="T186">
        <v>0</v>
      </c>
      <c r="U186">
        <v>0</v>
      </c>
      <c r="V186">
        <v>650</v>
      </c>
      <c r="W186">
        <v>0</v>
      </c>
      <c r="X186">
        <v>0</v>
      </c>
      <c r="Y186">
        <v>0</v>
      </c>
      <c r="Z186">
        <v>0</v>
      </c>
      <c r="AA186">
        <v>2906</v>
      </c>
      <c r="AB186">
        <v>1362</v>
      </c>
      <c r="AC186">
        <v>105</v>
      </c>
      <c r="AD186">
        <v>2.3</v>
      </c>
      <c r="AE186">
        <v>760</v>
      </c>
      <c r="AF186">
        <v>0</v>
      </c>
      <c r="AG186">
        <v>0</v>
      </c>
      <c r="AH186">
        <v>0.201</v>
      </c>
      <c r="AI186">
        <v>261.53</v>
      </c>
      <c r="AJ186">
        <v>6.61</v>
      </c>
      <c r="AK186">
        <v>4087</v>
      </c>
      <c r="AL186">
        <v>521</v>
      </c>
      <c r="AM186">
        <v>145</v>
      </c>
      <c r="AN186">
        <v>0</v>
      </c>
      <c r="AO186">
        <v>0</v>
      </c>
      <c r="AP186">
        <v>0.909</v>
      </c>
      <c r="AQ186">
        <v>0.013</v>
      </c>
      <c r="AR186">
        <v>0.004</v>
      </c>
      <c r="AS186" s="3">
        <v>46107.76736111111</v>
      </c>
    </row>
    <row r="187" ht="25.5" customHeight="1">
      <c r="A187" t="inlineStr">
        <is>
          <t>5b602bf54eacab67b1eb0c4f</t>
        </is>
      </c>
      <c r="B187" s="2" t="str">
        <f>=HYPERLINK("https://www.xiaohongshu.com/user/profile/5b602bf54eacab67b1eb0c4f", "https://www.xiaohongshu.com/user/profile/5b602bf54eacab67b1eb0c4f")</f>
        <v>https://www.xiaohongshu.com/user/profile/5b602bf54eacab67b1eb0c4f</v>
      </c>
      <c r="C187" s="2" t="str">
        <f>=HYPERLINK("https://pgy.xiaohongshu.com/solar/pre-trade/blogger-detail/5b602bf54eacab67b1eb0c4f", "https://pgy.xiaohongshu.com/solar/pre-trade/blogger-detail/5b602bf54eacab67b1eb0c4f")</f>
        <v>https://pgy.xiaohongshu.com/solar/pre-trade/blogger-detail/5b602bf54eacab67b1eb0c4f</v>
      </c>
      <c r="D187" t="inlineStr">
        <is>
          <t>男</t>
        </is>
      </c>
      <c r="E187" t="inlineStr">
        <is>
          <t>simon3085566</t>
        </is>
      </c>
      <c r="F187" t="inlineStr">
        <is>
          <t>爱吃大饭包（英专版）</t>
        </is>
      </c>
      <c r="G187" t="inlineStr">
        <is>
          <t>陕西 西安 雁塔区</t>
        </is>
      </c>
      <c r="H187" t="inlineStr">
        <is>
          <t>考研过来人, 学生, 翻译</t>
        </is>
      </c>
      <c r="I187" t="inlineStr">
        <is>
          <t>教育</t>
        </is>
      </c>
      <c r="J187">
        <v>8768</v>
      </c>
      <c r="K187" t="inlineStr">
        <is>
          <t>0.9</t>
        </is>
      </c>
      <c r="L187">
        <v>8864</v>
      </c>
      <c r="M187">
        <v>1555</v>
      </c>
      <c r="N187">
        <v>475</v>
      </c>
      <c r="O187">
        <v>240</v>
      </c>
      <c r="P187">
        <v>0</v>
      </c>
      <c r="Q187">
        <v>1</v>
      </c>
      <c r="R187">
        <v>8117</v>
      </c>
      <c r="S187">
        <v>1762</v>
      </c>
      <c r="T187">
        <v>701</v>
      </c>
      <c r="U187">
        <v>0.44</v>
      </c>
      <c r="V187">
        <v>240</v>
      </c>
      <c r="W187">
        <v>1</v>
      </c>
      <c r="X187">
        <v>0</v>
      </c>
      <c r="Y187">
        <v>29.57</v>
      </c>
      <c r="Z187">
        <v>0.32</v>
      </c>
      <c r="AA187">
        <v>9611</v>
      </c>
      <c r="AB187">
        <v>1348</v>
      </c>
      <c r="AC187">
        <v>190</v>
      </c>
      <c r="AD187">
        <v>1.72</v>
      </c>
      <c r="AE187">
        <v>300</v>
      </c>
      <c r="AF187">
        <v>1</v>
      </c>
      <c r="AG187">
        <v>0</v>
      </c>
      <c r="AH187">
        <v>0.161</v>
      </c>
      <c r="AI187">
        <v>31.21</v>
      </c>
      <c r="AJ187">
        <v>1.49</v>
      </c>
      <c r="AK187">
        <v>0</v>
      </c>
      <c r="AL187">
        <v>0</v>
      </c>
      <c r="AM187">
        <v>0</v>
      </c>
      <c r="AN187">
        <v>0</v>
      </c>
      <c r="AO187">
        <v>0</v>
      </c>
      <c r="AP187">
        <v>0.89</v>
      </c>
      <c r="AQ187">
        <v>0.0559999999999999</v>
      </c>
      <c r="AR187">
        <v>0.069</v>
      </c>
      <c r="AS187" s="3">
        <v>46107.76736111111</v>
      </c>
    </row>
    <row r="188" ht="25.5" customHeight="1">
      <c r="A188" t="inlineStr">
        <is>
          <t>597320be82ec394a239d07ee</t>
        </is>
      </c>
      <c r="B188" s="2" t="str">
        <f>=HYPERLINK("https://www.xiaohongshu.com/user/profile/597320be82ec394a239d07ee", "https://www.xiaohongshu.com/user/profile/597320be82ec394a239d07ee")</f>
        <v>https://www.xiaohongshu.com/user/profile/597320be82ec394a239d07ee</v>
      </c>
      <c r="C188" s="2" t="str">
        <f>=HYPERLINK("https://pgy.xiaohongshu.com/solar/pre-trade/blogger-detail/597320be82ec394a239d07ee", "https://pgy.xiaohongshu.com/solar/pre-trade/blogger-detail/597320be82ec394a239d07ee")</f>
        <v>https://pgy.xiaohongshu.com/solar/pre-trade/blogger-detail/597320be82ec394a239d07ee</v>
      </c>
      <c r="D188" t="inlineStr">
        <is>
          <t>女</t>
        </is>
      </c>
      <c r="E188" t="inlineStr">
        <is>
          <t>260958205</t>
        </is>
      </c>
      <c r="F188" t="inlineStr">
        <is>
          <t>ieesang</t>
        </is>
      </c>
      <c r="G188" t="inlineStr">
        <is>
          <t>山东 烟台 莱山区</t>
        </is>
      </c>
      <c r="H188" t="inlineStr">
        <is>
          <t>学生, 留学背景, 翻译</t>
        </is>
      </c>
      <c r="I188" t="inlineStr">
        <is>
          <t>教育</t>
        </is>
      </c>
      <c r="J188">
        <v>97278</v>
      </c>
      <c r="K188" t="inlineStr">
        <is>
          <t>9.7</t>
        </is>
      </c>
      <c r="L188">
        <v>107822</v>
      </c>
      <c r="M188">
        <v>15769</v>
      </c>
      <c r="N188">
        <v>1893</v>
      </c>
      <c r="O188">
        <v>4000</v>
      </c>
      <c r="P188">
        <v>0.667</v>
      </c>
      <c r="Q188">
        <v>1</v>
      </c>
      <c r="R188">
        <v>0</v>
      </c>
      <c r="S188">
        <v>0</v>
      </c>
      <c r="T188">
        <v>0</v>
      </c>
      <c r="U188">
        <v>0</v>
      </c>
      <c r="V188">
        <v>4000</v>
      </c>
      <c r="W188">
        <v>0</v>
      </c>
      <c r="X188">
        <v>0</v>
      </c>
      <c r="Y188">
        <v>0</v>
      </c>
      <c r="Z188">
        <v>0</v>
      </c>
      <c r="AA188">
        <v>107822</v>
      </c>
      <c r="AB188">
        <v>15769</v>
      </c>
      <c r="AC188">
        <v>1329</v>
      </c>
      <c r="AD188">
        <v>2.07</v>
      </c>
      <c r="AE188">
        <v>9000</v>
      </c>
      <c r="AF188">
        <v>1</v>
      </c>
      <c r="AG188">
        <v>0.667</v>
      </c>
      <c r="AH188">
        <v>0.061</v>
      </c>
      <c r="AI188">
        <v>196.68</v>
      </c>
      <c r="AJ188">
        <v>5.64</v>
      </c>
      <c r="AK188">
        <v>72039</v>
      </c>
      <c r="AL188">
        <v>21327</v>
      </c>
      <c r="AM188">
        <v>1201</v>
      </c>
      <c r="AN188">
        <v>0</v>
      </c>
      <c r="AO188">
        <v>0</v>
      </c>
      <c r="AP188">
        <v>0.750999999999999</v>
      </c>
      <c r="AQ188">
        <v>0.042</v>
      </c>
      <c r="AR188">
        <v>0.024</v>
      </c>
      <c r="AS188" s="3">
        <v>46107.76736111111</v>
      </c>
    </row>
    <row r="189" ht="25.5" customHeight="1">
      <c r="A189" t="inlineStr">
        <is>
          <t>60caccac0000000020026d5b</t>
        </is>
      </c>
      <c r="B189" s="2" t="str">
        <f>=HYPERLINK("https://www.xiaohongshu.com/user/profile/60caccac0000000020026d5b", "https://www.xiaohongshu.com/user/profile/60caccac0000000020026d5b")</f>
        <v>https://www.xiaohongshu.com/user/profile/60caccac0000000020026d5b</v>
      </c>
      <c r="C189" s="2" t="str">
        <f>=HYPERLINK("https://pgy.xiaohongshu.com/solar/pre-trade/blogger-detail/60caccac0000000020026d5b", "https://pgy.xiaohongshu.com/solar/pre-trade/blogger-detail/60caccac0000000020026d5b")</f>
        <v>https://pgy.xiaohongshu.com/solar/pre-trade/blogger-detail/60caccac0000000020026d5b</v>
      </c>
      <c r="D189" t="inlineStr">
        <is>
          <t>男</t>
        </is>
      </c>
      <c r="E189" t="inlineStr">
        <is>
          <t>MieMie_7777</t>
        </is>
      </c>
      <c r="F189" t="inlineStr">
        <is>
          <t>YoKkk</t>
        </is>
      </c>
      <c r="G189" t="inlineStr">
        <is>
          <t>福建 厦门 思明区</t>
        </is>
      </c>
      <c r="H189" t="inlineStr">
        <is>
          <t>考研过来人, 学生</t>
        </is>
      </c>
      <c r="I189" t="inlineStr">
        <is>
          <t>教育</t>
        </is>
      </c>
      <c r="J189">
        <v>2979</v>
      </c>
      <c r="K189" t="inlineStr">
        <is>
          <t>0.3</t>
        </is>
      </c>
      <c r="L189">
        <v>9924</v>
      </c>
      <c r="M189">
        <v>2014</v>
      </c>
      <c r="N189">
        <v>101</v>
      </c>
      <c r="O189">
        <v>600</v>
      </c>
      <c r="P189">
        <v>0</v>
      </c>
      <c r="Q189">
        <v>0.214</v>
      </c>
      <c r="R189">
        <v>9924</v>
      </c>
      <c r="S189">
        <v>2014</v>
      </c>
      <c r="T189">
        <v>68</v>
      </c>
      <c r="U189">
        <v>0.65</v>
      </c>
      <c r="V189">
        <v>600</v>
      </c>
      <c r="W189">
        <v>0.214</v>
      </c>
      <c r="X189">
        <v>0</v>
      </c>
      <c r="Y189">
        <v>58.94</v>
      </c>
      <c r="Z189">
        <v>5.88</v>
      </c>
      <c r="AA189">
        <v>0</v>
      </c>
      <c r="AB189">
        <v>0</v>
      </c>
      <c r="AC189">
        <v>0</v>
      </c>
      <c r="AD189">
        <v>0</v>
      </c>
      <c r="AE189">
        <v>1000</v>
      </c>
      <c r="AF189">
        <v>0</v>
      </c>
      <c r="AG189">
        <v>0</v>
      </c>
      <c r="AH189">
        <v>0</v>
      </c>
      <c r="AI189">
        <v>0</v>
      </c>
      <c r="AJ189">
        <v>0</v>
      </c>
      <c r="AK189">
        <v>11935</v>
      </c>
      <c r="AL189">
        <v>1294</v>
      </c>
      <c r="AM189">
        <v>141</v>
      </c>
      <c r="AN189">
        <v>0</v>
      </c>
      <c r="AO189">
        <v>0</v>
      </c>
      <c r="AP189">
        <v>0.893</v>
      </c>
      <c r="AQ189">
        <v>0.136</v>
      </c>
      <c r="AR189">
        <v>0.092</v>
      </c>
      <c r="AS189" s="3">
        <v>46107.76736111111</v>
      </c>
    </row>
    <row r="190" ht="25.5" customHeight="1">
      <c r="A190" t="inlineStr">
        <is>
          <t>5b49a7214eacab264d96e72e</t>
        </is>
      </c>
      <c r="B190" s="2" t="str">
        <f>=HYPERLINK("https://www.xiaohongshu.com/user/profile/5b49a7214eacab264d96e72e", "https://www.xiaohongshu.com/user/profile/5b49a7214eacab264d96e72e")</f>
        <v>https://www.xiaohongshu.com/user/profile/5b49a7214eacab264d96e72e</v>
      </c>
      <c r="C190" s="2" t="str">
        <f>=HYPERLINK("https://pgy.xiaohongshu.com/solar/pre-trade/blogger-detail/5b49a7214eacab264d96e72e", "https://pgy.xiaohongshu.com/solar/pre-trade/blogger-detail/5b49a7214eacab264d96e72e")</f>
        <v>https://pgy.xiaohongshu.com/solar/pre-trade/blogger-detail/5b49a7214eacab264d96e72e</v>
      </c>
      <c r="D190" t="inlineStr">
        <is>
          <t>男</t>
        </is>
      </c>
      <c r="E190" t="inlineStr">
        <is>
          <t>276041885</t>
        </is>
      </c>
      <c r="F190" t="inlineStr">
        <is>
          <t>Even</t>
        </is>
      </c>
      <c r="G190" t="inlineStr">
        <is>
          <t>上海</t>
        </is>
      </c>
      <c r="H190" t="inlineStr">
        <is>
          <t>考研过来人, 学生</t>
        </is>
      </c>
      <c r="I190" t="inlineStr">
        <is>
          <t>生活记录</t>
        </is>
      </c>
      <c r="J190">
        <v>2491</v>
      </c>
      <c r="K190" t="inlineStr">
        <is>
          <t>0.2</t>
        </is>
      </c>
      <c r="L190">
        <v>4821</v>
      </c>
      <c r="M190">
        <v>880</v>
      </c>
      <c r="N190">
        <v>131</v>
      </c>
      <c r="O190">
        <v>168</v>
      </c>
      <c r="P190">
        <v>0</v>
      </c>
      <c r="Q190">
        <v>0</v>
      </c>
      <c r="R190">
        <v>4821</v>
      </c>
      <c r="S190">
        <v>880</v>
      </c>
      <c r="T190">
        <v>121</v>
      </c>
      <c r="U190">
        <v>0.55</v>
      </c>
      <c r="V190">
        <v>168</v>
      </c>
      <c r="W190">
        <v>0</v>
      </c>
      <c r="X190">
        <v>0</v>
      </c>
      <c r="Y190">
        <v>38.44</v>
      </c>
      <c r="Z190">
        <v>0.77</v>
      </c>
      <c r="AA190">
        <v>0</v>
      </c>
      <c r="AB190">
        <v>0</v>
      </c>
      <c r="AC190">
        <v>0</v>
      </c>
      <c r="AD190">
        <v>0</v>
      </c>
      <c r="AE190">
        <v>208</v>
      </c>
      <c r="AF190">
        <v>0</v>
      </c>
      <c r="AG190">
        <v>0</v>
      </c>
      <c r="AH190">
        <v>0</v>
      </c>
      <c r="AI190">
        <v>0</v>
      </c>
      <c r="AJ190">
        <v>0</v>
      </c>
      <c r="AK190">
        <v>3921</v>
      </c>
      <c r="AL190">
        <v>499</v>
      </c>
      <c r="AM190">
        <v>207</v>
      </c>
      <c r="AN190">
        <v>0</v>
      </c>
      <c r="AO190">
        <v>0</v>
      </c>
      <c r="AP190">
        <v>0.930999999999999</v>
      </c>
      <c r="AQ190">
        <v>0.064</v>
      </c>
      <c r="AR190">
        <v>0.024</v>
      </c>
      <c r="AS190" s="3">
        <v>46107.76736111111</v>
      </c>
    </row>
    <row r="191" ht="25.5" customHeight="1">
      <c r="A191" t="inlineStr">
        <is>
          <t>5dc81c1f00000000010015af</t>
        </is>
      </c>
      <c r="B191" s="2" t="str">
        <f>=HYPERLINK("https://www.xiaohongshu.com/user/profile/5dc81c1f00000000010015af", "https://www.xiaohongshu.com/user/profile/5dc81c1f00000000010015af")</f>
        <v>https://www.xiaohongshu.com/user/profile/5dc81c1f00000000010015af</v>
      </c>
      <c r="C191" s="2" t="str">
        <f>=HYPERLINK("https://pgy.xiaohongshu.com/solar/pre-trade/blogger-detail/5dc81c1f00000000010015af", "https://pgy.xiaohongshu.com/solar/pre-trade/blogger-detail/5dc81c1f00000000010015af")</f>
        <v>https://pgy.xiaohongshu.com/solar/pre-trade/blogger-detail/5dc81c1f00000000010015af</v>
      </c>
      <c r="D191" t="inlineStr">
        <is>
          <t>男</t>
        </is>
      </c>
      <c r="E191" t="inlineStr">
        <is>
          <t>239627504</t>
        </is>
      </c>
      <c r="F191" t="inlineStr">
        <is>
          <t>7RINKIII</t>
        </is>
      </c>
      <c r="G191" t="inlineStr">
        <is>
          <t>山东 济南 历下区</t>
        </is>
      </c>
      <c r="H191" t="inlineStr">
        <is>
          <t>数码爱好者, 建筑设计师, 室内设计师</t>
        </is>
      </c>
      <c r="I191" t="inlineStr">
        <is>
          <t>教育, 家居家装</t>
        </is>
      </c>
      <c r="J191">
        <v>7923</v>
      </c>
      <c r="K191" t="inlineStr">
        <is>
          <t>0.8</t>
        </is>
      </c>
      <c r="L191">
        <v>23746</v>
      </c>
      <c r="M191">
        <v>11212</v>
      </c>
      <c r="N191">
        <v>1788</v>
      </c>
      <c r="O191">
        <v>236</v>
      </c>
      <c r="P191">
        <v>0.5</v>
      </c>
      <c r="Q191">
        <v>0.75</v>
      </c>
      <c r="R191">
        <v>0</v>
      </c>
      <c r="S191">
        <v>0</v>
      </c>
      <c r="T191">
        <v>0</v>
      </c>
      <c r="U191">
        <v>0</v>
      </c>
      <c r="V191">
        <v>236</v>
      </c>
      <c r="W191">
        <v>0</v>
      </c>
      <c r="X191">
        <v>0</v>
      </c>
      <c r="Y191">
        <v>0</v>
      </c>
      <c r="Z191">
        <v>0</v>
      </c>
      <c r="AA191">
        <v>23746</v>
      </c>
      <c r="AB191">
        <v>11212</v>
      </c>
      <c r="AC191">
        <v>1685</v>
      </c>
      <c r="AD191">
        <v>1.57</v>
      </c>
      <c r="AE191">
        <v>431</v>
      </c>
      <c r="AF191">
        <v>0.75</v>
      </c>
      <c r="AG191">
        <v>0.5</v>
      </c>
      <c r="AH191">
        <v>0.038</v>
      </c>
      <c r="AI191">
        <v>21.41</v>
      </c>
      <c r="AJ191">
        <v>0.44</v>
      </c>
      <c r="AK191">
        <v>20132</v>
      </c>
      <c r="AL191">
        <v>4541</v>
      </c>
      <c r="AM191">
        <v>901</v>
      </c>
      <c r="AN191">
        <v>0</v>
      </c>
      <c r="AO191">
        <v>0</v>
      </c>
      <c r="AP191">
        <v>0.953</v>
      </c>
      <c r="AQ191">
        <v>0.402999999999999</v>
      </c>
      <c r="AR191">
        <v>0.725</v>
      </c>
      <c r="AS191" s="3">
        <v>46107.76736111111</v>
      </c>
    </row>
    <row r="192" ht="25.5" customHeight="1">
      <c r="A192" t="inlineStr">
        <is>
          <t>5b6e333cf7e8b94fd2117d79</t>
        </is>
      </c>
      <c r="B192" s="2" t="str">
        <f>=HYPERLINK("https://www.xiaohongshu.com/user/profile/5b6e333cf7e8b94fd2117d79", "https://www.xiaohongshu.com/user/profile/5b6e333cf7e8b94fd2117d79")</f>
        <v>https://www.xiaohongshu.com/user/profile/5b6e333cf7e8b94fd2117d79</v>
      </c>
      <c r="C192" s="2" t="str">
        <f>=HYPERLINK("https://pgy.xiaohongshu.com/solar/pre-trade/blogger-detail/5b6e333cf7e8b94fd2117d79", "https://pgy.xiaohongshu.com/solar/pre-trade/blogger-detail/5b6e333cf7e8b94fd2117d79")</f>
        <v>https://pgy.xiaohongshu.com/solar/pre-trade/blogger-detail/5b6e333cf7e8b94fd2117d79</v>
      </c>
      <c r="D192" t="inlineStr">
        <is>
          <t>女</t>
        </is>
      </c>
      <c r="E192" t="inlineStr">
        <is>
          <t>606040039</t>
        </is>
      </c>
      <c r="F192" t="inlineStr">
        <is>
          <t>成功妞（留学版）</t>
        </is>
      </c>
      <c r="G192" t="inlineStr">
        <is>
          <t>马来西亚</t>
        </is>
      </c>
      <c r="H192" t="inlineStr">
        <is>
          <t>留学背景, 学生</t>
        </is>
      </c>
      <c r="I192" t="inlineStr">
        <is>
          <t>教育</t>
        </is>
      </c>
      <c r="J192">
        <v>6314</v>
      </c>
      <c r="K192" t="inlineStr">
        <is>
          <t>0.6</t>
        </is>
      </c>
      <c r="L192">
        <v>16304</v>
      </c>
      <c r="M192">
        <v>2738</v>
      </c>
      <c r="N192">
        <v>207</v>
      </c>
      <c r="O192">
        <v>450</v>
      </c>
      <c r="P192">
        <v>0</v>
      </c>
      <c r="Q192">
        <v>0.5</v>
      </c>
      <c r="R192">
        <v>0</v>
      </c>
      <c r="S192">
        <v>0</v>
      </c>
      <c r="T192">
        <v>0</v>
      </c>
      <c r="U192">
        <v>0.8</v>
      </c>
      <c r="V192">
        <v>450</v>
      </c>
      <c r="W192">
        <v>0</v>
      </c>
      <c r="X192">
        <v>0</v>
      </c>
      <c r="Y192">
        <v>59.87</v>
      </c>
      <c r="Z192">
        <v>6.92</v>
      </c>
      <c r="AA192">
        <v>16304</v>
      </c>
      <c r="AB192">
        <v>2738</v>
      </c>
      <c r="AC192">
        <v>177</v>
      </c>
      <c r="AD192">
        <v>1.95</v>
      </c>
      <c r="AE192">
        <v>800</v>
      </c>
      <c r="AF192">
        <v>0.5</v>
      </c>
      <c r="AG192">
        <v>0</v>
      </c>
      <c r="AH192">
        <v>0.083</v>
      </c>
      <c r="AI192">
        <v>325.47</v>
      </c>
      <c r="AJ192">
        <v>10.81</v>
      </c>
      <c r="AK192">
        <v>13689</v>
      </c>
      <c r="AL192">
        <v>1338</v>
      </c>
      <c r="AM192">
        <v>49</v>
      </c>
      <c r="AN192">
        <v>0</v>
      </c>
      <c r="AO192">
        <v>0</v>
      </c>
      <c r="AP192">
        <v>0.819</v>
      </c>
      <c r="AQ192">
        <v>0.025</v>
      </c>
      <c r="AR192">
        <v>0.027</v>
      </c>
      <c r="AS192" s="3">
        <v>46107.76736111111</v>
      </c>
    </row>
    <row r="193" ht="25.5" customHeight="1">
      <c r="A193" t="inlineStr">
        <is>
          <t>620b8ae1000000001000640a</t>
        </is>
      </c>
      <c r="B193" s="2" t="str">
        <f>=HYPERLINK("https://www.xiaohongshu.com/user/profile/620b8ae1000000001000640a", "https://www.xiaohongshu.com/user/profile/620b8ae1000000001000640a")</f>
        <v>https://www.xiaohongshu.com/user/profile/620b8ae1000000001000640a</v>
      </c>
      <c r="C193" s="2" t="str">
        <f>=HYPERLINK("https://pgy.xiaohongshu.com/solar/pre-trade/blogger-detail/620b8ae1000000001000640a", "https://pgy.xiaohongshu.com/solar/pre-trade/blogger-detail/620b8ae1000000001000640a")</f>
        <v>https://pgy.xiaohongshu.com/solar/pre-trade/blogger-detail/620b8ae1000000001000640a</v>
      </c>
      <c r="D193" t="inlineStr">
        <is>
          <t>男</t>
        </is>
      </c>
      <c r="E193" t="inlineStr">
        <is>
          <t>beautyYY0_</t>
        </is>
      </c>
      <c r="F193" t="inlineStr">
        <is>
          <t>兔兔在学药</t>
        </is>
      </c>
      <c r="G193" t="inlineStr">
        <is>
          <t>安徽 合肥 蜀山区</t>
        </is>
      </c>
      <c r="H193" t="inlineStr">
        <is>
          <t>考研过来人, 学生</t>
        </is>
      </c>
      <c r="I193" t="inlineStr">
        <is>
          <t>教育</t>
        </is>
      </c>
      <c r="J193">
        <v>7720</v>
      </c>
      <c r="K193" t="inlineStr">
        <is>
          <t>0.8</t>
        </is>
      </c>
      <c r="L193">
        <v>9654</v>
      </c>
      <c r="M193">
        <v>2357</v>
      </c>
      <c r="N193">
        <v>315</v>
      </c>
      <c r="O193">
        <v>700</v>
      </c>
      <c r="P193">
        <v>0.2</v>
      </c>
      <c r="Q193">
        <v>0.8</v>
      </c>
      <c r="R193">
        <v>0</v>
      </c>
      <c r="S193">
        <v>0</v>
      </c>
      <c r="T193">
        <v>0</v>
      </c>
      <c r="U193">
        <v>0</v>
      </c>
      <c r="V193">
        <v>700</v>
      </c>
      <c r="W193">
        <v>0</v>
      </c>
      <c r="X193">
        <v>0</v>
      </c>
      <c r="Y193">
        <v>0</v>
      </c>
      <c r="Z193">
        <v>0</v>
      </c>
      <c r="AA193">
        <v>9654</v>
      </c>
      <c r="AB193">
        <v>2357</v>
      </c>
      <c r="AC193">
        <v>341</v>
      </c>
      <c r="AD193">
        <v>1.77</v>
      </c>
      <c r="AE193">
        <v>1000</v>
      </c>
      <c r="AF193">
        <v>0.8</v>
      </c>
      <c r="AG193">
        <v>0.2</v>
      </c>
      <c r="AH193">
        <v>0.037</v>
      </c>
      <c r="AI193">
        <v>74.49</v>
      </c>
      <c r="AJ193">
        <v>3.17</v>
      </c>
      <c r="AK193">
        <v>23781</v>
      </c>
      <c r="AL193">
        <v>4720</v>
      </c>
      <c r="AM193">
        <v>401</v>
      </c>
      <c r="AN193">
        <v>0</v>
      </c>
      <c r="AO193">
        <v>0</v>
      </c>
      <c r="AP193">
        <v>0.757</v>
      </c>
      <c r="AQ193">
        <v>0.035</v>
      </c>
      <c r="AR193">
        <v>0.034</v>
      </c>
      <c r="AS193" s="3">
        <v>46107.76736111111</v>
      </c>
    </row>
    <row r="194" ht="25.5" customHeight="1">
      <c r="A194" t="inlineStr">
        <is>
          <t>68820e3e000000001d014dba</t>
        </is>
      </c>
      <c r="B194" s="2" t="str">
        <f>=HYPERLINK("https://www.xiaohongshu.com/user/profile/68820e3e000000001d014dba", "https://www.xiaohongshu.com/user/profile/68820e3e000000001d014dba")</f>
        <v>https://www.xiaohongshu.com/user/profile/68820e3e000000001d014dba</v>
      </c>
      <c r="C194" s="2" t="str">
        <f>=HYPERLINK("https://pgy.xiaohongshu.com/solar/pre-trade/blogger-detail/68820e3e000000001d014dba", "https://pgy.xiaohongshu.com/solar/pre-trade/blogger-detail/68820e3e000000001d014dba")</f>
        <v>https://pgy.xiaohongshu.com/solar/pre-trade/blogger-detail/68820e3e000000001d014dba</v>
      </c>
      <c r="D194" t="inlineStr">
        <is>
          <t>女</t>
        </is>
      </c>
      <c r="E194" t="inlineStr">
        <is>
          <t>95507816417</t>
        </is>
      </c>
      <c r="F194" t="inlineStr">
        <is>
          <t>十一壹十七</t>
        </is>
      </c>
      <c r="G194" t="inlineStr">
        <is>
          <t>北京</t>
        </is>
      </c>
      <c r="H194" t="inlineStr">
        <is>
          <t>考研过来人, 学生</t>
        </is>
      </c>
      <c r="I194" t="inlineStr">
        <is>
          <t>生活记录</t>
        </is>
      </c>
      <c r="J194">
        <v>8584</v>
      </c>
      <c r="K194" t="inlineStr">
        <is>
          <t>0.9</t>
        </is>
      </c>
      <c r="L194">
        <v>7022</v>
      </c>
      <c r="M194">
        <v>1951</v>
      </c>
      <c r="N194">
        <v>231</v>
      </c>
      <c r="O194">
        <v>1000</v>
      </c>
      <c r="P194">
        <v>0</v>
      </c>
      <c r="Q194">
        <v>0.571</v>
      </c>
      <c r="R194">
        <v>0</v>
      </c>
      <c r="S194">
        <v>0</v>
      </c>
      <c r="T194">
        <v>0</v>
      </c>
      <c r="U194">
        <v>0</v>
      </c>
      <c r="V194">
        <v>1000</v>
      </c>
      <c r="W194">
        <v>0</v>
      </c>
      <c r="X194">
        <v>0</v>
      </c>
      <c r="Y194">
        <v>0</v>
      </c>
      <c r="Z194">
        <v>0</v>
      </c>
      <c r="AA194">
        <v>7022</v>
      </c>
      <c r="AB194">
        <v>1951</v>
      </c>
      <c r="AC194">
        <v>186</v>
      </c>
      <c r="AD194">
        <v>2.01</v>
      </c>
      <c r="AE194">
        <v>1000</v>
      </c>
      <c r="AF194">
        <v>0.571</v>
      </c>
      <c r="AG194">
        <v>0</v>
      </c>
      <c r="AH194">
        <v>0.218999999999999</v>
      </c>
      <c r="AI194">
        <v>142.41</v>
      </c>
      <c r="AJ194">
        <v>4.33</v>
      </c>
      <c r="AK194">
        <v>0</v>
      </c>
      <c r="AL194">
        <v>0</v>
      </c>
      <c r="AM194">
        <v>0</v>
      </c>
      <c r="AN194">
        <v>0</v>
      </c>
      <c r="AO194">
        <v>0</v>
      </c>
      <c r="AP194">
        <v>0.904</v>
      </c>
      <c r="AQ194">
        <v>0.038</v>
      </c>
      <c r="AR194">
        <v>0.012</v>
      </c>
      <c r="AS194" s="3">
        <v>46107.76736111111</v>
      </c>
    </row>
    <row r="195" ht="25.5" customHeight="1">
      <c r="A195" t="inlineStr">
        <is>
          <t>5fb6809800000000010007a1</t>
        </is>
      </c>
      <c r="B195" s="2" t="str">
        <f>=HYPERLINK("https://www.xiaohongshu.com/user/profile/5fb6809800000000010007a1", "https://www.xiaohongshu.com/user/profile/5fb6809800000000010007a1")</f>
        <v>https://www.xiaohongshu.com/user/profile/5fb6809800000000010007a1</v>
      </c>
      <c r="C195" s="2" t="str">
        <f>=HYPERLINK("https://pgy.xiaohongshu.com/solar/pre-trade/blogger-detail/5fb6809800000000010007a1", "https://pgy.xiaohongshu.com/solar/pre-trade/blogger-detail/5fb6809800000000010007a1")</f>
        <v>https://pgy.xiaohongshu.com/solar/pre-trade/blogger-detail/5fb6809800000000010007a1</v>
      </c>
      <c r="D195" t="inlineStr">
        <is>
          <t>女</t>
        </is>
      </c>
      <c r="E195" t="inlineStr">
        <is>
          <t>1086190325</t>
        </is>
      </c>
      <c r="F195" t="inlineStr">
        <is>
          <t>RR饱饱</t>
        </is>
      </c>
      <c r="G195" t="inlineStr">
        <is>
          <t>山东 青岛 城阳区</t>
        </is>
      </c>
      <c r="H195"/>
      <c r="I195" t="inlineStr">
        <is>
          <t>教育</t>
        </is>
      </c>
      <c r="J195">
        <v>10612</v>
      </c>
      <c r="K195" t="inlineStr">
        <is>
          <t>1.1</t>
        </is>
      </c>
      <c r="L195">
        <v>3429</v>
      </c>
      <c r="M195">
        <v>648</v>
      </c>
      <c r="N195">
        <v>115</v>
      </c>
      <c r="O195">
        <v>400</v>
      </c>
      <c r="P195">
        <v>0</v>
      </c>
      <c r="Q195">
        <v>0</v>
      </c>
      <c r="R195">
        <v>2868</v>
      </c>
      <c r="S195">
        <v>324</v>
      </c>
      <c r="T195">
        <v>10</v>
      </c>
      <c r="U195">
        <v>1.53</v>
      </c>
      <c r="V195">
        <v>400</v>
      </c>
      <c r="W195">
        <v>0</v>
      </c>
      <c r="X195">
        <v>0</v>
      </c>
      <c r="Y195">
        <v>139.47</v>
      </c>
      <c r="Z195">
        <v>40</v>
      </c>
      <c r="AA195">
        <v>4623</v>
      </c>
      <c r="AB195">
        <v>729</v>
      </c>
      <c r="AC195">
        <v>104</v>
      </c>
      <c r="AD195">
        <v>2.73</v>
      </c>
      <c r="AE195">
        <v>800</v>
      </c>
      <c r="AF195">
        <v>0</v>
      </c>
      <c r="AG195">
        <v>0</v>
      </c>
      <c r="AH195">
        <v>0.035</v>
      </c>
      <c r="AI195">
        <v>229.82</v>
      </c>
      <c r="AJ195">
        <v>6.96</v>
      </c>
      <c r="AK195">
        <v>3481</v>
      </c>
      <c r="AL195">
        <v>422</v>
      </c>
      <c r="AM195">
        <v>88</v>
      </c>
      <c r="AN195">
        <v>0</v>
      </c>
      <c r="AO195">
        <v>0</v>
      </c>
      <c r="AP195">
        <v>0.969</v>
      </c>
      <c r="AQ195">
        <v>0.068</v>
      </c>
      <c r="AR195">
        <v>0.078</v>
      </c>
      <c r="AS195" s="3">
        <v>46107.76736111111</v>
      </c>
    </row>
    <row r="196" ht="25.5" customHeight="1">
      <c r="A196" t="inlineStr">
        <is>
          <t>597dd08082ec3903c0fd68dd</t>
        </is>
      </c>
      <c r="B196" s="2" t="str">
        <f>=HYPERLINK("https://www.xiaohongshu.com/user/profile/597dd08082ec3903c0fd68dd", "https://www.xiaohongshu.com/user/profile/597dd08082ec3903c0fd68dd")</f>
        <v>https://www.xiaohongshu.com/user/profile/597dd08082ec3903c0fd68dd</v>
      </c>
      <c r="C196" s="2" t="str">
        <f>=HYPERLINK("https://pgy.xiaohongshu.com/solar/pre-trade/blogger-detail/597dd08082ec3903c0fd68dd", "https://pgy.xiaohongshu.com/solar/pre-trade/blogger-detail/597dd08082ec3903c0fd68dd")</f>
        <v>https://pgy.xiaohongshu.com/solar/pre-trade/blogger-detail/597dd08082ec3903c0fd68dd</v>
      </c>
      <c r="D196" t="inlineStr">
        <is>
          <t>女</t>
        </is>
      </c>
      <c r="E196" t="inlineStr">
        <is>
          <t>262630706</t>
        </is>
      </c>
      <c r="F196" t="inlineStr">
        <is>
          <t>K秘</t>
        </is>
      </c>
      <c r="G196" t="inlineStr">
        <is>
          <t>中国 香港</t>
        </is>
      </c>
      <c r="H196" t="inlineStr">
        <is>
          <t>留学背景, 运动员</t>
        </is>
      </c>
      <c r="I196" t="inlineStr">
        <is>
          <t>教育</t>
        </is>
      </c>
      <c r="J196">
        <v>72168</v>
      </c>
      <c r="K196" t="inlineStr">
        <is>
          <t>7.2</t>
        </is>
      </c>
      <c r="L196">
        <v>13637</v>
      </c>
      <c r="M196">
        <v>4684</v>
      </c>
      <c r="N196">
        <v>513</v>
      </c>
      <c r="O196">
        <v>6500</v>
      </c>
      <c r="P196">
        <v>0</v>
      </c>
      <c r="Q196">
        <v>0.667</v>
      </c>
      <c r="R196">
        <v>0</v>
      </c>
      <c r="S196">
        <v>0</v>
      </c>
      <c r="T196">
        <v>0</v>
      </c>
      <c r="U196">
        <v>0</v>
      </c>
      <c r="V196">
        <v>6500</v>
      </c>
      <c r="W196">
        <v>0</v>
      </c>
      <c r="X196">
        <v>0</v>
      </c>
      <c r="Y196">
        <v>0</v>
      </c>
      <c r="Z196">
        <v>0</v>
      </c>
      <c r="AA196">
        <v>13637</v>
      </c>
      <c r="AB196">
        <v>4684</v>
      </c>
      <c r="AC196">
        <v>469</v>
      </c>
      <c r="AD196">
        <v>3.32</v>
      </c>
      <c r="AE196">
        <v>9500</v>
      </c>
      <c r="AF196">
        <v>0.667</v>
      </c>
      <c r="AG196">
        <v>0</v>
      </c>
      <c r="AH196">
        <v>0.242</v>
      </c>
      <c r="AI196">
        <v>767.58</v>
      </c>
      <c r="AJ196">
        <v>20.06</v>
      </c>
      <c r="AK196">
        <v>23895</v>
      </c>
      <c r="AL196">
        <v>14765</v>
      </c>
      <c r="AM196">
        <v>409</v>
      </c>
      <c r="AN196">
        <v>0</v>
      </c>
      <c r="AO196">
        <v>0</v>
      </c>
      <c r="AP196">
        <v>0.736</v>
      </c>
      <c r="AQ196">
        <v>0.013</v>
      </c>
      <c r="AR196">
        <v>0</v>
      </c>
      <c r="AS196" s="3">
        <v>46107.76736111111</v>
      </c>
    </row>
    <row r="197" ht="25.5" customHeight="1">
      <c r="A197" t="inlineStr">
        <is>
          <t>61737fbd000000000201d26d</t>
        </is>
      </c>
      <c r="B197" s="2" t="str">
        <f>=HYPERLINK("https://www.xiaohongshu.com/user/profile/61737fbd000000000201d26d", "https://www.xiaohongshu.com/user/profile/61737fbd000000000201d26d")</f>
        <v>https://www.xiaohongshu.com/user/profile/61737fbd000000000201d26d</v>
      </c>
      <c r="C197" s="2" t="str">
        <f>=HYPERLINK("https://pgy.xiaohongshu.com/solar/pre-trade/blogger-detail/61737fbd000000000201d26d", "https://pgy.xiaohongshu.com/solar/pre-trade/blogger-detail/61737fbd000000000201d26d")</f>
        <v>https://pgy.xiaohongshu.com/solar/pre-trade/blogger-detail/61737fbd000000000201d26d</v>
      </c>
      <c r="D197" t="inlineStr">
        <is>
          <t>女</t>
        </is>
      </c>
      <c r="E197" t="inlineStr">
        <is>
          <t>9577120713</t>
        </is>
      </c>
      <c r="F197" t="inlineStr">
        <is>
          <t>叫一只卷饼</t>
        </is>
      </c>
      <c r="G197" t="inlineStr">
        <is>
          <t>上海</t>
        </is>
      </c>
      <c r="H197" t="inlineStr">
        <is>
          <t>学生</t>
        </is>
      </c>
      <c r="I197" t="inlineStr">
        <is>
          <t>教育</t>
        </is>
      </c>
      <c r="J197">
        <v>23612</v>
      </c>
      <c r="K197" t="inlineStr">
        <is>
          <t>2.4</t>
        </is>
      </c>
      <c r="L197">
        <v>9739</v>
      </c>
      <c r="M197">
        <v>1425</v>
      </c>
      <c r="N197">
        <v>149</v>
      </c>
      <c r="O197">
        <v>2800</v>
      </c>
      <c r="P197">
        <v>0.25</v>
      </c>
      <c r="Q197">
        <v>0.25</v>
      </c>
      <c r="R197">
        <v>0</v>
      </c>
      <c r="S197">
        <v>0</v>
      </c>
      <c r="T197">
        <v>0</v>
      </c>
      <c r="U197">
        <v>0</v>
      </c>
      <c r="V197">
        <v>2800</v>
      </c>
      <c r="W197">
        <v>0</v>
      </c>
      <c r="X197">
        <v>0</v>
      </c>
      <c r="Y197">
        <v>0</v>
      </c>
      <c r="Z197">
        <v>0</v>
      </c>
      <c r="AA197">
        <v>9739</v>
      </c>
      <c r="AB197">
        <v>1425</v>
      </c>
      <c r="AC197">
        <v>134</v>
      </c>
      <c r="AD197">
        <v>4.31</v>
      </c>
      <c r="AE197">
        <v>4800</v>
      </c>
      <c r="AF197">
        <v>0.25</v>
      </c>
      <c r="AG197">
        <v>0.25</v>
      </c>
      <c r="AH197">
        <v>0.102</v>
      </c>
      <c r="AI197">
        <v>327.15</v>
      </c>
      <c r="AJ197">
        <v>27.27</v>
      </c>
      <c r="AK197">
        <v>39430</v>
      </c>
      <c r="AL197">
        <v>3117</v>
      </c>
      <c r="AM197">
        <v>813</v>
      </c>
      <c r="AN197">
        <v>0</v>
      </c>
      <c r="AO197">
        <v>0</v>
      </c>
      <c r="AP197">
        <v>0.844</v>
      </c>
      <c r="AQ197">
        <v>0.089</v>
      </c>
      <c r="AR197">
        <v>0.094</v>
      </c>
      <c r="AS197" s="3">
        <v>46107.76736111111</v>
      </c>
    </row>
    <row r="198" ht="25.5" customHeight="1">
      <c r="A198" t="inlineStr">
        <is>
          <t>6382df58000000001f01a8c3</t>
        </is>
      </c>
      <c r="B198" s="2" t="str">
        <f>=HYPERLINK("https://www.xiaohongshu.com/user/profile/6382df58000000001f01a8c3", "https://www.xiaohongshu.com/user/profile/6382df58000000001f01a8c3")</f>
        <v>https://www.xiaohongshu.com/user/profile/6382df58000000001f01a8c3</v>
      </c>
      <c r="C198" s="2" t="str">
        <f>=HYPERLINK("https://pgy.xiaohongshu.com/solar/pre-trade/blogger-detail/6382df58000000001f01a8c3", "https://pgy.xiaohongshu.com/solar/pre-trade/blogger-detail/6382df58000000001f01a8c3")</f>
        <v>https://pgy.xiaohongshu.com/solar/pre-trade/blogger-detail/6382df58000000001f01a8c3</v>
      </c>
      <c r="D198" t="inlineStr">
        <is>
          <t>女</t>
        </is>
      </c>
      <c r="E198" t="inlineStr">
        <is>
          <t>3880896518</t>
        </is>
      </c>
      <c r="F198" t="inlineStr">
        <is>
          <t>兮洛克</t>
        </is>
      </c>
      <c r="G198" t="inlineStr">
        <is>
          <t>北京</t>
        </is>
      </c>
      <c r="H198" t="inlineStr">
        <is>
          <t>考研过来人, 学生</t>
        </is>
      </c>
      <c r="I198" t="inlineStr">
        <is>
          <t>教育</t>
        </is>
      </c>
      <c r="J198">
        <v>11626</v>
      </c>
      <c r="K198" t="inlineStr">
        <is>
          <t>1.2</t>
        </is>
      </c>
      <c r="L198">
        <v>35254</v>
      </c>
      <c r="M198">
        <v>4035</v>
      </c>
      <c r="N198">
        <v>140</v>
      </c>
      <c r="O198">
        <v>1500</v>
      </c>
      <c r="P198">
        <v>0</v>
      </c>
      <c r="Q198">
        <v>0.5</v>
      </c>
      <c r="R198">
        <v>2258</v>
      </c>
      <c r="S198">
        <v>371</v>
      </c>
      <c r="T198">
        <v>18</v>
      </c>
      <c r="U198">
        <v>0.67</v>
      </c>
      <c r="V198">
        <v>1500</v>
      </c>
      <c r="W198">
        <v>0</v>
      </c>
      <c r="X198">
        <v>0</v>
      </c>
      <c r="Y198">
        <v>508.22</v>
      </c>
      <c r="Z198">
        <v>81.08</v>
      </c>
      <c r="AA198">
        <v>68250</v>
      </c>
      <c r="AB198">
        <v>7699</v>
      </c>
      <c r="AC198">
        <v>190</v>
      </c>
      <c r="AD198">
        <v>1.91</v>
      </c>
      <c r="AE198">
        <v>2300</v>
      </c>
      <c r="AF198">
        <v>1</v>
      </c>
      <c r="AG198">
        <v>0</v>
      </c>
      <c r="AH198">
        <v>0.095</v>
      </c>
      <c r="AI198">
        <v>44.12</v>
      </c>
      <c r="AJ198">
        <v>7.72</v>
      </c>
      <c r="AK198">
        <v>50096</v>
      </c>
      <c r="AL198">
        <v>5620</v>
      </c>
      <c r="AM198">
        <v>136</v>
      </c>
      <c r="AN198">
        <v>0</v>
      </c>
      <c r="AO198">
        <v>0</v>
      </c>
      <c r="AP198">
        <v>0.894</v>
      </c>
      <c r="AQ198">
        <v>0.026</v>
      </c>
      <c r="AR198">
        <v>0.032</v>
      </c>
      <c r="AS198" s="3">
        <v>46107.76736111111</v>
      </c>
    </row>
    <row r="199" ht="25.5" customHeight="1">
      <c r="A199" t="inlineStr">
        <is>
          <t>5a9517da11be10435a18b222</t>
        </is>
      </c>
      <c r="B199" s="2" t="str">
        <f>=HYPERLINK("https://www.xiaohongshu.com/user/profile/5a9517da11be10435a18b222", "https://www.xiaohongshu.com/user/profile/5a9517da11be10435a18b222")</f>
        <v>https://www.xiaohongshu.com/user/profile/5a9517da11be10435a18b222</v>
      </c>
      <c r="C199" s="2" t="str">
        <f>=HYPERLINK("https://pgy.xiaohongshu.com/solar/pre-trade/blogger-detail/5a9517da11be10435a18b222", "https://pgy.xiaohongshu.com/solar/pre-trade/blogger-detail/5a9517da11be10435a18b222")</f>
        <v>https://pgy.xiaohongshu.com/solar/pre-trade/blogger-detail/5a9517da11be10435a18b222</v>
      </c>
      <c r="D199" t="inlineStr">
        <is>
          <t>女</t>
        </is>
      </c>
      <c r="E199" t="inlineStr">
        <is>
          <t>Chenmeiyi0707</t>
        </is>
      </c>
      <c r="F199" t="inlineStr">
        <is>
          <t>饼冰冰的姐姐</t>
        </is>
      </c>
      <c r="G199" t="inlineStr">
        <is>
          <t>广东 河源 源城区</t>
        </is>
      </c>
      <c r="H199" t="inlineStr">
        <is>
          <t>考研过来人, 学生</t>
        </is>
      </c>
      <c r="I199" t="inlineStr">
        <is>
          <t>教育</t>
        </is>
      </c>
      <c r="J199">
        <v>82813</v>
      </c>
      <c r="K199" t="inlineStr">
        <is>
          <t>8.3</t>
        </is>
      </c>
      <c r="L199">
        <v>14933</v>
      </c>
      <c r="M199">
        <v>3115</v>
      </c>
      <c r="N199">
        <v>426</v>
      </c>
      <c r="O199">
        <v>7000</v>
      </c>
      <c r="P199">
        <v>0</v>
      </c>
      <c r="Q199">
        <v>0.75</v>
      </c>
      <c r="R199">
        <v>0</v>
      </c>
      <c r="S199">
        <v>0</v>
      </c>
      <c r="T199">
        <v>0</v>
      </c>
      <c r="U199">
        <v>0</v>
      </c>
      <c r="V199">
        <v>7000</v>
      </c>
      <c r="W199">
        <v>0</v>
      </c>
      <c r="X199">
        <v>0</v>
      </c>
      <c r="Y199">
        <v>0</v>
      </c>
      <c r="Z199">
        <v>0</v>
      </c>
      <c r="AA199">
        <v>14933</v>
      </c>
      <c r="AB199">
        <v>3115</v>
      </c>
      <c r="AC199">
        <v>385</v>
      </c>
      <c r="AD199">
        <v>2.63</v>
      </c>
      <c r="AE199">
        <v>8500</v>
      </c>
      <c r="AF199">
        <v>0.75</v>
      </c>
      <c r="AG199">
        <v>0</v>
      </c>
      <c r="AH199">
        <v>0.048</v>
      </c>
      <c r="AI199">
        <v>566.86</v>
      </c>
      <c r="AJ199">
        <v>18.4</v>
      </c>
      <c r="AK199">
        <v>25929</v>
      </c>
      <c r="AL199">
        <v>8257</v>
      </c>
      <c r="AM199">
        <v>723</v>
      </c>
      <c r="AN199">
        <v>0</v>
      </c>
      <c r="AO199">
        <v>171.37</v>
      </c>
      <c r="AP199">
        <v>0.625</v>
      </c>
      <c r="AQ199">
        <v>0.021</v>
      </c>
      <c r="AR199">
        <v>0.02</v>
      </c>
      <c r="AS199" s="3">
        <v>46107.76736111111</v>
      </c>
    </row>
    <row r="200" ht="25.5" customHeight="1">
      <c r="A200" t="inlineStr">
        <is>
          <t>5b7d16466855df000167f93d</t>
        </is>
      </c>
      <c r="B200" s="2" t="str">
        <f>=HYPERLINK("https://www.xiaohongshu.com/user/profile/5b7d16466855df000167f93d", "https://www.xiaohongshu.com/user/profile/5b7d16466855df000167f93d")</f>
        <v>https://www.xiaohongshu.com/user/profile/5b7d16466855df000167f93d</v>
      </c>
      <c r="C200" s="2" t="str">
        <f>=HYPERLINK("https://pgy.xiaohongshu.com/solar/pre-trade/blogger-detail/5b7d16466855df000167f93d", "https://pgy.xiaohongshu.com/solar/pre-trade/blogger-detail/5b7d16466855df000167f93d")</f>
        <v>https://pgy.xiaohongshu.com/solar/pre-trade/blogger-detail/5b7d16466855df000167f93d</v>
      </c>
      <c r="D200" t="inlineStr">
        <is>
          <t>女</t>
        </is>
      </c>
      <c r="E200" t="inlineStr">
        <is>
          <t>603907772</t>
        </is>
      </c>
      <c r="F200" t="inlineStr">
        <is>
          <t>阿萌今不是我</t>
        </is>
      </c>
      <c r="G200" t="inlineStr">
        <is>
          <t>北京</t>
        </is>
      </c>
      <c r="H200" t="inlineStr">
        <is>
          <t>学生</t>
        </is>
      </c>
      <c r="I200" t="inlineStr">
        <is>
          <t>生活记录</t>
        </is>
      </c>
      <c r="J200">
        <v>15946</v>
      </c>
      <c r="K200" t="inlineStr">
        <is>
          <t>1.6</t>
        </is>
      </c>
      <c r="L200">
        <v>17291</v>
      </c>
      <c r="M200">
        <v>2864</v>
      </c>
      <c r="N200">
        <v>178</v>
      </c>
      <c r="O200">
        <v>3000</v>
      </c>
      <c r="P200">
        <v>0</v>
      </c>
      <c r="Q200">
        <v>0.875</v>
      </c>
      <c r="R200">
        <v>43708</v>
      </c>
      <c r="S200">
        <v>9152</v>
      </c>
      <c r="T200">
        <v>381</v>
      </c>
      <c r="U200">
        <v>0.63</v>
      </c>
      <c r="V200">
        <v>3000</v>
      </c>
      <c r="W200">
        <v>0.5</v>
      </c>
      <c r="X200">
        <v>0</v>
      </c>
      <c r="Y200">
        <v>68.64</v>
      </c>
      <c r="Z200">
        <v>5.48</v>
      </c>
      <c r="AA200">
        <v>17291</v>
      </c>
      <c r="AB200">
        <v>2864</v>
      </c>
      <c r="AC200">
        <v>162</v>
      </c>
      <c r="AD200">
        <v>2.5</v>
      </c>
      <c r="AE200">
        <v>3800</v>
      </c>
      <c r="AF200">
        <v>1</v>
      </c>
      <c r="AG200">
        <v>0</v>
      </c>
      <c r="AH200">
        <v>0.143</v>
      </c>
      <c r="AI200">
        <v>190.24</v>
      </c>
      <c r="AJ200">
        <v>20.43</v>
      </c>
      <c r="AK200">
        <v>43426</v>
      </c>
      <c r="AL200">
        <v>19398</v>
      </c>
      <c r="AM200">
        <v>1722</v>
      </c>
      <c r="AN200">
        <v>58</v>
      </c>
      <c r="AO200">
        <v>218.12</v>
      </c>
      <c r="AP200">
        <v>0.858</v>
      </c>
      <c r="AQ200">
        <v>0.054</v>
      </c>
      <c r="AR200">
        <v>0.054</v>
      </c>
      <c r="AS200" s="3">
        <v>46107.76736111111</v>
      </c>
    </row>
    <row r="201" ht="25.5" customHeight="1">
      <c r="A201" t="inlineStr">
        <is>
          <t>5f5211bf00000000010047ff</t>
        </is>
      </c>
      <c r="B201" s="2" t="str">
        <f>=HYPERLINK("https://www.xiaohongshu.com/user/profile/5f5211bf00000000010047ff", "https://www.xiaohongshu.com/user/profile/5f5211bf00000000010047ff")</f>
        <v>https://www.xiaohongshu.com/user/profile/5f5211bf00000000010047ff</v>
      </c>
      <c r="C201" s="2" t="str">
        <f>=HYPERLINK("https://pgy.xiaohongshu.com/solar/pre-trade/blogger-detail/5f5211bf00000000010047ff", "https://pgy.xiaohongshu.com/solar/pre-trade/blogger-detail/5f5211bf00000000010047ff")</f>
        <v>https://pgy.xiaohongshu.com/solar/pre-trade/blogger-detail/5f5211bf00000000010047ff</v>
      </c>
      <c r="D201" t="inlineStr">
        <is>
          <t>女</t>
        </is>
      </c>
      <c r="E201" t="inlineStr">
        <is>
          <t>392020585</t>
        </is>
      </c>
      <c r="F201" t="inlineStr">
        <is>
          <t>萝绿</t>
        </is>
      </c>
      <c r="G201" t="inlineStr">
        <is>
          <t>甘肃 兰州 安宁区</t>
        </is>
      </c>
      <c r="H201"/>
      <c r="I201" t="inlineStr">
        <is>
          <t>教育</t>
        </is>
      </c>
      <c r="J201">
        <v>2983</v>
      </c>
      <c r="K201" t="inlineStr">
        <is>
          <t>0.3</t>
        </is>
      </c>
      <c r="L201">
        <v>5419</v>
      </c>
      <c r="M201">
        <v>1289</v>
      </c>
      <c r="N201">
        <v>192</v>
      </c>
      <c r="O201">
        <v>160</v>
      </c>
      <c r="P201">
        <v>0.2</v>
      </c>
      <c r="Q201">
        <v>0.532999999999999</v>
      </c>
      <c r="R201">
        <v>20481</v>
      </c>
      <c r="S201">
        <v>2814</v>
      </c>
      <c r="T201">
        <v>241</v>
      </c>
      <c r="U201">
        <v>0.36</v>
      </c>
      <c r="V201">
        <v>160</v>
      </c>
      <c r="W201">
        <v>0.5</v>
      </c>
      <c r="X201">
        <v>0</v>
      </c>
      <c r="Y201">
        <v>7.81</v>
      </c>
      <c r="Z201">
        <v>0.47</v>
      </c>
      <c r="AA201">
        <v>3220</v>
      </c>
      <c r="AB201">
        <v>1289</v>
      </c>
      <c r="AC201">
        <v>189</v>
      </c>
      <c r="AD201">
        <v>1.69</v>
      </c>
      <c r="AE201">
        <v>350</v>
      </c>
      <c r="AF201">
        <v>0.537999999999999</v>
      </c>
      <c r="AG201">
        <v>0.231</v>
      </c>
      <c r="AH201">
        <v>0.019</v>
      </c>
      <c r="AI201">
        <v>81.03</v>
      </c>
      <c r="AJ201">
        <v>1.49</v>
      </c>
      <c r="AK201">
        <v>113373</v>
      </c>
      <c r="AL201">
        <v>12473</v>
      </c>
      <c r="AM201">
        <v>2570</v>
      </c>
      <c r="AN201">
        <v>0</v>
      </c>
      <c r="AO201">
        <v>0</v>
      </c>
      <c r="AP201">
        <v>0.971</v>
      </c>
      <c r="AQ201">
        <v>0.345</v>
      </c>
      <c r="AR201">
        <v>0.725</v>
      </c>
      <c r="AS201" s="3">
        <v>46107.76736111111</v>
      </c>
    </row>
    <row r="202" ht="25.5" customHeight="1">
      <c r="A202" t="inlineStr">
        <is>
          <t>5d3694bd0000000011026ae2</t>
        </is>
      </c>
      <c r="B202" s="2" t="str">
        <f>=HYPERLINK("https://www.xiaohongshu.com/user/profile/5d3694bd0000000011026ae2", "https://www.xiaohongshu.com/user/profile/5d3694bd0000000011026ae2")</f>
        <v>https://www.xiaohongshu.com/user/profile/5d3694bd0000000011026ae2</v>
      </c>
      <c r="C202" s="2" t="str">
        <f>=HYPERLINK("https://pgy.xiaohongshu.com/solar/pre-trade/blogger-detail/5d3694bd0000000011026ae2", "https://pgy.xiaohongshu.com/solar/pre-trade/blogger-detail/5d3694bd0000000011026ae2")</f>
        <v>https://pgy.xiaohongshu.com/solar/pre-trade/blogger-detail/5d3694bd0000000011026ae2</v>
      </c>
      <c r="D202" t="inlineStr">
        <is>
          <t>女</t>
        </is>
      </c>
      <c r="E202" t="inlineStr">
        <is>
          <t>369324618</t>
        </is>
      </c>
      <c r="F202" t="inlineStr">
        <is>
          <t>飞天大开心</t>
        </is>
      </c>
      <c r="G202" t="inlineStr">
        <is>
          <t>美国</t>
        </is>
      </c>
      <c r="H202" t="inlineStr">
        <is>
          <t>海外华人, 留学背景, 学生, 情侣</t>
        </is>
      </c>
      <c r="I202" t="inlineStr">
        <is>
          <t>生活记录</t>
        </is>
      </c>
      <c r="J202">
        <v>140660</v>
      </c>
      <c r="K202" t="inlineStr">
        <is>
          <t>14.1</t>
        </is>
      </c>
      <c r="L202">
        <v>143685</v>
      </c>
      <c r="M202">
        <v>66243</v>
      </c>
      <c r="N202">
        <v>4538</v>
      </c>
      <c r="O202">
        <v>10000</v>
      </c>
      <c r="P202">
        <v>0.7</v>
      </c>
      <c r="Q202">
        <v>1</v>
      </c>
      <c r="R202">
        <v>0</v>
      </c>
      <c r="S202">
        <v>0</v>
      </c>
      <c r="T202">
        <v>0</v>
      </c>
      <c r="U202">
        <v>0</v>
      </c>
      <c r="V202">
        <v>10000</v>
      </c>
      <c r="W202">
        <v>0</v>
      </c>
      <c r="X202">
        <v>0</v>
      </c>
      <c r="Y202">
        <v>0</v>
      </c>
      <c r="Z202">
        <v>0</v>
      </c>
      <c r="AA202">
        <v>143685</v>
      </c>
      <c r="AB202">
        <v>66243</v>
      </c>
      <c r="AC202">
        <v>3869</v>
      </c>
      <c r="AD202">
        <v>2.16</v>
      </c>
      <c r="AE202">
        <v>19159</v>
      </c>
      <c r="AF202">
        <v>1</v>
      </c>
      <c r="AG202">
        <v>0.7</v>
      </c>
      <c r="AH202">
        <v>0.401</v>
      </c>
      <c r="AI202">
        <v>203.97</v>
      </c>
      <c r="AJ202">
        <v>8.59</v>
      </c>
      <c r="AK202">
        <v>30296</v>
      </c>
      <c r="AL202">
        <v>6211</v>
      </c>
      <c r="AM202">
        <v>348</v>
      </c>
      <c r="AN202">
        <v>0</v>
      </c>
      <c r="AO202">
        <v>0</v>
      </c>
      <c r="AP202">
        <v>0.735</v>
      </c>
      <c r="AQ202">
        <v>0.063</v>
      </c>
      <c r="AR202">
        <v>0.013</v>
      </c>
      <c r="AS202" s="3">
        <v>46107.767546296294</v>
      </c>
    </row>
    <row r="203" ht="25.5" customHeight="1">
      <c r="A203" t="inlineStr">
        <is>
          <t>5fdb138c000000000101d9d3</t>
        </is>
      </c>
      <c r="B203" s="2" t="str">
        <f>=HYPERLINK("https://www.xiaohongshu.com/user/profile/5fdb138c000000000101d9d3", "https://www.xiaohongshu.com/user/profile/5fdb138c000000000101d9d3")</f>
        <v>https://www.xiaohongshu.com/user/profile/5fdb138c000000000101d9d3</v>
      </c>
      <c r="C203" s="2" t="str">
        <f>=HYPERLINK("https://pgy.xiaohongshu.com/solar/pre-trade/blogger-detail/5fdb138c000000000101d9d3", "https://pgy.xiaohongshu.com/solar/pre-trade/blogger-detail/5fdb138c000000000101d9d3")</f>
        <v>https://pgy.xiaohongshu.com/solar/pre-trade/blogger-detail/5fdb138c000000000101d9d3</v>
      </c>
      <c r="D203" t="inlineStr">
        <is>
          <t>男</t>
        </is>
      </c>
      <c r="E203" t="inlineStr">
        <is>
          <t>1078229607</t>
        </is>
      </c>
      <c r="F203" t="inlineStr">
        <is>
          <t>哥式礼舒</t>
        </is>
      </c>
      <c r="G203" t="inlineStr">
        <is>
          <t>广东 广州 番禺区</t>
        </is>
      </c>
      <c r="H203"/>
      <c r="I203" t="inlineStr">
        <is>
          <t>教育</t>
        </is>
      </c>
      <c r="J203">
        <v>28327</v>
      </c>
      <c r="K203" t="inlineStr">
        <is>
          <t>2.8</t>
        </is>
      </c>
      <c r="L203">
        <v>153397</v>
      </c>
      <c r="M203">
        <v>43784</v>
      </c>
      <c r="N203">
        <v>1619</v>
      </c>
      <c r="O203">
        <v>1200</v>
      </c>
      <c r="P203">
        <v>0.25</v>
      </c>
      <c r="Q203">
        <v>1</v>
      </c>
      <c r="R203">
        <v>153397</v>
      </c>
      <c r="S203">
        <v>43784</v>
      </c>
      <c r="T203">
        <v>1530</v>
      </c>
      <c r="U203">
        <v>0.34</v>
      </c>
      <c r="V203">
        <v>1200</v>
      </c>
      <c r="W203">
        <v>1</v>
      </c>
      <c r="X203">
        <v>0.25</v>
      </c>
      <c r="Y203">
        <v>10.89</v>
      </c>
      <c r="Z203">
        <v>0.74</v>
      </c>
      <c r="AA203">
        <v>0</v>
      </c>
      <c r="AB203">
        <v>0</v>
      </c>
      <c r="AC203">
        <v>0</v>
      </c>
      <c r="AD203">
        <v>0</v>
      </c>
      <c r="AE203">
        <v>2500</v>
      </c>
      <c r="AF203">
        <v>0</v>
      </c>
      <c r="AG203">
        <v>0</v>
      </c>
      <c r="AH203">
        <v>0</v>
      </c>
      <c r="AI203">
        <v>0</v>
      </c>
      <c r="AJ203">
        <v>0</v>
      </c>
      <c r="AK203">
        <v>68513</v>
      </c>
      <c r="AL203">
        <v>10737</v>
      </c>
      <c r="AM203">
        <v>2197</v>
      </c>
      <c r="AN203">
        <v>0</v>
      </c>
      <c r="AO203">
        <v>0</v>
      </c>
      <c r="AP203">
        <v>0.9</v>
      </c>
      <c r="AQ203">
        <v>0.046</v>
      </c>
      <c r="AR203">
        <v>0.023</v>
      </c>
      <c r="AS203" s="3">
        <v>46107.767546296294</v>
      </c>
    </row>
    <row r="204" ht="25.5" customHeight="1">
      <c r="A204" t="inlineStr">
        <is>
          <t>5a86cecb11be1057fb42df81</t>
        </is>
      </c>
      <c r="B204" s="2" t="str">
        <f>=HYPERLINK("https://www.xiaohongshu.com/user/profile/5a86cecb11be1057fb42df81", "https://www.xiaohongshu.com/user/profile/5a86cecb11be1057fb42df81")</f>
        <v>https://www.xiaohongshu.com/user/profile/5a86cecb11be1057fb42df81</v>
      </c>
      <c r="C204" s="2" t="str">
        <f>=HYPERLINK("https://pgy.xiaohongshu.com/solar/pre-trade/blogger-detail/5a86cecb11be1057fb42df81", "https://pgy.xiaohongshu.com/solar/pre-trade/blogger-detail/5a86cecb11be1057fb42df81")</f>
        <v>https://pgy.xiaohongshu.com/solar/pre-trade/blogger-detail/5a86cecb11be1057fb42df81</v>
      </c>
      <c r="D204" t="inlineStr">
        <is>
          <t>男</t>
        </is>
      </c>
      <c r="E204" t="inlineStr">
        <is>
          <t>264487433</t>
        </is>
      </c>
      <c r="F204" t="inlineStr">
        <is>
          <t>JustinLucas</t>
        </is>
      </c>
      <c r="G204" t="inlineStr">
        <is>
          <t>安徽 合肥 蜀山区</t>
        </is>
      </c>
      <c r="H204" t="inlineStr">
        <is>
          <t>留学背景</t>
        </is>
      </c>
      <c r="I204" t="inlineStr">
        <is>
          <t>教育</t>
        </is>
      </c>
      <c r="J204">
        <v>10108</v>
      </c>
      <c r="K204" t="inlineStr">
        <is>
          <t>1.0</t>
        </is>
      </c>
      <c r="L204">
        <v>38405</v>
      </c>
      <c r="M204">
        <v>10347</v>
      </c>
      <c r="N204">
        <v>460</v>
      </c>
      <c r="O204">
        <v>980</v>
      </c>
      <c r="P204">
        <v>0.091</v>
      </c>
      <c r="Q204">
        <v>0.818</v>
      </c>
      <c r="R204">
        <v>16297</v>
      </c>
      <c r="S204">
        <v>3038</v>
      </c>
      <c r="T204">
        <v>70</v>
      </c>
      <c r="U204">
        <v>0.62</v>
      </c>
      <c r="V204">
        <v>980</v>
      </c>
      <c r="W204">
        <v>0</v>
      </c>
      <c r="X204">
        <v>0</v>
      </c>
      <c r="Y204">
        <v>60.13</v>
      </c>
      <c r="Z204">
        <v>12.56</v>
      </c>
      <c r="AA204">
        <v>38680</v>
      </c>
      <c r="AB204">
        <v>12721</v>
      </c>
      <c r="AC204">
        <v>305</v>
      </c>
      <c r="AD204">
        <v>1.62</v>
      </c>
      <c r="AE204">
        <v>1380</v>
      </c>
      <c r="AF204">
        <v>1</v>
      </c>
      <c r="AG204">
        <v>0.111</v>
      </c>
      <c r="AH204">
        <v>0.071</v>
      </c>
      <c r="AI204">
        <v>35.31</v>
      </c>
      <c r="AJ204">
        <v>3</v>
      </c>
      <c r="AK204">
        <v>40568</v>
      </c>
      <c r="AL204">
        <v>8046</v>
      </c>
      <c r="AM204">
        <v>186</v>
      </c>
      <c r="AN204">
        <v>0</v>
      </c>
      <c r="AO204">
        <v>0</v>
      </c>
      <c r="AP204">
        <v>0.898</v>
      </c>
      <c r="AQ204">
        <v>0.087</v>
      </c>
      <c r="AR204">
        <v>0.051</v>
      </c>
      <c r="AS204" s="3">
        <v>46107.767546296294</v>
      </c>
    </row>
    <row r="205" ht="25.5" customHeight="1">
      <c r="A205" t="inlineStr">
        <is>
          <t>5c427f2a000000000702cb44</t>
        </is>
      </c>
      <c r="B205" s="2" t="str">
        <f>=HYPERLINK("https://www.xiaohongshu.com/user/profile/5c427f2a000000000702cb44", "https://www.xiaohongshu.com/user/profile/5c427f2a000000000702cb44")</f>
        <v>https://www.xiaohongshu.com/user/profile/5c427f2a000000000702cb44</v>
      </c>
      <c r="C205" s="2" t="str">
        <f>=HYPERLINK("https://pgy.xiaohongshu.com/solar/pre-trade/blogger-detail/5c427f2a000000000702cb44", "https://pgy.xiaohongshu.com/solar/pre-trade/blogger-detail/5c427f2a000000000702cb44")</f>
        <v>https://pgy.xiaohongshu.com/solar/pre-trade/blogger-detail/5c427f2a000000000702cb44</v>
      </c>
      <c r="D205" t="inlineStr">
        <is>
          <t>女</t>
        </is>
      </c>
      <c r="E205" t="inlineStr">
        <is>
          <t>504062443</t>
        </is>
      </c>
      <c r="F205" t="inlineStr">
        <is>
          <t>Bonnieee</t>
        </is>
      </c>
      <c r="G205" t="inlineStr">
        <is>
          <t>日本</t>
        </is>
      </c>
      <c r="H205" t="inlineStr">
        <is>
          <t>留学背景, 学生</t>
        </is>
      </c>
      <c r="I205" t="inlineStr">
        <is>
          <t>教育</t>
        </is>
      </c>
      <c r="J205">
        <v>34214</v>
      </c>
      <c r="K205" t="inlineStr">
        <is>
          <t>3.4</t>
        </is>
      </c>
      <c r="L205">
        <v>32972</v>
      </c>
      <c r="M205">
        <v>6785</v>
      </c>
      <c r="N205">
        <v>886</v>
      </c>
      <c r="O205">
        <v>3000</v>
      </c>
      <c r="P205">
        <v>0</v>
      </c>
      <c r="Q205">
        <v>1</v>
      </c>
      <c r="R205">
        <v>0</v>
      </c>
      <c r="S205">
        <v>0</v>
      </c>
      <c r="T205">
        <v>0</v>
      </c>
      <c r="U205">
        <v>0</v>
      </c>
      <c r="V205">
        <v>3000</v>
      </c>
      <c r="W205">
        <v>0</v>
      </c>
      <c r="X205">
        <v>0</v>
      </c>
      <c r="Y205">
        <v>0</v>
      </c>
      <c r="Z205">
        <v>0</v>
      </c>
      <c r="AA205">
        <v>32972</v>
      </c>
      <c r="AB205">
        <v>6785</v>
      </c>
      <c r="AC205">
        <v>774</v>
      </c>
      <c r="AD205">
        <v>2.8</v>
      </c>
      <c r="AE205">
        <v>8800</v>
      </c>
      <c r="AF205">
        <v>1</v>
      </c>
      <c r="AG205">
        <v>0</v>
      </c>
      <c r="AH205">
        <v>0.145</v>
      </c>
      <c r="AI205">
        <v>266.89</v>
      </c>
      <c r="AJ205">
        <v>9.93</v>
      </c>
      <c r="AK205">
        <v>0</v>
      </c>
      <c r="AL205">
        <v>0</v>
      </c>
      <c r="AM205">
        <v>0</v>
      </c>
      <c r="AN205">
        <v>0</v>
      </c>
      <c r="AO205">
        <v>0</v>
      </c>
      <c r="AP205">
        <v>0.802999999999999</v>
      </c>
      <c r="AQ205">
        <v>0.044</v>
      </c>
      <c r="AR205">
        <v>-0.001</v>
      </c>
      <c r="AS205" s="3">
        <v>46107.767546296294</v>
      </c>
    </row>
    <row r="206" ht="25.5" customHeight="1">
      <c r="A206" t="inlineStr">
        <is>
          <t>5db2905e000000000100006a</t>
        </is>
      </c>
      <c r="B206" s="2" t="str">
        <f>=HYPERLINK("https://www.xiaohongshu.com/user/profile/5db2905e000000000100006a", "https://www.xiaohongshu.com/user/profile/5db2905e000000000100006a")</f>
        <v>https://www.xiaohongshu.com/user/profile/5db2905e000000000100006a</v>
      </c>
      <c r="C206" s="2" t="str">
        <f>=HYPERLINK("https://pgy.xiaohongshu.com/solar/pre-trade/blogger-detail/5db2905e000000000100006a", "https://pgy.xiaohongshu.com/solar/pre-trade/blogger-detail/5db2905e000000000100006a")</f>
        <v>https://pgy.xiaohongshu.com/solar/pre-trade/blogger-detail/5db2905e000000000100006a</v>
      </c>
      <c r="D206" t="inlineStr">
        <is>
          <t>女</t>
        </is>
      </c>
      <c r="E206" t="inlineStr">
        <is>
          <t>Cmssx_1313</t>
        </is>
      </c>
      <c r="F206" t="inlineStr">
        <is>
          <t>草莓十三香_</t>
        </is>
      </c>
      <c r="G206" t="inlineStr">
        <is>
          <t>浙江 绍兴 上虞区</t>
        </is>
      </c>
      <c r="H206" t="inlineStr">
        <is>
          <t>学生</t>
        </is>
      </c>
      <c r="I206" t="inlineStr">
        <is>
          <t>教育</t>
        </is>
      </c>
      <c r="J206">
        <v>18339</v>
      </c>
      <c r="K206" t="inlineStr">
        <is>
          <t>1.8</t>
        </is>
      </c>
      <c r="L206">
        <v>41579</v>
      </c>
      <c r="M206">
        <v>7309</v>
      </c>
      <c r="N206">
        <v>520</v>
      </c>
      <c r="O206">
        <v>2700</v>
      </c>
      <c r="P206">
        <v>0</v>
      </c>
      <c r="Q206">
        <v>1</v>
      </c>
      <c r="R206">
        <v>0</v>
      </c>
      <c r="S206">
        <v>0</v>
      </c>
      <c r="T206">
        <v>0</v>
      </c>
      <c r="U206">
        <v>0</v>
      </c>
      <c r="V206">
        <v>1600</v>
      </c>
      <c r="W206">
        <v>0</v>
      </c>
      <c r="X206">
        <v>0</v>
      </c>
      <c r="Y206">
        <v>0</v>
      </c>
      <c r="Z206">
        <v>0</v>
      </c>
      <c r="AA206">
        <v>41579</v>
      </c>
      <c r="AB206">
        <v>7309</v>
      </c>
      <c r="AC206">
        <v>507</v>
      </c>
      <c r="AD206">
        <v>1.86</v>
      </c>
      <c r="AE206">
        <v>2700</v>
      </c>
      <c r="AF206">
        <v>1</v>
      </c>
      <c r="AG206">
        <v>0</v>
      </c>
      <c r="AH206">
        <v>0.081</v>
      </c>
      <c r="AI206">
        <v>59.58</v>
      </c>
      <c r="AJ206">
        <v>5.93</v>
      </c>
      <c r="AK206">
        <v>49286</v>
      </c>
      <c r="AL206">
        <v>8809</v>
      </c>
      <c r="AM206">
        <v>286</v>
      </c>
      <c r="AN206">
        <v>0</v>
      </c>
      <c r="AO206">
        <v>0</v>
      </c>
      <c r="AP206">
        <v>0.861</v>
      </c>
      <c r="AQ206">
        <v>0.085</v>
      </c>
      <c r="AR206">
        <v>0.006</v>
      </c>
      <c r="AS206" s="3">
        <v>46107.767546296294</v>
      </c>
    </row>
    <row r="207" ht="25.5" customHeight="1">
      <c r="A207" t="inlineStr">
        <is>
          <t>61e28eeb000000001000a5c5</t>
        </is>
      </c>
      <c r="B207" s="2" t="str">
        <f>=HYPERLINK("https://www.xiaohongshu.com/user/profile/61e28eeb000000001000a5c5", "https://www.xiaohongshu.com/user/profile/61e28eeb000000001000a5c5")</f>
        <v>https://www.xiaohongshu.com/user/profile/61e28eeb000000001000a5c5</v>
      </c>
      <c r="C207" s="2" t="str">
        <f>=HYPERLINK("https://pgy.xiaohongshu.com/solar/pre-trade/blogger-detail/61e28eeb000000001000a5c5", "https://pgy.xiaohongshu.com/solar/pre-trade/blogger-detail/61e28eeb000000001000a5c5")</f>
        <v>https://pgy.xiaohongshu.com/solar/pre-trade/blogger-detail/61e28eeb000000001000a5c5</v>
      </c>
      <c r="D207" t="inlineStr">
        <is>
          <t>男</t>
        </is>
      </c>
      <c r="E207" t="inlineStr">
        <is>
          <t>JM1546180135</t>
        </is>
      </c>
      <c r="F207" t="inlineStr">
        <is>
          <t>我就是个想好好学习的</t>
        </is>
      </c>
      <c r="G207" t="inlineStr">
        <is>
          <t>江苏 南京 鼓楼区</t>
        </is>
      </c>
      <c r="H207" t="inlineStr">
        <is>
          <t>考研过来人, 学生</t>
        </is>
      </c>
      <c r="I207" t="inlineStr">
        <is>
          <t>职场</t>
        </is>
      </c>
      <c r="J207">
        <v>11283</v>
      </c>
      <c r="K207" t="inlineStr">
        <is>
          <t>1.1</t>
        </is>
      </c>
      <c r="L207">
        <v>9484</v>
      </c>
      <c r="M207">
        <v>1576</v>
      </c>
      <c r="N207">
        <v>136</v>
      </c>
      <c r="O207">
        <v>600</v>
      </c>
      <c r="P207">
        <v>0</v>
      </c>
      <c r="Q207">
        <v>0.332999999999999</v>
      </c>
      <c r="R207">
        <v>9484</v>
      </c>
      <c r="S207">
        <v>1576</v>
      </c>
      <c r="T207">
        <v>115</v>
      </c>
      <c r="U207">
        <v>0.68</v>
      </c>
      <c r="V207">
        <v>600</v>
      </c>
      <c r="W207">
        <v>0.332999999999999</v>
      </c>
      <c r="X207">
        <v>0</v>
      </c>
      <c r="Y207">
        <v>63.26</v>
      </c>
      <c r="Z207">
        <v>4.4</v>
      </c>
      <c r="AA207">
        <v>0</v>
      </c>
      <c r="AB207">
        <v>0</v>
      </c>
      <c r="AC207">
        <v>0</v>
      </c>
      <c r="AD207">
        <v>0</v>
      </c>
      <c r="AE207">
        <v>1700</v>
      </c>
      <c r="AF207">
        <v>0</v>
      </c>
      <c r="AG207">
        <v>0</v>
      </c>
      <c r="AH207">
        <v>0</v>
      </c>
      <c r="AI207">
        <v>0</v>
      </c>
      <c r="AJ207">
        <v>0</v>
      </c>
      <c r="AK207">
        <v>0</v>
      </c>
      <c r="AL207">
        <v>0</v>
      </c>
      <c r="AM207">
        <v>0</v>
      </c>
      <c r="AN207">
        <v>0</v>
      </c>
      <c r="AO207">
        <v>0</v>
      </c>
      <c r="AP207">
        <v>0.895999999999999</v>
      </c>
      <c r="AQ207">
        <v>0.07</v>
      </c>
      <c r="AR207">
        <v>0.019</v>
      </c>
      <c r="AS207" s="3">
        <v>46107.767546296294</v>
      </c>
    </row>
    <row r="208" ht="25.5" customHeight="1">
      <c r="A208" t="inlineStr">
        <is>
          <t>5dcff221000000000100aa29</t>
        </is>
      </c>
      <c r="B208" s="2" t="str">
        <f>=HYPERLINK("https://www.xiaohongshu.com/user/profile/5dcff221000000000100aa29", "https://www.xiaohongshu.com/user/profile/5dcff221000000000100aa29")</f>
        <v>https://www.xiaohongshu.com/user/profile/5dcff221000000000100aa29</v>
      </c>
      <c r="C208" s="2" t="str">
        <f>=HYPERLINK("https://pgy.xiaohongshu.com/solar/pre-trade/blogger-detail/5dcff221000000000100aa29", "https://pgy.xiaohongshu.com/solar/pre-trade/blogger-detail/5dcff221000000000100aa29")</f>
        <v>https://pgy.xiaohongshu.com/solar/pre-trade/blogger-detail/5dcff221000000000100aa29</v>
      </c>
      <c r="D208" t="inlineStr">
        <is>
          <t>男</t>
        </is>
      </c>
      <c r="E208" t="inlineStr">
        <is>
          <t>704293691</t>
        </is>
      </c>
      <c r="F208" t="inlineStr">
        <is>
          <t>Spencer不卷英文</t>
        </is>
      </c>
      <c r="G208" t="inlineStr">
        <is>
          <t>广东 广州 番禺区</t>
        </is>
      </c>
      <c r="H208"/>
      <c r="I208" t="inlineStr">
        <is>
          <t>教育</t>
        </is>
      </c>
      <c r="J208">
        <v>20737</v>
      </c>
      <c r="K208" t="inlineStr">
        <is>
          <t>2.1</t>
        </is>
      </c>
      <c r="L208">
        <v>11286</v>
      </c>
      <c r="M208">
        <v>5613</v>
      </c>
      <c r="N208">
        <v>196</v>
      </c>
      <c r="O208">
        <v>2000</v>
      </c>
      <c r="P208">
        <v>0.088</v>
      </c>
      <c r="Q208">
        <v>0.618</v>
      </c>
      <c r="R208">
        <v>0</v>
      </c>
      <c r="S208">
        <v>0</v>
      </c>
      <c r="T208">
        <v>0</v>
      </c>
      <c r="U208">
        <v>0</v>
      </c>
      <c r="V208">
        <v>2000</v>
      </c>
      <c r="W208">
        <v>0</v>
      </c>
      <c r="X208">
        <v>0</v>
      </c>
      <c r="Y208">
        <v>0</v>
      </c>
      <c r="Z208">
        <v>0</v>
      </c>
      <c r="AA208">
        <v>11286</v>
      </c>
      <c r="AB208">
        <v>5613</v>
      </c>
      <c r="AC208">
        <v>172</v>
      </c>
      <c r="AD208">
        <v>1.86</v>
      </c>
      <c r="AE208">
        <v>2000</v>
      </c>
      <c r="AF208">
        <v>0.618</v>
      </c>
      <c r="AG208">
        <v>0.088</v>
      </c>
      <c r="AH208">
        <v>0.228999999999999</v>
      </c>
      <c r="AI208">
        <v>177.21</v>
      </c>
      <c r="AJ208">
        <v>10.18</v>
      </c>
      <c r="AK208">
        <v>0</v>
      </c>
      <c r="AL208">
        <v>0</v>
      </c>
      <c r="AM208">
        <v>0</v>
      </c>
      <c r="AN208">
        <v>0</v>
      </c>
      <c r="AO208">
        <v>0</v>
      </c>
      <c r="AP208">
        <v>0.996</v>
      </c>
      <c r="AQ208">
        <v>0.131</v>
      </c>
      <c r="AR208">
        <v>0</v>
      </c>
      <c r="AS208" s="3">
        <v>46107.767546296294</v>
      </c>
    </row>
    <row r="209" ht="25.5" customHeight="1">
      <c r="A209" t="inlineStr">
        <is>
          <t>65acf7b5000000000e00353d</t>
        </is>
      </c>
      <c r="B209" s="2" t="str">
        <f>=HYPERLINK("https://www.xiaohongshu.com/user/profile/65acf7b5000000000e00353d", "https://www.xiaohongshu.com/user/profile/65acf7b5000000000e00353d")</f>
        <v>https://www.xiaohongshu.com/user/profile/65acf7b5000000000e00353d</v>
      </c>
      <c r="C209" s="2" t="str">
        <f>=HYPERLINK("https://pgy.xiaohongshu.com/solar/pre-trade/blogger-detail/65acf7b5000000000e00353d", "https://pgy.xiaohongshu.com/solar/pre-trade/blogger-detail/65acf7b5000000000e00353d")</f>
        <v>https://pgy.xiaohongshu.com/solar/pre-trade/blogger-detail/65acf7b5000000000e00353d</v>
      </c>
      <c r="D209" t="inlineStr">
        <is>
          <t>女</t>
        </is>
      </c>
      <c r="E209" t="inlineStr">
        <is>
          <t>3431336448</t>
        </is>
      </c>
      <c r="F209" t="inlineStr">
        <is>
          <t>英练学姐苏苏</t>
        </is>
      </c>
      <c r="G209" t="inlineStr">
        <is>
          <t>广东 深圳 宝安区</t>
        </is>
      </c>
      <c r="H209"/>
      <c r="I209" t="inlineStr">
        <is>
          <t>教育</t>
        </is>
      </c>
      <c r="J209">
        <v>24542</v>
      </c>
      <c r="K209" t="inlineStr">
        <is>
          <t>2.5</t>
        </is>
      </c>
      <c r="L209">
        <v>16620</v>
      </c>
      <c r="M209">
        <v>2079</v>
      </c>
      <c r="N209">
        <v>272</v>
      </c>
      <c r="O209">
        <v>224</v>
      </c>
      <c r="P209">
        <v>0.063</v>
      </c>
      <c r="Q209">
        <v>0.5</v>
      </c>
      <c r="R209">
        <v>8074</v>
      </c>
      <c r="S209">
        <v>592</v>
      </c>
      <c r="T209">
        <v>93</v>
      </c>
      <c r="U209">
        <v>0.68</v>
      </c>
      <c r="V209">
        <v>224</v>
      </c>
      <c r="W209">
        <v>0</v>
      </c>
      <c r="X209">
        <v>0</v>
      </c>
      <c r="Y209">
        <v>27.74</v>
      </c>
      <c r="Z209">
        <v>2.26</v>
      </c>
      <c r="AA209">
        <v>17238</v>
      </c>
      <c r="AB209">
        <v>2103</v>
      </c>
      <c r="AC209">
        <v>210</v>
      </c>
      <c r="AD209">
        <v>2.44</v>
      </c>
      <c r="AE209">
        <v>1975</v>
      </c>
      <c r="AF209">
        <v>0.532999999999999</v>
      </c>
      <c r="AG209">
        <v>0.067</v>
      </c>
      <c r="AH209">
        <v>0.093</v>
      </c>
      <c r="AI209">
        <v>114.57</v>
      </c>
      <c r="AJ209">
        <v>7.05</v>
      </c>
      <c r="AK209">
        <v>0</v>
      </c>
      <c r="AL209">
        <v>0</v>
      </c>
      <c r="AM209">
        <v>0</v>
      </c>
      <c r="AN209">
        <v>0</v>
      </c>
      <c r="AO209">
        <v>0</v>
      </c>
      <c r="AP209">
        <v>0.996</v>
      </c>
      <c r="AQ209">
        <v>0.193999999999999</v>
      </c>
      <c r="AR209">
        <v>0</v>
      </c>
      <c r="AS209" s="3">
        <v>46107.767546296294</v>
      </c>
    </row>
    <row r="210" ht="25.5" customHeight="1">
      <c r="A210" t="inlineStr">
        <is>
          <t>64a7b2f9000000001001e40f</t>
        </is>
      </c>
      <c r="B210" s="2" t="str">
        <f>=HYPERLINK("https://www.xiaohongshu.com/user/profile/64a7b2f9000000001001e40f", "https://www.xiaohongshu.com/user/profile/64a7b2f9000000001001e40f")</f>
        <v>https://www.xiaohongshu.com/user/profile/64a7b2f9000000001001e40f</v>
      </c>
      <c r="C210" s="2" t="str">
        <f>=HYPERLINK("https://pgy.xiaohongshu.com/solar/pre-trade/blogger-detail/64a7b2f9000000001001e40f", "https://pgy.xiaohongshu.com/solar/pre-trade/blogger-detail/64a7b2f9000000001001e40f")</f>
        <v>https://pgy.xiaohongshu.com/solar/pre-trade/blogger-detail/64a7b2f9000000001001e40f</v>
      </c>
      <c r="D210" t="inlineStr">
        <is>
          <t>女</t>
        </is>
      </c>
      <c r="E210" t="inlineStr">
        <is>
          <t>9775110600</t>
        </is>
      </c>
      <c r="F210" t="inlineStr">
        <is>
          <t>浮云呆呆</t>
        </is>
      </c>
      <c r="G210" t="inlineStr">
        <is>
          <t>安徽 铜陵 枞阳县</t>
        </is>
      </c>
      <c r="H210"/>
      <c r="I210" t="inlineStr">
        <is>
          <t>教育</t>
        </is>
      </c>
      <c r="J210">
        <v>14753</v>
      </c>
      <c r="K210" t="inlineStr">
        <is>
          <t>1.5</t>
        </is>
      </c>
      <c r="L210">
        <v>28200</v>
      </c>
      <c r="M210">
        <v>4159</v>
      </c>
      <c r="N210">
        <v>479</v>
      </c>
      <c r="O210">
        <v>1000</v>
      </c>
      <c r="P210">
        <v>0.25</v>
      </c>
      <c r="Q210">
        <v>0.875</v>
      </c>
      <c r="R210">
        <v>28200</v>
      </c>
      <c r="S210">
        <v>4159</v>
      </c>
      <c r="T210">
        <v>449</v>
      </c>
      <c r="U210">
        <v>0.68</v>
      </c>
      <c r="V210">
        <v>1000</v>
      </c>
      <c r="W210">
        <v>0.875</v>
      </c>
      <c r="X210">
        <v>0.25</v>
      </c>
      <c r="Y210">
        <v>53.26</v>
      </c>
      <c r="Z210">
        <v>3.09</v>
      </c>
      <c r="AA210">
        <v>0</v>
      </c>
      <c r="AB210">
        <v>0</v>
      </c>
      <c r="AC210">
        <v>0</v>
      </c>
      <c r="AD210">
        <v>0</v>
      </c>
      <c r="AE210">
        <v>1500</v>
      </c>
      <c r="AF210">
        <v>0</v>
      </c>
      <c r="AG210">
        <v>0</v>
      </c>
      <c r="AH210">
        <v>0</v>
      </c>
      <c r="AI210">
        <v>0</v>
      </c>
      <c r="AJ210">
        <v>0</v>
      </c>
      <c r="AK210">
        <v>7650</v>
      </c>
      <c r="AL210">
        <v>1020</v>
      </c>
      <c r="AM210">
        <v>78</v>
      </c>
      <c r="AN210">
        <v>0</v>
      </c>
      <c r="AO210">
        <v>0</v>
      </c>
      <c r="AP210">
        <v>0.919</v>
      </c>
      <c r="AQ210">
        <v>0.092</v>
      </c>
      <c r="AR210">
        <v>0.073</v>
      </c>
      <c r="AS210" s="3">
        <v>46107.767546296294</v>
      </c>
    </row>
    <row r="211" ht="25.5" customHeight="1">
      <c r="A211" t="inlineStr">
        <is>
          <t>5a8b8ca14eacab4028be1fc7</t>
        </is>
      </c>
      <c r="B211" s="2" t="str">
        <f>=HYPERLINK("https://www.xiaohongshu.com/user/profile/5a8b8ca14eacab4028be1fc7", "https://www.xiaohongshu.com/user/profile/5a8b8ca14eacab4028be1fc7")</f>
        <v>https://www.xiaohongshu.com/user/profile/5a8b8ca14eacab4028be1fc7</v>
      </c>
      <c r="C211" s="2" t="str">
        <f>=HYPERLINK("https://pgy.xiaohongshu.com/solar/pre-trade/blogger-detail/5a8b8ca14eacab4028be1fc7", "https://pgy.xiaohongshu.com/solar/pre-trade/blogger-detail/5a8b8ca14eacab4028be1fc7")</f>
        <v>https://pgy.xiaohongshu.com/solar/pre-trade/blogger-detail/5a8b8ca14eacab4028be1fc7</v>
      </c>
      <c r="D211" t="inlineStr">
        <is>
          <t>女</t>
        </is>
      </c>
      <c r="E211" t="inlineStr">
        <is>
          <t>277131136</t>
        </is>
      </c>
      <c r="F211" t="inlineStr">
        <is>
          <t>Winterr:)</t>
        </is>
      </c>
      <c r="G211" t="inlineStr">
        <is>
          <t>美国</t>
        </is>
      </c>
      <c r="H211" t="inlineStr">
        <is>
          <t>学生</t>
        </is>
      </c>
      <c r="I211" t="inlineStr">
        <is>
          <t>教育</t>
        </is>
      </c>
      <c r="J211">
        <v>7254</v>
      </c>
      <c r="K211" t="inlineStr">
        <is>
          <t>0.7</t>
        </is>
      </c>
      <c r="L211">
        <v>4633</v>
      </c>
      <c r="M211">
        <v>662</v>
      </c>
      <c r="N211">
        <v>107</v>
      </c>
      <c r="O211">
        <v>660</v>
      </c>
      <c r="P211">
        <v>0</v>
      </c>
      <c r="Q211">
        <v>0.5</v>
      </c>
      <c r="R211">
        <v>4633</v>
      </c>
      <c r="S211">
        <v>639</v>
      </c>
      <c r="T211">
        <v>78</v>
      </c>
      <c r="U211">
        <v>1.33</v>
      </c>
      <c r="V211">
        <v>660</v>
      </c>
      <c r="W211">
        <v>0.5</v>
      </c>
      <c r="X211">
        <v>0</v>
      </c>
      <c r="Y211">
        <v>142.46</v>
      </c>
      <c r="Z211">
        <v>7.21</v>
      </c>
      <c r="AA211">
        <v>81624</v>
      </c>
      <c r="AB211">
        <v>10044</v>
      </c>
      <c r="AC211">
        <v>581</v>
      </c>
      <c r="AD211">
        <v>1.63</v>
      </c>
      <c r="AE211">
        <v>800</v>
      </c>
      <c r="AF211">
        <v>0.5</v>
      </c>
      <c r="AG211">
        <v>0</v>
      </c>
      <c r="AH211">
        <v>0.103</v>
      </c>
      <c r="AI211">
        <v>37.03</v>
      </c>
      <c r="AJ211">
        <v>1.37</v>
      </c>
      <c r="AK211">
        <v>44610</v>
      </c>
      <c r="AL211">
        <v>6068</v>
      </c>
      <c r="AM211">
        <v>466</v>
      </c>
      <c r="AN211">
        <v>0</v>
      </c>
      <c r="AO211">
        <v>0</v>
      </c>
      <c r="AP211">
        <v>0.795999999999999</v>
      </c>
      <c r="AQ211">
        <v>0.06</v>
      </c>
      <c r="AR211">
        <v>0.099</v>
      </c>
      <c r="AS211" s="3">
        <v>46107.767546296294</v>
      </c>
    </row>
    <row r="212" ht="25.5" customHeight="1">
      <c r="A212" t="inlineStr">
        <is>
          <t>636c8cc9000000001f01650e</t>
        </is>
      </c>
      <c r="B212" s="2" t="str">
        <f>=HYPERLINK("https://www.xiaohongshu.com/user/profile/636c8cc9000000001f01650e", "https://www.xiaohongshu.com/user/profile/636c8cc9000000001f01650e")</f>
        <v>https://www.xiaohongshu.com/user/profile/636c8cc9000000001f01650e</v>
      </c>
      <c r="C212" s="2" t="str">
        <f>=HYPERLINK("https://pgy.xiaohongshu.com/solar/pre-trade/blogger-detail/636c8cc9000000001f01650e", "https://pgy.xiaohongshu.com/solar/pre-trade/blogger-detail/636c8cc9000000001f01650e")</f>
        <v>https://pgy.xiaohongshu.com/solar/pre-trade/blogger-detail/636c8cc9000000001f01650e</v>
      </c>
      <c r="D212" t="inlineStr">
        <is>
          <t>男</t>
        </is>
      </c>
      <c r="E212" t="inlineStr">
        <is>
          <t>6788490448</t>
        </is>
      </c>
      <c r="F212" t="inlineStr">
        <is>
          <t>Lennon（疯狂研究生）</t>
        </is>
      </c>
      <c r="G212" t="inlineStr">
        <is>
          <t>浙江 杭州 余杭区</t>
        </is>
      </c>
      <c r="H212" t="inlineStr">
        <is>
          <t>考研过来人, 铲屎官, 学生</t>
        </is>
      </c>
      <c r="I212" t="inlineStr">
        <is>
          <t>教育</t>
        </is>
      </c>
      <c r="J212">
        <v>2355</v>
      </c>
      <c r="K212" t="inlineStr">
        <is>
          <t>0.2</t>
        </is>
      </c>
      <c r="L212">
        <v>84083</v>
      </c>
      <c r="M212">
        <v>9926</v>
      </c>
      <c r="N212">
        <v>1001</v>
      </c>
      <c r="O212">
        <v>600</v>
      </c>
      <c r="P212">
        <v>0</v>
      </c>
      <c r="Q212">
        <v>1</v>
      </c>
      <c r="R212">
        <v>0</v>
      </c>
      <c r="S212">
        <v>0</v>
      </c>
      <c r="T212">
        <v>0</v>
      </c>
      <c r="U212">
        <v>0.38</v>
      </c>
      <c r="V212">
        <v>600</v>
      </c>
      <c r="W212">
        <v>0</v>
      </c>
      <c r="X212">
        <v>0</v>
      </c>
      <c r="Y212">
        <v>10.97</v>
      </c>
      <c r="Z212">
        <v>1.22</v>
      </c>
      <c r="AA212">
        <v>84083</v>
      </c>
      <c r="AB212">
        <v>9926</v>
      </c>
      <c r="AC212">
        <v>665</v>
      </c>
      <c r="AD212">
        <v>0</v>
      </c>
      <c r="AE212">
        <v>0</v>
      </c>
      <c r="AF212">
        <v>1</v>
      </c>
      <c r="AG212">
        <v>0</v>
      </c>
      <c r="AH212">
        <v>0.397</v>
      </c>
      <c r="AI212">
        <v>0</v>
      </c>
      <c r="AJ212">
        <v>0</v>
      </c>
      <c r="AK212">
        <v>54678</v>
      </c>
      <c r="AL212">
        <v>7637</v>
      </c>
      <c r="AM212">
        <v>437</v>
      </c>
      <c r="AN212">
        <v>0</v>
      </c>
      <c r="AO212">
        <v>2.48</v>
      </c>
      <c r="AP212">
        <v>0.949</v>
      </c>
      <c r="AQ212">
        <v>0.079</v>
      </c>
      <c r="AR212">
        <v>0.047</v>
      </c>
      <c r="AS212" s="3">
        <v>46107.767546296294</v>
      </c>
    </row>
    <row r="213" ht="25.5" customHeight="1">
      <c r="A213" t="inlineStr">
        <is>
          <t>5f9c4be90000000001005593</t>
        </is>
      </c>
      <c r="B213" s="2" t="str">
        <f>=HYPERLINK("https://www.xiaohongshu.com/user/profile/5f9c4be90000000001005593", "https://www.xiaohongshu.com/user/profile/5f9c4be90000000001005593")</f>
        <v>https://www.xiaohongshu.com/user/profile/5f9c4be90000000001005593</v>
      </c>
      <c r="C213" s="2" t="str">
        <f>=HYPERLINK("https://pgy.xiaohongshu.com/solar/pre-trade/blogger-detail/5f9c4be90000000001005593", "https://pgy.xiaohongshu.com/solar/pre-trade/blogger-detail/5f9c4be90000000001005593")</f>
        <v>https://pgy.xiaohongshu.com/solar/pre-trade/blogger-detail/5f9c4be90000000001005593</v>
      </c>
      <c r="D213" t="inlineStr">
        <is>
          <t>女</t>
        </is>
      </c>
      <c r="E213" t="inlineStr">
        <is>
          <t>1056565213</t>
        </is>
      </c>
      <c r="F213" t="inlineStr">
        <is>
          <t>努力学习的成成</t>
        </is>
      </c>
      <c r="G213" t="inlineStr">
        <is>
          <t>浙江 杭州 西湖区</t>
        </is>
      </c>
      <c r="H213" t="inlineStr">
        <is>
          <t>考研过来人, 学生</t>
        </is>
      </c>
      <c r="I213" t="inlineStr">
        <is>
          <t>教育</t>
        </is>
      </c>
      <c r="J213">
        <v>6276</v>
      </c>
      <c r="K213" t="inlineStr">
        <is>
          <t>0.6</t>
        </is>
      </c>
      <c r="L213">
        <v>4599</v>
      </c>
      <c r="M213">
        <v>837</v>
      </c>
      <c r="N213">
        <v>148</v>
      </c>
      <c r="O213">
        <v>200</v>
      </c>
      <c r="P213">
        <v>0.053</v>
      </c>
      <c r="Q213">
        <v>0.105</v>
      </c>
      <c r="R213">
        <v>4735</v>
      </c>
      <c r="S213">
        <v>891</v>
      </c>
      <c r="T213">
        <v>131</v>
      </c>
      <c r="U213">
        <v>0.52</v>
      </c>
      <c r="V213">
        <v>200</v>
      </c>
      <c r="W213">
        <v>0.133</v>
      </c>
      <c r="X213">
        <v>0.067</v>
      </c>
      <c r="Y213">
        <v>42.24</v>
      </c>
      <c r="Z213">
        <v>1.19</v>
      </c>
      <c r="AA213">
        <v>3544</v>
      </c>
      <c r="AB213">
        <v>787</v>
      </c>
      <c r="AC213">
        <v>75</v>
      </c>
      <c r="AD213">
        <v>1.88</v>
      </c>
      <c r="AE213">
        <v>300</v>
      </c>
      <c r="AF213">
        <v>0</v>
      </c>
      <c r="AG213">
        <v>0</v>
      </c>
      <c r="AH213">
        <v>0.072</v>
      </c>
      <c r="AI213">
        <v>84.64</v>
      </c>
      <c r="AJ213">
        <v>3.39</v>
      </c>
      <c r="AK213">
        <v>0</v>
      </c>
      <c r="AL213">
        <v>0</v>
      </c>
      <c r="AM213">
        <v>0</v>
      </c>
      <c r="AN213">
        <v>0</v>
      </c>
      <c r="AO213">
        <v>0</v>
      </c>
      <c r="AP213">
        <v>0.818</v>
      </c>
      <c r="AQ213">
        <v>0.08</v>
      </c>
      <c r="AR213">
        <v>0.064</v>
      </c>
      <c r="AS213" s="3">
        <v>46107.767546296294</v>
      </c>
    </row>
    <row r="214" ht="25.5" customHeight="1">
      <c r="A214" t="inlineStr">
        <is>
          <t>5c010f63000000000801b7b8</t>
        </is>
      </c>
      <c r="B214" s="2" t="str">
        <f>=HYPERLINK("https://www.xiaohongshu.com/user/profile/5c010f63000000000801b7b8", "https://www.xiaohongshu.com/user/profile/5c010f63000000000801b7b8")</f>
        <v>https://www.xiaohongshu.com/user/profile/5c010f63000000000801b7b8</v>
      </c>
      <c r="C214" s="2" t="str">
        <f>=HYPERLINK("https://pgy.xiaohongshu.com/solar/pre-trade/blogger-detail/5c010f63000000000801b7b8", "https://pgy.xiaohongshu.com/solar/pre-trade/blogger-detail/5c010f63000000000801b7b8")</f>
        <v>https://pgy.xiaohongshu.com/solar/pre-trade/blogger-detail/5c010f63000000000801b7b8</v>
      </c>
      <c r="D214" t="inlineStr">
        <is>
          <t>男</t>
        </is>
      </c>
      <c r="E214" t="inlineStr">
        <is>
          <t>675086778</t>
        </is>
      </c>
      <c r="F214" t="inlineStr">
        <is>
          <t>OCEAN洋洋</t>
        </is>
      </c>
      <c r="G214" t="inlineStr">
        <is>
          <t>美国</t>
        </is>
      </c>
      <c r="H214" t="inlineStr">
        <is>
          <t>留学背景</t>
        </is>
      </c>
      <c r="I214" t="inlineStr">
        <is>
          <t>出行旅游, 时尚</t>
        </is>
      </c>
      <c r="J214">
        <v>12918</v>
      </c>
      <c r="K214" t="inlineStr">
        <is>
          <t>1.3</t>
        </is>
      </c>
      <c r="L214">
        <v>21078</v>
      </c>
      <c r="M214">
        <v>3607</v>
      </c>
      <c r="N214">
        <v>353</v>
      </c>
      <c r="O214">
        <v>1000</v>
      </c>
      <c r="P214">
        <v>0</v>
      </c>
      <c r="Q214">
        <v>0.667</v>
      </c>
      <c r="R214">
        <v>21078</v>
      </c>
      <c r="S214">
        <v>3607</v>
      </c>
      <c r="T214">
        <v>296</v>
      </c>
      <c r="U214">
        <v>0.53</v>
      </c>
      <c r="V214">
        <v>1000</v>
      </c>
      <c r="W214">
        <v>0.667</v>
      </c>
      <c r="X214">
        <v>0</v>
      </c>
      <c r="Y214">
        <v>40.31</v>
      </c>
      <c r="Z214">
        <v>2.18</v>
      </c>
      <c r="AA214">
        <v>0</v>
      </c>
      <c r="AB214">
        <v>0</v>
      </c>
      <c r="AC214">
        <v>0</v>
      </c>
      <c r="AD214">
        <v>0</v>
      </c>
      <c r="AE214">
        <v>3000</v>
      </c>
      <c r="AF214">
        <v>0</v>
      </c>
      <c r="AG214">
        <v>0</v>
      </c>
      <c r="AH214">
        <v>0</v>
      </c>
      <c r="AI214">
        <v>0</v>
      </c>
      <c r="AJ214">
        <v>0</v>
      </c>
      <c r="AK214">
        <v>53271</v>
      </c>
      <c r="AL214">
        <v>9949</v>
      </c>
      <c r="AM214">
        <v>1579</v>
      </c>
      <c r="AN214">
        <v>0</v>
      </c>
      <c r="AO214">
        <v>0</v>
      </c>
      <c r="AP214">
        <v>0.754</v>
      </c>
      <c r="AQ214">
        <v>0.037</v>
      </c>
      <c r="AR214">
        <v>0.038</v>
      </c>
      <c r="AS214" s="3">
        <v>46107.767546296294</v>
      </c>
    </row>
    <row r="215" ht="25.5" customHeight="1">
      <c r="A215" t="inlineStr">
        <is>
          <t>65be3585000000000903efd0</t>
        </is>
      </c>
      <c r="B215" s="2" t="str">
        <f>=HYPERLINK("https://www.xiaohongshu.com/user/profile/65be3585000000000903efd0", "https://www.xiaohongshu.com/user/profile/65be3585000000000903efd0")</f>
        <v>https://www.xiaohongshu.com/user/profile/65be3585000000000903efd0</v>
      </c>
      <c r="C215" s="2" t="str">
        <f>=HYPERLINK("https://pgy.xiaohongshu.com/solar/pre-trade/blogger-detail/65be3585000000000903efd0", "https://pgy.xiaohongshu.com/solar/pre-trade/blogger-detail/65be3585000000000903efd0")</f>
        <v>https://pgy.xiaohongshu.com/solar/pre-trade/blogger-detail/65be3585000000000903efd0</v>
      </c>
      <c r="D215" t="inlineStr">
        <is>
          <t>男</t>
        </is>
      </c>
      <c r="E215" t="inlineStr">
        <is>
          <t>0606uuu</t>
        </is>
      </c>
      <c r="F215" t="inlineStr">
        <is>
          <t>见路不走</t>
        </is>
      </c>
      <c r="G215" t="inlineStr">
        <is>
          <t>安徽 合肥 蜀山区</t>
        </is>
      </c>
      <c r="H215"/>
      <c r="I215" t="inlineStr">
        <is>
          <t>教育</t>
        </is>
      </c>
      <c r="J215">
        <v>58321</v>
      </c>
      <c r="K215" t="inlineStr">
        <is>
          <t>5.8</t>
        </is>
      </c>
      <c r="L215">
        <v>101318</v>
      </c>
      <c r="M215">
        <v>22578</v>
      </c>
      <c r="N215">
        <v>1601</v>
      </c>
      <c r="O215">
        <v>2888</v>
      </c>
      <c r="P215">
        <v>0.4</v>
      </c>
      <c r="Q215">
        <v>1</v>
      </c>
      <c r="R215">
        <v>101318</v>
      </c>
      <c r="S215">
        <v>22578</v>
      </c>
      <c r="T215">
        <v>1425</v>
      </c>
      <c r="U215">
        <v>0.41</v>
      </c>
      <c r="V215">
        <v>2888</v>
      </c>
      <c r="W215">
        <v>1</v>
      </c>
      <c r="X215">
        <v>0.4</v>
      </c>
      <c r="Y215">
        <v>25</v>
      </c>
      <c r="Z215">
        <v>1.8</v>
      </c>
      <c r="AA215">
        <v>0</v>
      </c>
      <c r="AB215">
        <v>0</v>
      </c>
      <c r="AC215">
        <v>0</v>
      </c>
      <c r="AD215">
        <v>0</v>
      </c>
      <c r="AE215">
        <v>5000</v>
      </c>
      <c r="AF215">
        <v>0</v>
      </c>
      <c r="AG215">
        <v>0</v>
      </c>
      <c r="AH215">
        <v>0</v>
      </c>
      <c r="AI215">
        <v>0</v>
      </c>
      <c r="AJ215">
        <v>0</v>
      </c>
      <c r="AK215">
        <v>290588</v>
      </c>
      <c r="AL215">
        <v>61646</v>
      </c>
      <c r="AM215">
        <v>9696</v>
      </c>
      <c r="AN215">
        <v>0</v>
      </c>
      <c r="AO215">
        <v>0</v>
      </c>
      <c r="AP215">
        <v>0.945</v>
      </c>
      <c r="AQ215">
        <v>0.114</v>
      </c>
      <c r="AR215">
        <v>0.03</v>
      </c>
      <c r="AS215" s="3">
        <v>46107.767546296294</v>
      </c>
    </row>
    <row r="216" ht="25.5" customHeight="1">
      <c r="A216" t="inlineStr">
        <is>
          <t>66ace7ce000000001d033eeb</t>
        </is>
      </c>
      <c r="B216" s="2" t="str">
        <f>=HYPERLINK("https://www.xiaohongshu.com/user/profile/66ace7ce000000001d033eeb", "https://www.xiaohongshu.com/user/profile/66ace7ce000000001d033eeb")</f>
        <v>https://www.xiaohongshu.com/user/profile/66ace7ce000000001d033eeb</v>
      </c>
      <c r="C216" s="2" t="str">
        <f>=HYPERLINK("https://pgy.xiaohongshu.com/solar/pre-trade/blogger-detail/66ace7ce000000001d033eeb", "https://pgy.xiaohongshu.com/solar/pre-trade/blogger-detail/66ace7ce000000001d033eeb")</f>
        <v>https://pgy.xiaohongshu.com/solar/pre-trade/blogger-detail/66ace7ce000000001d033eeb</v>
      </c>
      <c r="D216" t="inlineStr">
        <is>
          <t>女</t>
        </is>
      </c>
      <c r="E216" t="inlineStr">
        <is>
          <t>42942025863</t>
        </is>
      </c>
      <c r="F216" t="inlineStr">
        <is>
          <t>菠萝战士</t>
        </is>
      </c>
      <c r="G216" t="inlineStr">
        <is>
          <t>广西 桂林 雁山区</t>
        </is>
      </c>
      <c r="H216"/>
      <c r="I216" t="inlineStr">
        <is>
          <t>教育</t>
        </is>
      </c>
      <c r="J216">
        <v>7410</v>
      </c>
      <c r="K216" t="inlineStr">
        <is>
          <t>0.7</t>
        </is>
      </c>
      <c r="L216">
        <v>1364</v>
      </c>
      <c r="M216">
        <v>225</v>
      </c>
      <c r="N216">
        <v>188</v>
      </c>
      <c r="O216">
        <v>680</v>
      </c>
      <c r="P216">
        <v>0</v>
      </c>
      <c r="Q216">
        <v>0.583</v>
      </c>
      <c r="R216">
        <v>1364</v>
      </c>
      <c r="S216">
        <v>225</v>
      </c>
      <c r="T216">
        <v>181</v>
      </c>
      <c r="U216">
        <v>3.49</v>
      </c>
      <c r="V216">
        <v>680</v>
      </c>
      <c r="W216">
        <v>0.583</v>
      </c>
      <c r="X216">
        <v>0</v>
      </c>
      <c r="Y216">
        <v>498.53</v>
      </c>
      <c r="Z216">
        <v>3.69</v>
      </c>
      <c r="AA216">
        <v>0</v>
      </c>
      <c r="AB216">
        <v>0</v>
      </c>
      <c r="AC216">
        <v>0</v>
      </c>
      <c r="AD216">
        <v>0</v>
      </c>
      <c r="AE216">
        <v>820</v>
      </c>
      <c r="AF216">
        <v>0</v>
      </c>
      <c r="AG216">
        <v>0</v>
      </c>
      <c r="AH216">
        <v>0</v>
      </c>
      <c r="AI216">
        <v>0</v>
      </c>
      <c r="AJ216">
        <v>0</v>
      </c>
      <c r="AK216">
        <v>1065</v>
      </c>
      <c r="AL216">
        <v>142</v>
      </c>
      <c r="AM216">
        <v>129</v>
      </c>
      <c r="AN216">
        <v>0</v>
      </c>
      <c r="AO216">
        <v>0</v>
      </c>
      <c r="AP216">
        <v>0.606</v>
      </c>
      <c r="AQ216">
        <v>0.035</v>
      </c>
      <c r="AR216">
        <v>0.023</v>
      </c>
      <c r="AS216" s="3">
        <v>46107.767546296294</v>
      </c>
    </row>
    <row r="217" ht="25.5" customHeight="1">
      <c r="A217" t="inlineStr">
        <is>
          <t>597713055e87e70dec45fd05</t>
        </is>
      </c>
      <c r="B217" s="2" t="str">
        <f>=HYPERLINK("https://www.xiaohongshu.com/user/profile/597713055e87e70dec45fd05", "https://www.xiaohongshu.com/user/profile/597713055e87e70dec45fd05")</f>
        <v>https://www.xiaohongshu.com/user/profile/597713055e87e70dec45fd05</v>
      </c>
      <c r="C217" s="2" t="str">
        <f>=HYPERLINK("https://pgy.xiaohongshu.com/solar/pre-trade/blogger-detail/597713055e87e70dec45fd05", "https://pgy.xiaohongshu.com/solar/pre-trade/blogger-detail/597713055e87e70dec45fd05")</f>
        <v>https://pgy.xiaohongshu.com/solar/pre-trade/blogger-detail/597713055e87e70dec45fd05</v>
      </c>
      <c r="D217" t="inlineStr">
        <is>
          <t>男</t>
        </is>
      </c>
      <c r="E217" t="inlineStr">
        <is>
          <t>260437686</t>
        </is>
      </c>
      <c r="F217" t="inlineStr">
        <is>
          <t>Jing（读博版）</t>
        </is>
      </c>
      <c r="G217" t="inlineStr">
        <is>
          <t>上海</t>
        </is>
      </c>
      <c r="H217" t="inlineStr">
        <is>
          <t>考研过来人, 学生</t>
        </is>
      </c>
      <c r="I217" t="inlineStr">
        <is>
          <t>教育, 健康养生</t>
        </is>
      </c>
      <c r="J217">
        <v>1766</v>
      </c>
      <c r="K217" t="inlineStr">
        <is>
          <t>0.2</t>
        </is>
      </c>
      <c r="L217">
        <v>13857</v>
      </c>
      <c r="M217">
        <v>2614</v>
      </c>
      <c r="N217">
        <v>187</v>
      </c>
      <c r="O217">
        <v>200</v>
      </c>
      <c r="P217">
        <v>0</v>
      </c>
      <c r="Q217">
        <v>0</v>
      </c>
      <c r="R217">
        <v>13857</v>
      </c>
      <c r="S217">
        <v>2614</v>
      </c>
      <c r="T217">
        <v>97</v>
      </c>
      <c r="U217">
        <v>0.45</v>
      </c>
      <c r="V217">
        <v>200</v>
      </c>
      <c r="W217">
        <v>0</v>
      </c>
      <c r="X217">
        <v>0</v>
      </c>
      <c r="Y217">
        <v>26.98</v>
      </c>
      <c r="Z217">
        <v>1.54</v>
      </c>
      <c r="AA217">
        <v>0</v>
      </c>
      <c r="AB217">
        <v>0</v>
      </c>
      <c r="AC217">
        <v>0</v>
      </c>
      <c r="AD217">
        <v>0</v>
      </c>
      <c r="AE217">
        <v>288</v>
      </c>
      <c r="AF217">
        <v>0</v>
      </c>
      <c r="AG217">
        <v>0</v>
      </c>
      <c r="AH217">
        <v>0</v>
      </c>
      <c r="AI217">
        <v>0</v>
      </c>
      <c r="AJ217">
        <v>0</v>
      </c>
      <c r="AK217">
        <v>2329</v>
      </c>
      <c r="AL217">
        <v>205</v>
      </c>
      <c r="AM217">
        <v>10</v>
      </c>
      <c r="AN217">
        <v>0</v>
      </c>
      <c r="AO217">
        <v>0</v>
      </c>
      <c r="AP217">
        <v>0.780999999999999</v>
      </c>
      <c r="AQ217">
        <v>0.026</v>
      </c>
      <c r="AR217">
        <v>0.034</v>
      </c>
      <c r="AS217" s="3">
        <v>46107.767546296294</v>
      </c>
    </row>
    <row r="218" ht="25.5" customHeight="1">
      <c r="A218" t="inlineStr">
        <is>
          <t>60e3b1bf000000000101f29d</t>
        </is>
      </c>
      <c r="B218" s="2" t="str">
        <f>=HYPERLINK("https://www.xiaohongshu.com/user/profile/60e3b1bf000000000101f29d", "https://www.xiaohongshu.com/user/profile/60e3b1bf000000000101f29d")</f>
        <v>https://www.xiaohongshu.com/user/profile/60e3b1bf000000000101f29d</v>
      </c>
      <c r="C218" s="2" t="str">
        <f>=HYPERLINK("https://pgy.xiaohongshu.com/solar/pre-trade/blogger-detail/60e3b1bf000000000101f29d", "https://pgy.xiaohongshu.com/solar/pre-trade/blogger-detail/60e3b1bf000000000101f29d")</f>
        <v>https://pgy.xiaohongshu.com/solar/pre-trade/blogger-detail/60e3b1bf000000000101f29d</v>
      </c>
      <c r="D218" t="inlineStr">
        <is>
          <t>男</t>
        </is>
      </c>
      <c r="E218" t="inlineStr">
        <is>
          <t>9548947877</t>
        </is>
      </c>
      <c r="F218" t="inlineStr">
        <is>
          <t>小刘在读博</t>
        </is>
      </c>
      <c r="G218" t="inlineStr">
        <is>
          <t>英国</t>
        </is>
      </c>
      <c r="H218" t="inlineStr">
        <is>
          <t>学生</t>
        </is>
      </c>
      <c r="I218" t="inlineStr">
        <is>
          <t>教育</t>
        </is>
      </c>
      <c r="J218">
        <v>120625</v>
      </c>
      <c r="K218" t="inlineStr">
        <is>
          <t>12.1</t>
        </is>
      </c>
      <c r="L218">
        <v>38432</v>
      </c>
      <c r="M218">
        <v>14601</v>
      </c>
      <c r="N218">
        <v>1224</v>
      </c>
      <c r="O218">
        <v>6800</v>
      </c>
      <c r="P218">
        <v>0.25</v>
      </c>
      <c r="Q218">
        <v>1</v>
      </c>
      <c r="R218">
        <v>0</v>
      </c>
      <c r="S218">
        <v>0</v>
      </c>
      <c r="T218">
        <v>0</v>
      </c>
      <c r="U218">
        <v>0</v>
      </c>
      <c r="V218">
        <v>6800</v>
      </c>
      <c r="W218">
        <v>0</v>
      </c>
      <c r="X218">
        <v>0</v>
      </c>
      <c r="Y218">
        <v>0</v>
      </c>
      <c r="Z218">
        <v>0</v>
      </c>
      <c r="AA218">
        <v>38432</v>
      </c>
      <c r="AB218">
        <v>14601</v>
      </c>
      <c r="AC218">
        <v>1170</v>
      </c>
      <c r="AD218">
        <v>2.57</v>
      </c>
      <c r="AE218">
        <v>14000</v>
      </c>
      <c r="AF218">
        <v>1</v>
      </c>
      <c r="AG218">
        <v>0.25</v>
      </c>
      <c r="AH218">
        <v>0.152</v>
      </c>
      <c r="AI218">
        <v>406.99</v>
      </c>
      <c r="AJ218">
        <v>16</v>
      </c>
      <c r="AK218">
        <v>40765</v>
      </c>
      <c r="AL218">
        <v>9851</v>
      </c>
      <c r="AM218">
        <v>672</v>
      </c>
      <c r="AN218">
        <v>0</v>
      </c>
      <c r="AO218">
        <v>0</v>
      </c>
      <c r="AP218">
        <v>0.872</v>
      </c>
      <c r="AQ218">
        <v>0.022</v>
      </c>
      <c r="AR218">
        <v>0.001</v>
      </c>
      <c r="AS218" s="3">
        <v>46107.767546296294</v>
      </c>
    </row>
    <row r="219" ht="25.5" customHeight="1">
      <c r="A219" t="inlineStr">
        <is>
          <t>632497910000000023025597</t>
        </is>
      </c>
      <c r="B219" s="2" t="str">
        <f>=HYPERLINK("https://www.xiaohongshu.com/user/profile/632497910000000023025597", "https://www.xiaohongshu.com/user/profile/632497910000000023025597")</f>
        <v>https://www.xiaohongshu.com/user/profile/632497910000000023025597</v>
      </c>
      <c r="C219" s="2" t="str">
        <f>=HYPERLINK("https://pgy.xiaohongshu.com/solar/pre-trade/blogger-detail/632497910000000023025597", "https://pgy.xiaohongshu.com/solar/pre-trade/blogger-detail/632497910000000023025597")</f>
        <v>https://pgy.xiaohongshu.com/solar/pre-trade/blogger-detail/632497910000000023025597</v>
      </c>
      <c r="D219" t="inlineStr">
        <is>
          <t>男</t>
        </is>
      </c>
      <c r="E219" t="inlineStr">
        <is>
          <t>5663746017</t>
        </is>
      </c>
      <c r="F219" t="inlineStr">
        <is>
          <t>Fi1st（备考北大ing）</t>
        </is>
      </c>
      <c r="G219" t="inlineStr">
        <is>
          <t>湖南 郴州 北湖区</t>
        </is>
      </c>
      <c r="H219" t="inlineStr">
        <is>
          <t>学生</t>
        </is>
      </c>
      <c r="I219" t="inlineStr">
        <is>
          <t>教育</t>
        </is>
      </c>
      <c r="J219">
        <v>69178</v>
      </c>
      <c r="K219" t="inlineStr">
        <is>
          <t>6.9</t>
        </is>
      </c>
      <c r="L219">
        <v>135291</v>
      </c>
      <c r="M219">
        <v>17786</v>
      </c>
      <c r="N219">
        <v>671</v>
      </c>
      <c r="O219">
        <v>2500</v>
      </c>
      <c r="P219">
        <v>0.332999999999999</v>
      </c>
      <c r="Q219">
        <v>1</v>
      </c>
      <c r="R219">
        <v>215420</v>
      </c>
      <c r="S219">
        <v>64211</v>
      </c>
      <c r="T219">
        <v>1394</v>
      </c>
      <c r="U219">
        <v>0.34</v>
      </c>
      <c r="V219">
        <v>2500</v>
      </c>
      <c r="W219">
        <v>1</v>
      </c>
      <c r="X219">
        <v>0.5</v>
      </c>
      <c r="Y219">
        <v>11.61</v>
      </c>
      <c r="Z219">
        <v>1.62</v>
      </c>
      <c r="AA219">
        <v>135291</v>
      </c>
      <c r="AB219">
        <v>17786</v>
      </c>
      <c r="AC219">
        <v>628</v>
      </c>
      <c r="AD219">
        <v>1.7</v>
      </c>
      <c r="AE219">
        <v>3500</v>
      </c>
      <c r="AF219">
        <v>1</v>
      </c>
      <c r="AG219">
        <v>0</v>
      </c>
      <c r="AH219">
        <v>0.382999999999999</v>
      </c>
      <c r="AI219">
        <v>25.87</v>
      </c>
      <c r="AJ219">
        <v>5.22</v>
      </c>
      <c r="AK219">
        <v>0</v>
      </c>
      <c r="AL219">
        <v>0</v>
      </c>
      <c r="AM219">
        <v>0</v>
      </c>
      <c r="AN219">
        <v>0</v>
      </c>
      <c r="AO219">
        <v>0</v>
      </c>
      <c r="AP219">
        <v>0.844</v>
      </c>
      <c r="AQ219">
        <v>0.038</v>
      </c>
      <c r="AR219">
        <v>0.027</v>
      </c>
      <c r="AS219" s="3">
        <v>46107.767546296294</v>
      </c>
    </row>
    <row r="220" ht="25.5" customHeight="1">
      <c r="A220" t="inlineStr">
        <is>
          <t>616d58360000000002020253</t>
        </is>
      </c>
      <c r="B220" s="2" t="str">
        <f>=HYPERLINK("https://www.xiaohongshu.com/user/profile/616d58360000000002020253", "https://www.xiaohongshu.com/user/profile/616d58360000000002020253")</f>
        <v>https://www.xiaohongshu.com/user/profile/616d58360000000002020253</v>
      </c>
      <c r="C220" s="2" t="str">
        <f>=HYPERLINK("https://pgy.xiaohongshu.com/solar/pre-trade/blogger-detail/616d58360000000002020253", "https://pgy.xiaohongshu.com/solar/pre-trade/blogger-detail/616d58360000000002020253")</f>
        <v>https://pgy.xiaohongshu.com/solar/pre-trade/blogger-detail/616d58360000000002020253</v>
      </c>
      <c r="D220" t="inlineStr">
        <is>
          <t>男</t>
        </is>
      </c>
      <c r="E220" t="inlineStr">
        <is>
          <t>4914451159</t>
        </is>
      </c>
      <c r="F220" t="inlineStr">
        <is>
          <t>野蛮哥不野蛮</t>
        </is>
      </c>
      <c r="G220" t="inlineStr">
        <is>
          <t>北京</t>
        </is>
      </c>
      <c r="H220" t="inlineStr">
        <is>
          <t>学生</t>
        </is>
      </c>
      <c r="I220" t="inlineStr">
        <is>
          <t>教育</t>
        </is>
      </c>
      <c r="J220">
        <v>12508</v>
      </c>
      <c r="K220" t="inlineStr">
        <is>
          <t>1.3</t>
        </is>
      </c>
      <c r="L220">
        <v>10442</v>
      </c>
      <c r="M220">
        <v>1493</v>
      </c>
      <c r="N220">
        <v>154</v>
      </c>
      <c r="O220">
        <v>800</v>
      </c>
      <c r="P220">
        <v>0</v>
      </c>
      <c r="Q220">
        <v>0</v>
      </c>
      <c r="R220">
        <v>0</v>
      </c>
      <c r="S220">
        <v>0</v>
      </c>
      <c r="T220">
        <v>0</v>
      </c>
      <c r="U220">
        <v>0</v>
      </c>
      <c r="V220">
        <v>800</v>
      </c>
      <c r="W220">
        <v>0</v>
      </c>
      <c r="X220">
        <v>0</v>
      </c>
      <c r="Y220">
        <v>0</v>
      </c>
      <c r="Z220">
        <v>0</v>
      </c>
      <c r="AA220">
        <v>10442</v>
      </c>
      <c r="AB220">
        <v>1493</v>
      </c>
      <c r="AC220">
        <v>120</v>
      </c>
      <c r="AD220">
        <v>2.71</v>
      </c>
      <c r="AE220">
        <v>1800</v>
      </c>
      <c r="AF220">
        <v>0</v>
      </c>
      <c r="AG220">
        <v>0</v>
      </c>
      <c r="AH220">
        <v>0.127</v>
      </c>
      <c r="AI220">
        <v>172.38</v>
      </c>
      <c r="AJ220">
        <v>11.69</v>
      </c>
      <c r="AK220">
        <v>0</v>
      </c>
      <c r="AL220">
        <v>0</v>
      </c>
      <c r="AM220">
        <v>0</v>
      </c>
      <c r="AN220">
        <v>0</v>
      </c>
      <c r="AO220">
        <v>0</v>
      </c>
      <c r="AP220">
        <v>0.949</v>
      </c>
      <c r="AQ220">
        <v>0.00699999999999999</v>
      </c>
      <c r="AR220">
        <v>-0.001</v>
      </c>
      <c r="AS220" s="3">
        <v>46107.767546296294</v>
      </c>
    </row>
    <row r="221" ht="25.5" customHeight="1">
      <c r="A221" t="inlineStr">
        <is>
          <t>66543f270000000007006390</t>
        </is>
      </c>
      <c r="B221" s="2" t="str">
        <f>=HYPERLINK("https://www.xiaohongshu.com/user/profile/66543f270000000007006390", "https://www.xiaohongshu.com/user/profile/66543f270000000007006390")</f>
        <v>https://www.xiaohongshu.com/user/profile/66543f270000000007006390</v>
      </c>
      <c r="C221" s="2" t="str">
        <f>=HYPERLINK("https://pgy.xiaohongshu.com/solar/pre-trade/blogger-detail/66543f270000000007006390", "https://pgy.xiaohongshu.com/solar/pre-trade/blogger-detail/66543f270000000007006390")</f>
        <v>https://pgy.xiaohongshu.com/solar/pre-trade/blogger-detail/66543f270000000007006390</v>
      </c>
      <c r="D221" t="inlineStr">
        <is>
          <t>女</t>
        </is>
      </c>
      <c r="E221" t="inlineStr">
        <is>
          <t>11679998274</t>
        </is>
      </c>
      <c r="F221" t="inlineStr">
        <is>
          <t>艺艺.</t>
        </is>
      </c>
      <c r="G221" t="inlineStr">
        <is>
          <t>河南 郑州 惠济区</t>
        </is>
      </c>
      <c r="H221" t="inlineStr">
        <is>
          <t>手账爱好者, 学生</t>
        </is>
      </c>
      <c r="I221" t="inlineStr">
        <is>
          <t>教育</t>
        </is>
      </c>
      <c r="J221">
        <v>4456</v>
      </c>
      <c r="K221" t="inlineStr">
        <is>
          <t>0.4</t>
        </is>
      </c>
      <c r="L221">
        <v>2358</v>
      </c>
      <c r="M221">
        <v>815</v>
      </c>
      <c r="N221">
        <v>122</v>
      </c>
      <c r="O221">
        <v>200</v>
      </c>
      <c r="P221">
        <v>0</v>
      </c>
      <c r="Q221">
        <v>0.474</v>
      </c>
      <c r="R221">
        <v>1385</v>
      </c>
      <c r="S221">
        <v>170</v>
      </c>
      <c r="T221">
        <v>14</v>
      </c>
      <c r="U221">
        <v>1.48</v>
      </c>
      <c r="V221">
        <v>200</v>
      </c>
      <c r="W221">
        <v>0</v>
      </c>
      <c r="X221">
        <v>0</v>
      </c>
      <c r="Y221">
        <v>144.4</v>
      </c>
      <c r="Z221">
        <v>13.33</v>
      </c>
      <c r="AA221">
        <v>2391</v>
      </c>
      <c r="AB221">
        <v>846</v>
      </c>
      <c r="AC221">
        <v>110</v>
      </c>
      <c r="AD221">
        <v>1.86</v>
      </c>
      <c r="AE221">
        <v>300</v>
      </c>
      <c r="AF221">
        <v>0.5</v>
      </c>
      <c r="AG221">
        <v>0</v>
      </c>
      <c r="AH221">
        <v>0.0559999999999999</v>
      </c>
      <c r="AI221">
        <v>125.44</v>
      </c>
      <c r="AJ221">
        <v>2.55</v>
      </c>
      <c r="AK221">
        <v>1631</v>
      </c>
      <c r="AL221">
        <v>453</v>
      </c>
      <c r="AM221">
        <v>57</v>
      </c>
      <c r="AN221">
        <v>0</v>
      </c>
      <c r="AO221">
        <v>0</v>
      </c>
      <c r="AP221">
        <v>0.922</v>
      </c>
      <c r="AQ221">
        <v>0.045</v>
      </c>
      <c r="AR221">
        <v>0.032</v>
      </c>
      <c r="AS221" s="3">
        <v>46107.767546296294</v>
      </c>
    </row>
    <row r="222" ht="25.5" customHeight="1">
      <c r="A222" t="inlineStr">
        <is>
          <t>61d643a10000000010008412</t>
        </is>
      </c>
      <c r="B222" s="2" t="str">
        <f>=HYPERLINK("https://www.xiaohongshu.com/user/profile/61d643a10000000010008412", "https://www.xiaohongshu.com/user/profile/61d643a10000000010008412")</f>
        <v>https://www.xiaohongshu.com/user/profile/61d643a10000000010008412</v>
      </c>
      <c r="C222" s="2" t="str">
        <f>=HYPERLINK("https://pgy.xiaohongshu.com/solar/pre-trade/blogger-detail/61d643a10000000010008412", "https://pgy.xiaohongshu.com/solar/pre-trade/blogger-detail/61d643a10000000010008412")</f>
        <v>https://pgy.xiaohongshu.com/solar/pre-trade/blogger-detail/61d643a10000000010008412</v>
      </c>
      <c r="D222" t="inlineStr">
        <is>
          <t>女</t>
        </is>
      </c>
      <c r="E222" t="inlineStr">
        <is>
          <t>1691065922</t>
        </is>
      </c>
      <c r="F222" t="inlineStr">
        <is>
          <t>下辈子不读书做只猪</t>
        </is>
      </c>
      <c r="G222" t="inlineStr">
        <is>
          <t>广东 广州 番禺区</t>
        </is>
      </c>
      <c r="H222" t="inlineStr">
        <is>
          <t>学生</t>
        </is>
      </c>
      <c r="I222" t="inlineStr">
        <is>
          <t>教育</t>
        </is>
      </c>
      <c r="J222">
        <v>57004</v>
      </c>
      <c r="K222" t="inlineStr">
        <is>
          <t>5.7</t>
        </is>
      </c>
      <c r="L222">
        <v>37248</v>
      </c>
      <c r="M222">
        <v>4673</v>
      </c>
      <c r="N222">
        <v>509</v>
      </c>
      <c r="O222">
        <v>4000</v>
      </c>
      <c r="P222">
        <v>0.4</v>
      </c>
      <c r="Q222">
        <v>0.7</v>
      </c>
      <c r="R222">
        <v>26417</v>
      </c>
      <c r="S222">
        <v>2172</v>
      </c>
      <c r="T222">
        <v>332</v>
      </c>
      <c r="U222">
        <v>1.2</v>
      </c>
      <c r="V222">
        <v>4000</v>
      </c>
      <c r="W222">
        <v>0.667</v>
      </c>
      <c r="X222">
        <v>0.166999999999999</v>
      </c>
      <c r="Y222">
        <v>107.39</v>
      </c>
      <c r="Z222">
        <v>7.86</v>
      </c>
      <c r="AA222">
        <v>111257</v>
      </c>
      <c r="AB222">
        <v>79018</v>
      </c>
      <c r="AC222">
        <v>8286</v>
      </c>
      <c r="AD222">
        <v>1.57</v>
      </c>
      <c r="AE222">
        <v>5000</v>
      </c>
      <c r="AF222">
        <v>0.75</v>
      </c>
      <c r="AG222">
        <v>0.75</v>
      </c>
      <c r="AH222">
        <v>0.0409999999999999</v>
      </c>
      <c r="AI222">
        <v>57.65</v>
      </c>
      <c r="AJ222">
        <v>0.55</v>
      </c>
      <c r="AK222">
        <v>64221</v>
      </c>
      <c r="AL222">
        <v>6675</v>
      </c>
      <c r="AM222">
        <v>2327</v>
      </c>
      <c r="AN222">
        <v>0</v>
      </c>
      <c r="AO222">
        <v>0</v>
      </c>
      <c r="AP222">
        <v>0.915</v>
      </c>
      <c r="AQ222">
        <v>0.183</v>
      </c>
      <c r="AR222">
        <v>0.098</v>
      </c>
      <c r="AS222" s="3">
        <v>46107.767743055556</v>
      </c>
    </row>
    <row r="223" ht="25.5" customHeight="1">
      <c r="A223" t="inlineStr">
        <is>
          <t>5f093427000000000100513f</t>
        </is>
      </c>
      <c r="B223" s="2" t="str">
        <f>=HYPERLINK("https://www.xiaohongshu.com/user/profile/5f093427000000000100513f", "https://www.xiaohongshu.com/user/profile/5f093427000000000100513f")</f>
        <v>https://www.xiaohongshu.com/user/profile/5f093427000000000100513f</v>
      </c>
      <c r="C223" s="2" t="str">
        <f>=HYPERLINK("https://pgy.xiaohongshu.com/solar/pre-trade/blogger-detail/5f093427000000000100513f", "https://pgy.xiaohongshu.com/solar/pre-trade/blogger-detail/5f093427000000000100513f")</f>
        <v>https://pgy.xiaohongshu.com/solar/pre-trade/blogger-detail/5f093427000000000100513f</v>
      </c>
      <c r="D223" t="inlineStr">
        <is>
          <t>男</t>
        </is>
      </c>
      <c r="E223" t="inlineStr">
        <is>
          <t>409531337</t>
        </is>
      </c>
      <c r="F223" t="inlineStr">
        <is>
          <t>西瓜拌沃柑（读研版）</t>
        </is>
      </c>
      <c r="G223" t="inlineStr">
        <is>
          <t>陕西 西安 雁塔区</t>
        </is>
      </c>
      <c r="H223"/>
      <c r="I223" t="inlineStr">
        <is>
          <t>教育</t>
        </is>
      </c>
      <c r="J223">
        <v>7415</v>
      </c>
      <c r="K223" t="inlineStr">
        <is>
          <t>0.7</t>
        </is>
      </c>
      <c r="L223">
        <v>5700</v>
      </c>
      <c r="M223">
        <v>3919</v>
      </c>
      <c r="N223">
        <v>481</v>
      </c>
      <c r="O223">
        <v>500</v>
      </c>
      <c r="P223">
        <v>0.2</v>
      </c>
      <c r="Q223">
        <v>0.6</v>
      </c>
      <c r="R223">
        <v>0</v>
      </c>
      <c r="S223">
        <v>0</v>
      </c>
      <c r="T223">
        <v>0</v>
      </c>
      <c r="U223">
        <v>0</v>
      </c>
      <c r="V223">
        <v>500</v>
      </c>
      <c r="W223">
        <v>0</v>
      </c>
      <c r="X223">
        <v>0</v>
      </c>
      <c r="Y223">
        <v>0</v>
      </c>
      <c r="Z223">
        <v>0</v>
      </c>
      <c r="AA223">
        <v>5878</v>
      </c>
      <c r="AB223">
        <v>4245</v>
      </c>
      <c r="AC223">
        <v>447</v>
      </c>
      <c r="AD223">
        <v>1.78</v>
      </c>
      <c r="AE223">
        <v>1200</v>
      </c>
      <c r="AF223">
        <v>0.6</v>
      </c>
      <c r="AG223">
        <v>0.2</v>
      </c>
      <c r="AH223">
        <v>0.064</v>
      </c>
      <c r="AI223">
        <v>204.15</v>
      </c>
      <c r="AJ223">
        <v>2.45</v>
      </c>
      <c r="AK223">
        <v>0</v>
      </c>
      <c r="AL223">
        <v>0</v>
      </c>
      <c r="AM223">
        <v>0</v>
      </c>
      <c r="AN223">
        <v>0</v>
      </c>
      <c r="AO223">
        <v>0</v>
      </c>
      <c r="AP223">
        <v>0.97</v>
      </c>
      <c r="AQ223">
        <v>0.233</v>
      </c>
      <c r="AR223">
        <v>0.375</v>
      </c>
      <c r="AS223" s="3">
        <v>46107.767743055556</v>
      </c>
    </row>
    <row r="224" ht="25.5" customHeight="1">
      <c r="A224" t="inlineStr">
        <is>
          <t>5d86f11c0000000001006722</t>
        </is>
      </c>
      <c r="B224" s="2" t="str">
        <f>=HYPERLINK("https://www.xiaohongshu.com/user/profile/5d86f11c0000000001006722", "https://www.xiaohongshu.com/user/profile/5d86f11c0000000001006722")</f>
        <v>https://www.xiaohongshu.com/user/profile/5d86f11c0000000001006722</v>
      </c>
      <c r="C224" s="2" t="str">
        <f>=HYPERLINK("https://pgy.xiaohongshu.com/solar/pre-trade/blogger-detail/5d86f11c0000000001006722", "https://pgy.xiaohongshu.com/solar/pre-trade/blogger-detail/5d86f11c0000000001006722")</f>
        <v>https://pgy.xiaohongshu.com/solar/pre-trade/blogger-detail/5d86f11c0000000001006722</v>
      </c>
      <c r="D224" t="inlineStr">
        <is>
          <t>女</t>
        </is>
      </c>
      <c r="E224" t="inlineStr">
        <is>
          <t>jookyzzang</t>
        </is>
      </c>
      <c r="F224" t="inlineStr">
        <is>
          <t>jooky要少说废话</t>
        </is>
      </c>
      <c r="G224" t="inlineStr">
        <is>
          <t>韩国</t>
        </is>
      </c>
      <c r="H224" t="inlineStr">
        <is>
          <t>海外华人, 独居人群, 留学背景, 学生</t>
        </is>
      </c>
      <c r="I224" t="inlineStr">
        <is>
          <t>教育, 生活记录</t>
        </is>
      </c>
      <c r="J224">
        <v>26970</v>
      </c>
      <c r="K224" t="inlineStr">
        <is>
          <t>2.7</t>
        </is>
      </c>
      <c r="L224">
        <v>27911</v>
      </c>
      <c r="M224">
        <v>5315</v>
      </c>
      <c r="N224">
        <v>749</v>
      </c>
      <c r="O224">
        <v>2000</v>
      </c>
      <c r="P224">
        <v>0</v>
      </c>
      <c r="Q224">
        <v>1</v>
      </c>
      <c r="R224">
        <v>0</v>
      </c>
      <c r="S224">
        <v>0</v>
      </c>
      <c r="T224">
        <v>0</v>
      </c>
      <c r="U224">
        <v>0</v>
      </c>
      <c r="V224">
        <v>2000</v>
      </c>
      <c r="W224">
        <v>0</v>
      </c>
      <c r="X224">
        <v>0</v>
      </c>
      <c r="Y224">
        <v>0</v>
      </c>
      <c r="Z224">
        <v>0</v>
      </c>
      <c r="AA224">
        <v>27911</v>
      </c>
      <c r="AB224">
        <v>5315</v>
      </c>
      <c r="AC224">
        <v>628</v>
      </c>
      <c r="AD224">
        <v>2.45</v>
      </c>
      <c r="AE224">
        <v>4300</v>
      </c>
      <c r="AF224">
        <v>1</v>
      </c>
      <c r="AG224">
        <v>0</v>
      </c>
      <c r="AH224">
        <v>0.085</v>
      </c>
      <c r="AI224">
        <v>171.07</v>
      </c>
      <c r="AJ224">
        <v>6.64</v>
      </c>
      <c r="AK224">
        <v>22362</v>
      </c>
      <c r="AL224">
        <v>3714</v>
      </c>
      <c r="AM224">
        <v>508</v>
      </c>
      <c r="AN224">
        <v>6</v>
      </c>
      <c r="AO224">
        <v>119.79</v>
      </c>
      <c r="AP224">
        <v>0.826</v>
      </c>
      <c r="AQ224">
        <v>0.0409999999999999</v>
      </c>
      <c r="AR224">
        <v>0.024</v>
      </c>
      <c r="AS224" s="3">
        <v>46107.767743055556</v>
      </c>
    </row>
    <row r="225" ht="25.5" customHeight="1">
      <c r="A225" t="inlineStr">
        <is>
          <t>684b7768000000001d015e27</t>
        </is>
      </c>
      <c r="B225" s="2" t="str">
        <f>=HYPERLINK("https://www.xiaohongshu.com/user/profile/684b7768000000001d015e27", "https://www.xiaohongshu.com/user/profile/684b7768000000001d015e27")</f>
        <v>https://www.xiaohongshu.com/user/profile/684b7768000000001d015e27</v>
      </c>
      <c r="C225" s="2" t="str">
        <f>=HYPERLINK("https://pgy.xiaohongshu.com/solar/pre-trade/blogger-detail/684b7768000000001d015e27", "https://pgy.xiaohongshu.com/solar/pre-trade/blogger-detail/684b7768000000001d015e27")</f>
        <v>https://pgy.xiaohongshu.com/solar/pre-trade/blogger-detail/684b7768000000001d015e27</v>
      </c>
      <c r="D225" t="inlineStr">
        <is>
          <t>女</t>
        </is>
      </c>
      <c r="E225" t="inlineStr">
        <is>
          <t>26188852632</t>
        </is>
      </c>
      <c r="F225" t="inlineStr">
        <is>
          <t>这是岚LAN</t>
        </is>
      </c>
      <c r="G225" t="inlineStr">
        <is>
          <t>日本</t>
        </is>
      </c>
      <c r="H225" t="inlineStr">
        <is>
          <t>学生, 留学背景, 海外华人, 独居人群</t>
        </is>
      </c>
      <c r="I225" t="inlineStr">
        <is>
          <t>教育, 生活记录</t>
        </is>
      </c>
      <c r="J225">
        <v>31357</v>
      </c>
      <c r="K225" t="inlineStr">
        <is>
          <t>3.1</t>
        </is>
      </c>
      <c r="L225">
        <v>30756</v>
      </c>
      <c r="M225">
        <v>13037</v>
      </c>
      <c r="N225">
        <v>1121</v>
      </c>
      <c r="O225">
        <v>500</v>
      </c>
      <c r="P225">
        <v>0.313</v>
      </c>
      <c r="Q225">
        <v>1</v>
      </c>
      <c r="R225">
        <v>0</v>
      </c>
      <c r="S225">
        <v>0</v>
      </c>
      <c r="T225">
        <v>0</v>
      </c>
      <c r="U225">
        <v>0</v>
      </c>
      <c r="V225">
        <v>500</v>
      </c>
      <c r="W225">
        <v>0</v>
      </c>
      <c r="X225">
        <v>0</v>
      </c>
      <c r="Y225">
        <v>0</v>
      </c>
      <c r="Z225">
        <v>0</v>
      </c>
      <c r="AA225">
        <v>30756</v>
      </c>
      <c r="AB225">
        <v>13037</v>
      </c>
      <c r="AC225">
        <v>1072</v>
      </c>
      <c r="AD225">
        <v>1.68</v>
      </c>
      <c r="AE225">
        <v>2300</v>
      </c>
      <c r="AF225">
        <v>1</v>
      </c>
      <c r="AG225">
        <v>0.313</v>
      </c>
      <c r="AH225">
        <v>0.144</v>
      </c>
      <c r="AI225">
        <v>74.78</v>
      </c>
      <c r="AJ225">
        <v>2.05</v>
      </c>
      <c r="AK225">
        <v>0</v>
      </c>
      <c r="AL225">
        <v>0</v>
      </c>
      <c r="AM225">
        <v>0</v>
      </c>
      <c r="AN225">
        <v>0</v>
      </c>
      <c r="AO225">
        <v>0</v>
      </c>
      <c r="AP225">
        <v>0.938</v>
      </c>
      <c r="AQ225">
        <v>0.149</v>
      </c>
      <c r="AR225">
        <v>0.052</v>
      </c>
      <c r="AS225" s="3">
        <v>46107.767743055556</v>
      </c>
    </row>
    <row r="226" ht="25.5" customHeight="1">
      <c r="A226" t="inlineStr">
        <is>
          <t>62a1bb9400000000190283e7</t>
        </is>
      </c>
      <c r="B226" s="2" t="str">
        <f>=HYPERLINK("https://www.xiaohongshu.com/user/profile/62a1bb9400000000190283e7", "https://www.xiaohongshu.com/user/profile/62a1bb9400000000190283e7")</f>
        <v>https://www.xiaohongshu.com/user/profile/62a1bb9400000000190283e7</v>
      </c>
      <c r="C226" s="2" t="str">
        <f>=HYPERLINK("https://pgy.xiaohongshu.com/solar/pre-trade/blogger-detail/62a1bb9400000000190283e7", "https://pgy.xiaohongshu.com/solar/pre-trade/blogger-detail/62a1bb9400000000190283e7")</f>
        <v>https://pgy.xiaohongshu.com/solar/pre-trade/blogger-detail/62a1bb9400000000190283e7</v>
      </c>
      <c r="D226" t="inlineStr">
        <is>
          <t>女</t>
        </is>
      </c>
      <c r="E226" t="inlineStr">
        <is>
          <t>5411347070</t>
        </is>
      </c>
      <c r="F226" t="inlineStr">
        <is>
          <t>yumaiii</t>
        </is>
      </c>
      <c r="G226" t="inlineStr">
        <is>
          <t>北京</t>
        </is>
      </c>
      <c r="H226" t="inlineStr">
        <is>
          <t>学生</t>
        </is>
      </c>
      <c r="I226" t="inlineStr">
        <is>
          <t>兴趣爱好, 教育</t>
        </is>
      </c>
      <c r="J226">
        <v>16108</v>
      </c>
      <c r="K226" t="inlineStr">
        <is>
          <t>1.6</t>
        </is>
      </c>
      <c r="L226">
        <v>10832</v>
      </c>
      <c r="M226">
        <v>2103</v>
      </c>
      <c r="N226">
        <v>211</v>
      </c>
      <c r="O226">
        <v>650</v>
      </c>
      <c r="P226">
        <v>0.133</v>
      </c>
      <c r="Q226">
        <v>0.7</v>
      </c>
      <c r="R226">
        <v>0</v>
      </c>
      <c r="S226">
        <v>0</v>
      </c>
      <c r="T226">
        <v>0</v>
      </c>
      <c r="U226">
        <v>0</v>
      </c>
      <c r="V226">
        <v>650</v>
      </c>
      <c r="W226">
        <v>0</v>
      </c>
      <c r="X226">
        <v>0</v>
      </c>
      <c r="Y226">
        <v>0</v>
      </c>
      <c r="Z226">
        <v>0</v>
      </c>
      <c r="AA226">
        <v>10832</v>
      </c>
      <c r="AB226">
        <v>2103</v>
      </c>
      <c r="AC226">
        <v>201</v>
      </c>
      <c r="AD226">
        <v>1.84</v>
      </c>
      <c r="AE226">
        <v>850</v>
      </c>
      <c r="AF226">
        <v>0.7</v>
      </c>
      <c r="AG226">
        <v>0.133</v>
      </c>
      <c r="AH226">
        <v>0.025</v>
      </c>
      <c r="AI226">
        <v>74.28</v>
      </c>
      <c r="AJ226">
        <v>2.67</v>
      </c>
      <c r="AK226">
        <v>41930</v>
      </c>
      <c r="AL226">
        <v>8447</v>
      </c>
      <c r="AM226">
        <v>1370</v>
      </c>
      <c r="AN226">
        <v>89</v>
      </c>
      <c r="AO226">
        <v>5.91</v>
      </c>
      <c r="AP226">
        <v>0.875999999999999</v>
      </c>
      <c r="AQ226">
        <v>0.159</v>
      </c>
      <c r="AR226">
        <v>0.168999999999999</v>
      </c>
      <c r="AS226" s="3">
        <v>46107.767743055556</v>
      </c>
    </row>
    <row r="227" ht="25.5" customHeight="1">
      <c r="A227" t="inlineStr">
        <is>
          <t>5ce01690000000001201f7fc</t>
        </is>
      </c>
      <c r="B227" s="2" t="str">
        <f>=HYPERLINK("https://www.xiaohongshu.com/user/profile/5ce01690000000001201f7fc", "https://www.xiaohongshu.com/user/profile/5ce01690000000001201f7fc")</f>
        <v>https://www.xiaohongshu.com/user/profile/5ce01690000000001201f7fc</v>
      </c>
      <c r="C227" s="2" t="str">
        <f>=HYPERLINK("https://pgy.xiaohongshu.com/solar/pre-trade/blogger-detail/5ce01690000000001201f7fc", "https://pgy.xiaohongshu.com/solar/pre-trade/blogger-detail/5ce01690000000001201f7fc")</f>
        <v>https://pgy.xiaohongshu.com/solar/pre-trade/blogger-detail/5ce01690000000001201f7fc</v>
      </c>
      <c r="D227" t="inlineStr">
        <is>
          <t>女</t>
        </is>
      </c>
      <c r="E227" t="inlineStr">
        <is>
          <t>354253373</t>
        </is>
      </c>
      <c r="F227" t="inlineStr">
        <is>
          <t>啵啵赚钱</t>
        </is>
      </c>
      <c r="G227" t="inlineStr">
        <is>
          <t>浙江 温州 龙港市</t>
        </is>
      </c>
      <c r="H227" t="inlineStr">
        <is>
          <t>学生</t>
        </is>
      </c>
      <c r="I227" t="inlineStr">
        <is>
          <t>教育</t>
        </is>
      </c>
      <c r="J227">
        <v>6950</v>
      </c>
      <c r="K227" t="inlineStr">
        <is>
          <t>0.7</t>
        </is>
      </c>
      <c r="L227">
        <v>15396</v>
      </c>
      <c r="M227">
        <v>2849</v>
      </c>
      <c r="N227">
        <v>227</v>
      </c>
      <c r="O227">
        <v>200</v>
      </c>
      <c r="P227">
        <v>0</v>
      </c>
      <c r="Q227">
        <v>0.5</v>
      </c>
      <c r="R227">
        <v>0</v>
      </c>
      <c r="S227">
        <v>0</v>
      </c>
      <c r="T227">
        <v>0</v>
      </c>
      <c r="U227">
        <v>0</v>
      </c>
      <c r="V227">
        <v>200</v>
      </c>
      <c r="W227">
        <v>0</v>
      </c>
      <c r="X227">
        <v>0</v>
      </c>
      <c r="Y227">
        <v>0</v>
      </c>
      <c r="Z227">
        <v>0</v>
      </c>
      <c r="AA227">
        <v>15396</v>
      </c>
      <c r="AB227">
        <v>2849</v>
      </c>
      <c r="AC227">
        <v>213</v>
      </c>
      <c r="AD227">
        <v>1.73</v>
      </c>
      <c r="AE227">
        <v>700</v>
      </c>
      <c r="AF227">
        <v>0.5</v>
      </c>
      <c r="AG227">
        <v>0</v>
      </c>
      <c r="AH227">
        <v>0.075</v>
      </c>
      <c r="AI227">
        <v>38.9</v>
      </c>
      <c r="AJ227">
        <v>2.33</v>
      </c>
      <c r="AK227">
        <v>22300</v>
      </c>
      <c r="AL227">
        <v>3103</v>
      </c>
      <c r="AM227">
        <v>799</v>
      </c>
      <c r="AN227">
        <v>0</v>
      </c>
      <c r="AO227">
        <v>0</v>
      </c>
      <c r="AP227">
        <v>0.660999999999999</v>
      </c>
      <c r="AQ227">
        <v>0.064</v>
      </c>
      <c r="AR227">
        <v>0.059</v>
      </c>
      <c r="AS227" s="3">
        <v>46107.767743055556</v>
      </c>
    </row>
    <row r="228" ht="25.5" customHeight="1">
      <c r="A228" t="inlineStr">
        <is>
          <t>66cc34b9000000000d024bd7</t>
        </is>
      </c>
      <c r="B228" s="2" t="str">
        <f>=HYPERLINK("https://www.xiaohongshu.com/user/profile/66cc34b9000000000d024bd7", "https://www.xiaohongshu.com/user/profile/66cc34b9000000000d024bd7")</f>
        <v>https://www.xiaohongshu.com/user/profile/66cc34b9000000000d024bd7</v>
      </c>
      <c r="C228" s="2" t="str">
        <f>=HYPERLINK("https://pgy.xiaohongshu.com/solar/pre-trade/blogger-detail/66cc34b9000000000d024bd7", "https://pgy.xiaohongshu.com/solar/pre-trade/blogger-detail/66cc34b9000000000d024bd7")</f>
        <v>https://pgy.xiaohongshu.com/solar/pre-trade/blogger-detail/66cc34b9000000000d024bd7</v>
      </c>
      <c r="D228" t="inlineStr">
        <is>
          <t>女</t>
        </is>
      </c>
      <c r="E228" t="inlineStr">
        <is>
          <t>95499908480</t>
        </is>
      </c>
      <c r="F228" t="inlineStr">
        <is>
          <t>小酌一杯</t>
        </is>
      </c>
      <c r="G228" t="inlineStr">
        <is>
          <t>广西 都安瑶族自治县</t>
        </is>
      </c>
      <c r="H228" t="inlineStr">
        <is>
          <t>学生</t>
        </is>
      </c>
      <c r="I228" t="inlineStr">
        <is>
          <t>教育</t>
        </is>
      </c>
      <c r="J228">
        <v>1965</v>
      </c>
      <c r="K228" t="inlineStr">
        <is>
          <t>0.2</t>
        </is>
      </c>
      <c r="L228">
        <v>2902</v>
      </c>
      <c r="M228">
        <v>1361</v>
      </c>
      <c r="N228">
        <v>239</v>
      </c>
      <c r="O228">
        <v>1000</v>
      </c>
      <c r="P228">
        <v>0.25</v>
      </c>
      <c r="Q228">
        <v>0.5</v>
      </c>
      <c r="R228">
        <v>0</v>
      </c>
      <c r="S228">
        <v>0</v>
      </c>
      <c r="T228">
        <v>0</v>
      </c>
      <c r="U228">
        <v>0</v>
      </c>
      <c r="V228">
        <v>0</v>
      </c>
      <c r="W228">
        <v>0</v>
      </c>
      <c r="X228">
        <v>0</v>
      </c>
      <c r="Y228">
        <v>0</v>
      </c>
      <c r="Z228">
        <v>0</v>
      </c>
      <c r="AA228">
        <v>2902</v>
      </c>
      <c r="AB228">
        <v>1361</v>
      </c>
      <c r="AC228">
        <v>231</v>
      </c>
      <c r="AD228">
        <v>2.23</v>
      </c>
      <c r="AE228">
        <v>1000</v>
      </c>
      <c r="AF228">
        <v>0.5</v>
      </c>
      <c r="AG228">
        <v>0.25</v>
      </c>
      <c r="AH228">
        <v>0.098</v>
      </c>
      <c r="AI228">
        <v>344.53</v>
      </c>
      <c r="AJ228">
        <v>4.18</v>
      </c>
      <c r="AK228">
        <v>0</v>
      </c>
      <c r="AL228">
        <v>0</v>
      </c>
      <c r="AM228">
        <v>0</v>
      </c>
      <c r="AN228">
        <v>0</v>
      </c>
      <c r="AO228">
        <v>0</v>
      </c>
      <c r="AP228">
        <v>0.895</v>
      </c>
      <c r="AQ228">
        <v>0.061</v>
      </c>
      <c r="AR228">
        <v>0.04</v>
      </c>
      <c r="AS228" s="3">
        <v>46107.767743055556</v>
      </c>
    </row>
    <row r="229" ht="25.5" customHeight="1">
      <c r="A229" t="inlineStr">
        <is>
          <t>6534b64b000000000301e69e</t>
        </is>
      </c>
      <c r="B229" s="2" t="str">
        <f>=HYPERLINK("https://www.xiaohongshu.com/user/profile/6534b64b000000000301e69e", "https://www.xiaohongshu.com/user/profile/6534b64b000000000301e69e")</f>
        <v>https://www.xiaohongshu.com/user/profile/6534b64b000000000301e69e</v>
      </c>
      <c r="C229" s="2" t="str">
        <f>=HYPERLINK("https://pgy.xiaohongshu.com/solar/pre-trade/blogger-detail/6534b64b000000000301e69e", "https://pgy.xiaohongshu.com/solar/pre-trade/blogger-detail/6534b64b000000000301e69e")</f>
        <v>https://pgy.xiaohongshu.com/solar/pre-trade/blogger-detail/6534b64b000000000301e69e</v>
      </c>
      <c r="D229" t="inlineStr">
        <is>
          <t>男</t>
        </is>
      </c>
      <c r="E229" t="inlineStr">
        <is>
          <t>laohu235235</t>
        </is>
      </c>
      <c r="F229" t="inlineStr">
        <is>
          <t>虎哥英语</t>
        </is>
      </c>
      <c r="G229" t="inlineStr">
        <is>
          <t>四川 成都 武侯区</t>
        </is>
      </c>
      <c r="H229" t="inlineStr">
        <is>
          <t>留学背景</t>
        </is>
      </c>
      <c r="I229" t="inlineStr">
        <is>
          <t>教育</t>
        </is>
      </c>
      <c r="J229">
        <v>30271</v>
      </c>
      <c r="K229" t="inlineStr">
        <is>
          <t>3.0</t>
        </is>
      </c>
      <c r="L229">
        <v>5220</v>
      </c>
      <c r="M229">
        <v>3014</v>
      </c>
      <c r="N229">
        <v>349</v>
      </c>
      <c r="O229">
        <v>800</v>
      </c>
      <c r="P229">
        <v>0.214</v>
      </c>
      <c r="Q229">
        <v>0.643</v>
      </c>
      <c r="R229">
        <v>0</v>
      </c>
      <c r="S229">
        <v>0</v>
      </c>
      <c r="T229">
        <v>0</v>
      </c>
      <c r="U229">
        <v>0</v>
      </c>
      <c r="V229">
        <v>800</v>
      </c>
      <c r="W229">
        <v>0</v>
      </c>
      <c r="X229">
        <v>0</v>
      </c>
      <c r="Y229">
        <v>0</v>
      </c>
      <c r="Z229">
        <v>0</v>
      </c>
      <c r="AA229">
        <v>5220</v>
      </c>
      <c r="AB229">
        <v>3014</v>
      </c>
      <c r="AC229">
        <v>310</v>
      </c>
      <c r="AD229">
        <v>2.1</v>
      </c>
      <c r="AE229">
        <v>1800</v>
      </c>
      <c r="AF229">
        <v>0.643</v>
      </c>
      <c r="AG229">
        <v>0.214</v>
      </c>
      <c r="AH229">
        <v>0.226999999999999</v>
      </c>
      <c r="AI229">
        <v>344.79</v>
      </c>
      <c r="AJ229">
        <v>5.16</v>
      </c>
      <c r="AK229">
        <v>0</v>
      </c>
      <c r="AL229">
        <v>0</v>
      </c>
      <c r="AM229">
        <v>0</v>
      </c>
      <c r="AN229">
        <v>0</v>
      </c>
      <c r="AO229">
        <v>0</v>
      </c>
      <c r="AP229">
        <v>0.981</v>
      </c>
      <c r="AQ229">
        <v>0.119</v>
      </c>
      <c r="AR229">
        <v>0.293</v>
      </c>
      <c r="AS229" s="3">
        <v>46107.767743055556</v>
      </c>
    </row>
    <row r="230" ht="25.5" customHeight="1">
      <c r="A230" t="inlineStr">
        <is>
          <t>5eac035300000000010032ac</t>
        </is>
      </c>
      <c r="B230" s="2" t="str">
        <f>=HYPERLINK("https://www.xiaohongshu.com/user/profile/5eac035300000000010032ac", "https://www.xiaohongshu.com/user/profile/5eac035300000000010032ac")</f>
        <v>https://www.xiaohongshu.com/user/profile/5eac035300000000010032ac</v>
      </c>
      <c r="C230" s="2" t="str">
        <f>=HYPERLINK("https://pgy.xiaohongshu.com/solar/pre-trade/blogger-detail/5eac035300000000010032ac", "https://pgy.xiaohongshu.com/solar/pre-trade/blogger-detail/5eac035300000000010032ac")</f>
        <v>https://pgy.xiaohongshu.com/solar/pre-trade/blogger-detail/5eac035300000000010032ac</v>
      </c>
      <c r="D230" t="inlineStr">
        <is>
          <t>女</t>
        </is>
      </c>
      <c r="E230" t="inlineStr">
        <is>
          <t>467607849</t>
        </is>
      </c>
      <c r="F230" t="inlineStr">
        <is>
          <t>懒羊羊大王睡不饱</t>
        </is>
      </c>
      <c r="G230" t="inlineStr">
        <is>
          <t>北京</t>
        </is>
      </c>
      <c r="H230" t="inlineStr">
        <is>
          <t>学生, 留学背景, 海外华人</t>
        </is>
      </c>
      <c r="I230" t="inlineStr">
        <is>
          <t>职场, 生活记录</t>
        </is>
      </c>
      <c r="J230">
        <v>14826</v>
      </c>
      <c r="K230" t="inlineStr">
        <is>
          <t>1.5</t>
        </is>
      </c>
      <c r="L230">
        <v>7816</v>
      </c>
      <c r="M230">
        <v>4873</v>
      </c>
      <c r="N230">
        <v>380</v>
      </c>
      <c r="O230">
        <v>1000</v>
      </c>
      <c r="P230">
        <v>0</v>
      </c>
      <c r="Q230">
        <v>0.5</v>
      </c>
      <c r="R230">
        <v>7047</v>
      </c>
      <c r="S230">
        <v>1143</v>
      </c>
      <c r="T230">
        <v>94</v>
      </c>
      <c r="U230">
        <v>0.77</v>
      </c>
      <c r="V230">
        <v>1000</v>
      </c>
      <c r="W230">
        <v>0</v>
      </c>
      <c r="X230">
        <v>0</v>
      </c>
      <c r="Y230">
        <v>89.18</v>
      </c>
      <c r="Z230">
        <v>0.8</v>
      </c>
      <c r="AA230">
        <v>8403</v>
      </c>
      <c r="AB230">
        <v>5471</v>
      </c>
      <c r="AC230">
        <v>530</v>
      </c>
      <c r="AD230">
        <v>1.87</v>
      </c>
      <c r="AE230">
        <v>1800</v>
      </c>
      <c r="AF230">
        <v>0.667</v>
      </c>
      <c r="AG230">
        <v>0</v>
      </c>
      <c r="AH230">
        <v>0.066</v>
      </c>
      <c r="AI230">
        <v>230.3</v>
      </c>
      <c r="AJ230">
        <v>4.73</v>
      </c>
      <c r="AK230">
        <v>9539</v>
      </c>
      <c r="AL230">
        <v>1818</v>
      </c>
      <c r="AM230">
        <v>287</v>
      </c>
      <c r="AN230">
        <v>0</v>
      </c>
      <c r="AO230">
        <v>0</v>
      </c>
      <c r="AP230">
        <v>0.894</v>
      </c>
      <c r="AQ230">
        <v>0.027</v>
      </c>
      <c r="AR230">
        <v>0.203</v>
      </c>
      <c r="AS230" s="3">
        <v>46107.767743055556</v>
      </c>
    </row>
    <row r="231" ht="25.5" customHeight="1">
      <c r="A231" t="inlineStr">
        <is>
          <t>681e0f71000000000a03ff1d</t>
        </is>
      </c>
      <c r="B231" s="2" t="str">
        <f>=HYPERLINK("https://www.xiaohongshu.com/user/profile/681e0f71000000000a03ff1d", "https://www.xiaohongshu.com/user/profile/681e0f71000000000a03ff1d")</f>
        <v>https://www.xiaohongshu.com/user/profile/681e0f71000000000a03ff1d</v>
      </c>
      <c r="C231" s="2" t="str">
        <f>=HYPERLINK("https://pgy.xiaohongshu.com/solar/pre-trade/blogger-detail/681e0f71000000000a03ff1d", "https://pgy.xiaohongshu.com/solar/pre-trade/blogger-detail/681e0f71000000000a03ff1d")</f>
        <v>https://pgy.xiaohongshu.com/solar/pre-trade/blogger-detail/681e0f71000000000a03ff1d</v>
      </c>
      <c r="D231" t="inlineStr">
        <is>
          <t>女</t>
        </is>
      </c>
      <c r="E231" t="inlineStr">
        <is>
          <t>95051285925</t>
        </is>
      </c>
      <c r="F231" t="inlineStr">
        <is>
          <t>艾米不吃蛋奶酥</t>
        </is>
      </c>
      <c r="G231" t="inlineStr">
        <is>
          <t>美国</t>
        </is>
      </c>
      <c r="H231"/>
      <c r="I231" t="inlineStr">
        <is>
          <t>教育</t>
        </is>
      </c>
      <c r="J231">
        <v>16448</v>
      </c>
      <c r="K231" t="inlineStr">
        <is>
          <t>1.6</t>
        </is>
      </c>
      <c r="L231">
        <v>32418</v>
      </c>
      <c r="M231">
        <v>7349</v>
      </c>
      <c r="N231">
        <v>466</v>
      </c>
      <c r="O231">
        <v>1500</v>
      </c>
      <c r="P231">
        <v>0</v>
      </c>
      <c r="Q231">
        <v>1</v>
      </c>
      <c r="R231">
        <v>32418</v>
      </c>
      <c r="S231">
        <v>7349</v>
      </c>
      <c r="T231">
        <v>436</v>
      </c>
      <c r="U231">
        <v>0.53</v>
      </c>
      <c r="V231">
        <v>1500</v>
      </c>
      <c r="W231">
        <v>1</v>
      </c>
      <c r="X231">
        <v>0</v>
      </c>
      <c r="Y231">
        <v>46.27</v>
      </c>
      <c r="Z231">
        <v>3.22</v>
      </c>
      <c r="AA231">
        <v>0</v>
      </c>
      <c r="AB231">
        <v>0</v>
      </c>
      <c r="AC231">
        <v>0</v>
      </c>
      <c r="AD231">
        <v>0</v>
      </c>
      <c r="AE231">
        <v>2500</v>
      </c>
      <c r="AF231">
        <v>0</v>
      </c>
      <c r="AG231">
        <v>0</v>
      </c>
      <c r="AH231">
        <v>0</v>
      </c>
      <c r="AI231">
        <v>0</v>
      </c>
      <c r="AJ231">
        <v>0</v>
      </c>
      <c r="AK231">
        <v>27538</v>
      </c>
      <c r="AL231">
        <v>5558</v>
      </c>
      <c r="AM231">
        <v>441</v>
      </c>
      <c r="AN231">
        <v>0</v>
      </c>
      <c r="AO231">
        <v>0</v>
      </c>
      <c r="AP231">
        <v>0.955</v>
      </c>
      <c r="AQ231">
        <v>0.125</v>
      </c>
      <c r="AR231">
        <v>0.03</v>
      </c>
      <c r="AS231" s="3">
        <v>46107.767743055556</v>
      </c>
    </row>
    <row r="232" ht="25.5" customHeight="1">
      <c r="A232" t="inlineStr">
        <is>
          <t>5acc96a911be1002cdc6703b</t>
        </is>
      </c>
      <c r="B232" s="2" t="str">
        <f>=HYPERLINK("https://www.xiaohongshu.com/user/profile/5acc96a911be1002cdc6703b", "https://www.xiaohongshu.com/user/profile/5acc96a911be1002cdc6703b")</f>
        <v>https://www.xiaohongshu.com/user/profile/5acc96a911be1002cdc6703b</v>
      </c>
      <c r="C232" s="2" t="str">
        <f>=HYPERLINK("https://pgy.xiaohongshu.com/solar/pre-trade/blogger-detail/5acc96a911be1002cdc6703b", "https://pgy.xiaohongshu.com/solar/pre-trade/blogger-detail/5acc96a911be1002cdc6703b")</f>
        <v>https://pgy.xiaohongshu.com/solar/pre-trade/blogger-detail/5acc96a911be1002cdc6703b</v>
      </c>
      <c r="D232" t="inlineStr">
        <is>
          <t>女</t>
        </is>
      </c>
      <c r="E232" t="inlineStr">
        <is>
          <t>959055090</t>
        </is>
      </c>
      <c r="F232" t="inlineStr">
        <is>
          <t>椅女士</t>
        </is>
      </c>
      <c r="G232" t="inlineStr">
        <is>
          <t>重庆</t>
        </is>
      </c>
      <c r="H232"/>
      <c r="I232" t="inlineStr">
        <is>
          <t>教育</t>
        </is>
      </c>
      <c r="J232">
        <v>5242</v>
      </c>
      <c r="K232" t="inlineStr">
        <is>
          <t>0.5</t>
        </is>
      </c>
      <c r="L232">
        <v>7578</v>
      </c>
      <c r="M232">
        <v>1275</v>
      </c>
      <c r="N232">
        <v>266</v>
      </c>
      <c r="O232">
        <v>498</v>
      </c>
      <c r="P232">
        <v>0</v>
      </c>
      <c r="Q232">
        <v>1</v>
      </c>
      <c r="R232">
        <v>7578</v>
      </c>
      <c r="S232">
        <v>1275</v>
      </c>
      <c r="T232">
        <v>243</v>
      </c>
      <c r="U232">
        <v>0.69</v>
      </c>
      <c r="V232">
        <v>498</v>
      </c>
      <c r="W232">
        <v>1</v>
      </c>
      <c r="X232">
        <v>0</v>
      </c>
      <c r="Y232">
        <v>65.72</v>
      </c>
      <c r="Z232">
        <v>1.87</v>
      </c>
      <c r="AA232">
        <v>0</v>
      </c>
      <c r="AB232">
        <v>0</v>
      </c>
      <c r="AC232">
        <v>0</v>
      </c>
      <c r="AD232">
        <v>0</v>
      </c>
      <c r="AE232">
        <v>0</v>
      </c>
      <c r="AF232">
        <v>0</v>
      </c>
      <c r="AG232">
        <v>0</v>
      </c>
      <c r="AH232">
        <v>0</v>
      </c>
      <c r="AI232">
        <v>0</v>
      </c>
      <c r="AJ232">
        <v>0</v>
      </c>
      <c r="AK232">
        <v>0</v>
      </c>
      <c r="AL232">
        <v>0</v>
      </c>
      <c r="AM232">
        <v>0</v>
      </c>
      <c r="AN232">
        <v>0</v>
      </c>
      <c r="AO232">
        <v>0</v>
      </c>
      <c r="AP232">
        <v>0.954</v>
      </c>
      <c r="AQ232">
        <v>0.155</v>
      </c>
      <c r="AR232">
        <v>0.099</v>
      </c>
      <c r="AS232" s="3">
        <v>46107.767743055556</v>
      </c>
    </row>
    <row r="233" ht="25.5" customHeight="1">
      <c r="A233" t="inlineStr">
        <is>
          <t>62aae2fb000000001b028655</t>
        </is>
      </c>
      <c r="B233" s="2" t="str">
        <f>=HYPERLINK("https://www.xiaohongshu.com/user/profile/62aae2fb000000001b028655", "https://www.xiaohongshu.com/user/profile/62aae2fb000000001b028655")</f>
        <v>https://www.xiaohongshu.com/user/profile/62aae2fb000000001b028655</v>
      </c>
      <c r="C233" s="2" t="str">
        <f>=HYPERLINK("https://pgy.xiaohongshu.com/solar/pre-trade/blogger-detail/62aae2fb000000001b028655", "https://pgy.xiaohongshu.com/solar/pre-trade/blogger-detail/62aae2fb000000001b028655")</f>
        <v>https://pgy.xiaohongshu.com/solar/pre-trade/blogger-detail/62aae2fb000000001b028655</v>
      </c>
      <c r="D233" t="inlineStr">
        <is>
          <t>女</t>
        </is>
      </c>
      <c r="E233" t="inlineStr">
        <is>
          <t>1560274429</t>
        </is>
      </c>
      <c r="F233" t="inlineStr">
        <is>
          <t>是Ricky竹竹呀</t>
        </is>
      </c>
      <c r="G233" t="inlineStr">
        <is>
          <t>四川 绵阳 涪城区</t>
        </is>
      </c>
      <c r="H233"/>
      <c r="I233" t="inlineStr">
        <is>
          <t>教育</t>
        </is>
      </c>
      <c r="J233">
        <v>10021</v>
      </c>
      <c r="K233" t="inlineStr">
        <is>
          <t>1.0</t>
        </is>
      </c>
      <c r="L233">
        <v>3234</v>
      </c>
      <c r="M233">
        <v>1380</v>
      </c>
      <c r="N233">
        <v>294</v>
      </c>
      <c r="O233">
        <v>186</v>
      </c>
      <c r="P233">
        <v>0</v>
      </c>
      <c r="Q233">
        <v>1</v>
      </c>
      <c r="R233">
        <v>0</v>
      </c>
      <c r="S233">
        <v>0</v>
      </c>
      <c r="T233">
        <v>0</v>
      </c>
      <c r="U233">
        <v>0</v>
      </c>
      <c r="V233">
        <v>186</v>
      </c>
      <c r="W233">
        <v>0</v>
      </c>
      <c r="X233">
        <v>0</v>
      </c>
      <c r="Y233">
        <v>0</v>
      </c>
      <c r="Z233">
        <v>0</v>
      </c>
      <c r="AA233">
        <v>3234</v>
      </c>
      <c r="AB233">
        <v>1380</v>
      </c>
      <c r="AC233">
        <v>290</v>
      </c>
      <c r="AD233">
        <v>2.06</v>
      </c>
      <c r="AE233">
        <v>1500</v>
      </c>
      <c r="AF233">
        <v>1</v>
      </c>
      <c r="AG233">
        <v>0</v>
      </c>
      <c r="AH233">
        <v>0.12</v>
      </c>
      <c r="AI233">
        <v>297.62</v>
      </c>
      <c r="AJ233">
        <v>4.06</v>
      </c>
      <c r="AK233">
        <v>55479</v>
      </c>
      <c r="AL233">
        <v>9394</v>
      </c>
      <c r="AM233">
        <v>3073</v>
      </c>
      <c r="AN233">
        <v>0</v>
      </c>
      <c r="AO233">
        <v>0</v>
      </c>
      <c r="AP233">
        <v>0.893</v>
      </c>
      <c r="AQ233">
        <v>0.059</v>
      </c>
      <c r="AR233">
        <v>0.021</v>
      </c>
      <c r="AS233" s="3">
        <v>46107.767743055556</v>
      </c>
    </row>
    <row r="234" ht="25.5" customHeight="1">
      <c r="A234" t="inlineStr">
        <is>
          <t>6134acc40000000002022c25</t>
        </is>
      </c>
      <c r="B234" s="2" t="str">
        <f>=HYPERLINK("https://www.xiaohongshu.com/user/profile/6134acc40000000002022c25", "https://www.xiaohongshu.com/user/profile/6134acc40000000002022c25")</f>
        <v>https://www.xiaohongshu.com/user/profile/6134acc40000000002022c25</v>
      </c>
      <c r="C234" s="2" t="str">
        <f>=HYPERLINK("https://pgy.xiaohongshu.com/solar/pre-trade/blogger-detail/6134acc40000000002022c25", "https://pgy.xiaohongshu.com/solar/pre-trade/blogger-detail/6134acc40000000002022c25")</f>
        <v>https://pgy.xiaohongshu.com/solar/pre-trade/blogger-detail/6134acc40000000002022c25</v>
      </c>
      <c r="D234" t="inlineStr">
        <is>
          <t>女</t>
        </is>
      </c>
      <c r="E234" t="inlineStr">
        <is>
          <t>4928935372</t>
        </is>
      </c>
      <c r="F234" t="inlineStr">
        <is>
          <t>喜欢学习的小花熊</t>
        </is>
      </c>
      <c r="G234" t="inlineStr">
        <is>
          <t>山东 济南 历下区</t>
        </is>
      </c>
      <c r="H234" t="inlineStr">
        <is>
          <t>学生</t>
        </is>
      </c>
      <c r="I234" t="inlineStr">
        <is>
          <t>教育</t>
        </is>
      </c>
      <c r="J234">
        <v>41051</v>
      </c>
      <c r="K234" t="inlineStr">
        <is>
          <t>4.1</t>
        </is>
      </c>
      <c r="L234">
        <v>13459</v>
      </c>
      <c r="M234">
        <v>2006</v>
      </c>
      <c r="N234">
        <v>507</v>
      </c>
      <c r="O234">
        <v>1400</v>
      </c>
      <c r="P234">
        <v>0.25</v>
      </c>
      <c r="Q234">
        <v>1</v>
      </c>
      <c r="R234">
        <v>13459</v>
      </c>
      <c r="S234">
        <v>2006</v>
      </c>
      <c r="T234">
        <v>480</v>
      </c>
      <c r="U234">
        <v>1.11</v>
      </c>
      <c r="V234">
        <v>1400</v>
      </c>
      <c r="W234">
        <v>1</v>
      </c>
      <c r="X234">
        <v>0.25</v>
      </c>
      <c r="Y234">
        <v>121.46</v>
      </c>
      <c r="Z234">
        <v>6.25</v>
      </c>
      <c r="AA234">
        <v>0</v>
      </c>
      <c r="AB234">
        <v>0</v>
      </c>
      <c r="AC234">
        <v>0</v>
      </c>
      <c r="AD234">
        <v>0</v>
      </c>
      <c r="AE234">
        <v>2300</v>
      </c>
      <c r="AF234">
        <v>0</v>
      </c>
      <c r="AG234">
        <v>0</v>
      </c>
      <c r="AH234">
        <v>0</v>
      </c>
      <c r="AI234">
        <v>0</v>
      </c>
      <c r="AJ234">
        <v>0</v>
      </c>
      <c r="AK234">
        <v>7836</v>
      </c>
      <c r="AL234">
        <v>864</v>
      </c>
      <c r="AM234">
        <v>78</v>
      </c>
      <c r="AN234">
        <v>0</v>
      </c>
      <c r="AO234">
        <v>44.09</v>
      </c>
      <c r="AP234">
        <v>0.734</v>
      </c>
      <c r="AQ234">
        <v>0.04</v>
      </c>
      <c r="AR234">
        <v>0.015</v>
      </c>
      <c r="AS234" s="3">
        <v>46107.767743055556</v>
      </c>
    </row>
    <row r="235" ht="25.5" customHeight="1">
      <c r="A235" t="inlineStr">
        <is>
          <t>6846ff20000000001d009e4d</t>
        </is>
      </c>
      <c r="B235" s="2" t="str">
        <f>=HYPERLINK("https://www.xiaohongshu.com/user/profile/6846ff20000000001d009e4d", "https://www.xiaohongshu.com/user/profile/6846ff20000000001d009e4d")</f>
        <v>https://www.xiaohongshu.com/user/profile/6846ff20000000001d009e4d</v>
      </c>
      <c r="C235" s="2" t="str">
        <f>=HYPERLINK("https://pgy.xiaohongshu.com/solar/pre-trade/blogger-detail/6846ff20000000001d009e4d", "https://pgy.xiaohongshu.com/solar/pre-trade/blogger-detail/6846ff20000000001d009e4d")</f>
        <v>https://pgy.xiaohongshu.com/solar/pre-trade/blogger-detail/6846ff20000000001d009e4d</v>
      </c>
      <c r="D235" t="inlineStr">
        <is>
          <t>女</t>
        </is>
      </c>
      <c r="E235" t="inlineStr">
        <is>
          <t>27491957409</t>
        </is>
      </c>
      <c r="F235" t="inlineStr">
        <is>
          <t>lydia61</t>
        </is>
      </c>
      <c r="G235" t="inlineStr">
        <is>
          <t>山东 潍坊 坊子区</t>
        </is>
      </c>
      <c r="H235" t="inlineStr">
        <is>
          <t>学生, 留学背景</t>
        </is>
      </c>
      <c r="I235" t="inlineStr">
        <is>
          <t>兴趣爱好, 教育</t>
        </is>
      </c>
      <c r="J235">
        <v>2933</v>
      </c>
      <c r="K235" t="inlineStr">
        <is>
          <t>0.3</t>
        </is>
      </c>
      <c r="L235">
        <v>11189</v>
      </c>
      <c r="M235">
        <v>2052</v>
      </c>
      <c r="N235">
        <v>434</v>
      </c>
      <c r="O235">
        <v>280</v>
      </c>
      <c r="P235">
        <v>0</v>
      </c>
      <c r="Q235">
        <v>1</v>
      </c>
      <c r="R235">
        <v>0</v>
      </c>
      <c r="S235">
        <v>0</v>
      </c>
      <c r="T235">
        <v>0</v>
      </c>
      <c r="U235">
        <v>0</v>
      </c>
      <c r="V235">
        <v>300</v>
      </c>
      <c r="W235">
        <v>0</v>
      </c>
      <c r="X235">
        <v>0</v>
      </c>
      <c r="Y235">
        <v>0</v>
      </c>
      <c r="Z235">
        <v>0</v>
      </c>
      <c r="AA235">
        <v>11189</v>
      </c>
      <c r="AB235">
        <v>2052</v>
      </c>
      <c r="AC235">
        <v>411</v>
      </c>
      <c r="AD235">
        <v>1.63</v>
      </c>
      <c r="AE235">
        <v>280</v>
      </c>
      <c r="AF235">
        <v>1</v>
      </c>
      <c r="AG235">
        <v>0</v>
      </c>
      <c r="AH235">
        <v>0.116999999999999</v>
      </c>
      <c r="AI235">
        <v>50.15</v>
      </c>
      <c r="AJ235">
        <v>0.72</v>
      </c>
      <c r="AK235">
        <v>5501</v>
      </c>
      <c r="AL235">
        <v>2253</v>
      </c>
      <c r="AM235">
        <v>357</v>
      </c>
      <c r="AN235">
        <v>0</v>
      </c>
      <c r="AO235">
        <v>4.77</v>
      </c>
      <c r="AP235">
        <v>0.947</v>
      </c>
      <c r="AQ235">
        <v>0.231999999999999</v>
      </c>
      <c r="AR235">
        <v>0.364</v>
      </c>
      <c r="AS235" s="3">
        <v>46107.767743055556</v>
      </c>
    </row>
    <row r="236" ht="25.5" customHeight="1">
      <c r="A236" t="inlineStr">
        <is>
          <t>5ec933fb0000000001000dc6</t>
        </is>
      </c>
      <c r="B236" s="2" t="str">
        <f>=HYPERLINK("https://www.xiaohongshu.com/user/profile/5ec933fb0000000001000dc6", "https://www.xiaohongshu.com/user/profile/5ec933fb0000000001000dc6")</f>
        <v>https://www.xiaohongshu.com/user/profile/5ec933fb0000000001000dc6</v>
      </c>
      <c r="C236" s="2" t="str">
        <f>=HYPERLINK("https://pgy.xiaohongshu.com/solar/pre-trade/blogger-detail/5ec933fb0000000001000dc6", "https://pgy.xiaohongshu.com/solar/pre-trade/blogger-detail/5ec933fb0000000001000dc6")</f>
        <v>https://pgy.xiaohongshu.com/solar/pre-trade/blogger-detail/5ec933fb0000000001000dc6</v>
      </c>
      <c r="D236" t="inlineStr">
        <is>
          <t>女</t>
        </is>
      </c>
      <c r="E236" t="inlineStr">
        <is>
          <t>HereToday_</t>
        </is>
      </c>
      <c r="F236" t="inlineStr">
        <is>
          <t>好运猪猪头</t>
        </is>
      </c>
      <c r="G236" t="inlineStr">
        <is>
          <t>英国</t>
        </is>
      </c>
      <c r="H236" t="inlineStr">
        <is>
          <t>留学背景, 海外华人, 学生, 情侣</t>
        </is>
      </c>
      <c r="I236" t="inlineStr">
        <is>
          <t>教育</t>
        </is>
      </c>
      <c r="J236">
        <v>66825</v>
      </c>
      <c r="K236" t="inlineStr">
        <is>
          <t>6.7</t>
        </is>
      </c>
      <c r="L236">
        <v>39003</v>
      </c>
      <c r="M236">
        <v>14626</v>
      </c>
      <c r="N236">
        <v>669</v>
      </c>
      <c r="O236">
        <v>8800</v>
      </c>
      <c r="P236">
        <v>0.166999999999999</v>
      </c>
      <c r="Q236">
        <v>1</v>
      </c>
      <c r="R236">
        <v>0</v>
      </c>
      <c r="S236">
        <v>0</v>
      </c>
      <c r="T236">
        <v>0</v>
      </c>
      <c r="U236">
        <v>0</v>
      </c>
      <c r="V236">
        <v>8800</v>
      </c>
      <c r="W236">
        <v>0</v>
      </c>
      <c r="X236">
        <v>0</v>
      </c>
      <c r="Y236">
        <v>0</v>
      </c>
      <c r="Z236">
        <v>0</v>
      </c>
      <c r="AA236">
        <v>39003</v>
      </c>
      <c r="AB236">
        <v>14626</v>
      </c>
      <c r="AC236">
        <v>674</v>
      </c>
      <c r="AD236">
        <v>1.97</v>
      </c>
      <c r="AE236">
        <v>9800</v>
      </c>
      <c r="AF236">
        <v>1</v>
      </c>
      <c r="AG236">
        <v>0.166999999999999</v>
      </c>
      <c r="AH236">
        <v>0.196999999999999</v>
      </c>
      <c r="AI236">
        <v>223.46</v>
      </c>
      <c r="AJ236">
        <v>14.06</v>
      </c>
      <c r="AK236">
        <v>115317</v>
      </c>
      <c r="AL236">
        <v>25371</v>
      </c>
      <c r="AM236">
        <v>1452</v>
      </c>
      <c r="AN236">
        <v>0</v>
      </c>
      <c r="AO236">
        <v>0</v>
      </c>
      <c r="AP236">
        <v>0.695</v>
      </c>
      <c r="AQ236">
        <v>0.033</v>
      </c>
      <c r="AR236">
        <v>0.012</v>
      </c>
      <c r="AS236" s="3">
        <v>46107.767743055556</v>
      </c>
    </row>
    <row r="237" ht="25.5" customHeight="1">
      <c r="A237" t="inlineStr">
        <is>
          <t>621262ea000000001000c058</t>
        </is>
      </c>
      <c r="B237" s="2" t="str">
        <f>=HYPERLINK("https://www.xiaohongshu.com/user/profile/621262ea000000001000c058", "https://www.xiaohongshu.com/user/profile/621262ea000000001000c058")</f>
        <v>https://www.xiaohongshu.com/user/profile/621262ea000000001000c058</v>
      </c>
      <c r="C237" s="2" t="str">
        <f>=HYPERLINK("https://pgy.xiaohongshu.com/solar/pre-trade/blogger-detail/621262ea000000001000c058", "https://pgy.xiaohongshu.com/solar/pre-trade/blogger-detail/621262ea000000001000c058")</f>
        <v>https://pgy.xiaohongshu.com/solar/pre-trade/blogger-detail/621262ea000000001000c058</v>
      </c>
      <c r="D237" t="inlineStr">
        <is>
          <t>女</t>
        </is>
      </c>
      <c r="E237" t="inlineStr">
        <is>
          <t>Jierensheng61</t>
        </is>
      </c>
      <c r="F237" t="inlineStr">
        <is>
          <t>诘忍生</t>
        </is>
      </c>
      <c r="G237" t="inlineStr">
        <is>
          <t>英国</t>
        </is>
      </c>
      <c r="H237" t="inlineStr">
        <is>
          <t>学生, 海外华人</t>
        </is>
      </c>
      <c r="I237" t="inlineStr">
        <is>
          <t>教育, 生活记录</t>
        </is>
      </c>
      <c r="J237">
        <v>372674</v>
      </c>
      <c r="K237" t="inlineStr">
        <is>
          <t>37.3</t>
        </is>
      </c>
      <c r="L237">
        <v>183315</v>
      </c>
      <c r="M237">
        <v>59237</v>
      </c>
      <c r="N237">
        <v>5538</v>
      </c>
      <c r="O237">
        <v>35000</v>
      </c>
      <c r="P237">
        <v>0.857</v>
      </c>
      <c r="Q237">
        <v>1</v>
      </c>
      <c r="R237">
        <v>199692</v>
      </c>
      <c r="S237">
        <v>38395</v>
      </c>
      <c r="T237">
        <v>5295</v>
      </c>
      <c r="U237">
        <v>1.21</v>
      </c>
      <c r="V237">
        <v>35000</v>
      </c>
      <c r="W237">
        <v>1</v>
      </c>
      <c r="X237">
        <v>1</v>
      </c>
      <c r="Y237">
        <v>175.27</v>
      </c>
      <c r="Z237">
        <v>6.56</v>
      </c>
      <c r="AA237">
        <v>175809</v>
      </c>
      <c r="AB237">
        <v>68931</v>
      </c>
      <c r="AC237">
        <v>6244</v>
      </c>
      <c r="AD237">
        <v>2.28</v>
      </c>
      <c r="AE237">
        <v>44000</v>
      </c>
      <c r="AF237">
        <v>1</v>
      </c>
      <c r="AG237">
        <v>0.85</v>
      </c>
      <c r="AH237">
        <v>0.326</v>
      </c>
      <c r="AI237">
        <v>261.43</v>
      </c>
      <c r="AJ237">
        <v>8.15</v>
      </c>
      <c r="AK237">
        <v>238455</v>
      </c>
      <c r="AL237">
        <v>31208</v>
      </c>
      <c r="AM237">
        <v>4049</v>
      </c>
      <c r="AN237">
        <v>362</v>
      </c>
      <c r="AO237">
        <v>51.02</v>
      </c>
      <c r="AP237">
        <v>0.865</v>
      </c>
      <c r="AQ237">
        <v>0.131</v>
      </c>
      <c r="AR237">
        <v>0.04</v>
      </c>
      <c r="AS237" s="3">
        <v>46107.767743055556</v>
      </c>
    </row>
    <row r="238" ht="25.5" customHeight="1">
      <c r="A238" t="inlineStr">
        <is>
          <t>5bba33716ccde0000174ef75</t>
        </is>
      </c>
      <c r="B238" s="2" t="str">
        <f>=HYPERLINK("https://www.xiaohongshu.com/user/profile/5bba33716ccde0000174ef75", "https://www.xiaohongshu.com/user/profile/5bba33716ccde0000174ef75")</f>
        <v>https://www.xiaohongshu.com/user/profile/5bba33716ccde0000174ef75</v>
      </c>
      <c r="C238" s="2" t="str">
        <f>=HYPERLINK("https://pgy.xiaohongshu.com/solar/pre-trade/blogger-detail/5bba33716ccde0000174ef75", "https://pgy.xiaohongshu.com/solar/pre-trade/blogger-detail/5bba33716ccde0000174ef75")</f>
        <v>https://pgy.xiaohongshu.com/solar/pre-trade/blogger-detail/5bba33716ccde0000174ef75</v>
      </c>
      <c r="D238" t="inlineStr">
        <is>
          <t>女</t>
        </is>
      </c>
      <c r="E238" t="inlineStr">
        <is>
          <t>153455948</t>
        </is>
      </c>
      <c r="F238" t="inlineStr">
        <is>
          <t>MANI&amp;English</t>
        </is>
      </c>
      <c r="G238" t="inlineStr">
        <is>
          <t>四川 成都 金牛区</t>
        </is>
      </c>
      <c r="H238"/>
      <c r="I238" t="inlineStr">
        <is>
          <t>教育</t>
        </is>
      </c>
      <c r="J238">
        <v>225354</v>
      </c>
      <c r="K238" t="inlineStr">
        <is>
          <t>22.5</t>
        </is>
      </c>
      <c r="L238">
        <v>16759</v>
      </c>
      <c r="M238">
        <v>3925</v>
      </c>
      <c r="N238">
        <v>519</v>
      </c>
      <c r="O238">
        <v>15000</v>
      </c>
      <c r="P238">
        <v>0</v>
      </c>
      <c r="Q238">
        <v>1</v>
      </c>
      <c r="R238">
        <v>0</v>
      </c>
      <c r="S238">
        <v>0</v>
      </c>
      <c r="T238">
        <v>0</v>
      </c>
      <c r="U238">
        <v>0</v>
      </c>
      <c r="V238">
        <v>0</v>
      </c>
      <c r="W238">
        <v>0</v>
      </c>
      <c r="X238">
        <v>0</v>
      </c>
      <c r="Y238">
        <v>0</v>
      </c>
      <c r="Z238">
        <v>0</v>
      </c>
      <c r="AA238">
        <v>16759</v>
      </c>
      <c r="AB238">
        <v>3925</v>
      </c>
      <c r="AC238">
        <v>492</v>
      </c>
      <c r="AD238">
        <v>5.32</v>
      </c>
      <c r="AE238">
        <v>15000</v>
      </c>
      <c r="AF238">
        <v>1</v>
      </c>
      <c r="AG238">
        <v>0</v>
      </c>
      <c r="AH238">
        <v>0.233999999999999</v>
      </c>
      <c r="AI238">
        <v>895.04</v>
      </c>
      <c r="AJ238">
        <v>28.9</v>
      </c>
      <c r="AK238">
        <v>0</v>
      </c>
      <c r="AL238">
        <v>0</v>
      </c>
      <c r="AM238">
        <v>0</v>
      </c>
      <c r="AN238">
        <v>0</v>
      </c>
      <c r="AO238">
        <v>0</v>
      </c>
      <c r="AP238">
        <v>0.777</v>
      </c>
      <c r="AQ238">
        <v>0.006</v>
      </c>
      <c r="AR238">
        <v>0.004</v>
      </c>
      <c r="AS238" s="3">
        <v>46107.767743055556</v>
      </c>
    </row>
    <row r="239" ht="25.5" customHeight="1">
      <c r="A239" t="inlineStr">
        <is>
          <t>61ea406b0000000021023c68</t>
        </is>
      </c>
      <c r="B239" s="2" t="str">
        <f>=HYPERLINK("https://www.xiaohongshu.com/user/profile/61ea406b0000000021023c68", "https://www.xiaohongshu.com/user/profile/61ea406b0000000021023c68")</f>
        <v>https://www.xiaohongshu.com/user/profile/61ea406b0000000021023c68</v>
      </c>
      <c r="C239" s="2" t="str">
        <f>=HYPERLINK("https://pgy.xiaohongshu.com/solar/pre-trade/blogger-detail/61ea406b0000000021023c68", "https://pgy.xiaohongshu.com/solar/pre-trade/blogger-detail/61ea406b0000000021023c68")</f>
        <v>https://pgy.xiaohongshu.com/solar/pre-trade/blogger-detail/61ea406b0000000021023c68</v>
      </c>
      <c r="D239" t="inlineStr">
        <is>
          <t>男</t>
        </is>
      </c>
      <c r="E239" t="inlineStr">
        <is>
          <t>O_S_T_X</t>
        </is>
      </c>
      <c r="F239" t="inlineStr">
        <is>
          <t>十五加一_</t>
        </is>
      </c>
      <c r="G239" t="inlineStr">
        <is>
          <t>江西 上饶 信州区</t>
        </is>
      </c>
      <c r="H239" t="inlineStr">
        <is>
          <t>考研过来人, 数码爱好者, 学生</t>
        </is>
      </c>
      <c r="I239" t="inlineStr">
        <is>
          <t>教育</t>
        </is>
      </c>
      <c r="J239">
        <v>30771</v>
      </c>
      <c r="K239" t="inlineStr">
        <is>
          <t>3.1</t>
        </is>
      </c>
      <c r="L239">
        <v>13304</v>
      </c>
      <c r="M239">
        <v>3883</v>
      </c>
      <c r="N239">
        <v>354</v>
      </c>
      <c r="O239">
        <v>3000</v>
      </c>
      <c r="P239">
        <v>0</v>
      </c>
      <c r="Q239">
        <v>1</v>
      </c>
      <c r="R239">
        <v>0</v>
      </c>
      <c r="S239">
        <v>0</v>
      </c>
      <c r="T239">
        <v>0</v>
      </c>
      <c r="U239">
        <v>0</v>
      </c>
      <c r="V239">
        <v>3000</v>
      </c>
      <c r="W239">
        <v>0</v>
      </c>
      <c r="X239">
        <v>0</v>
      </c>
      <c r="Y239">
        <v>0</v>
      </c>
      <c r="Z239">
        <v>0</v>
      </c>
      <c r="AA239">
        <v>13304</v>
      </c>
      <c r="AB239">
        <v>3883</v>
      </c>
      <c r="AC239">
        <v>321</v>
      </c>
      <c r="AD239">
        <v>1.98</v>
      </c>
      <c r="AE239">
        <v>4000</v>
      </c>
      <c r="AF239">
        <v>1</v>
      </c>
      <c r="AG239">
        <v>0</v>
      </c>
      <c r="AH239">
        <v>0.052</v>
      </c>
      <c r="AI239">
        <v>157.35</v>
      </c>
      <c r="AJ239">
        <v>7.98</v>
      </c>
      <c r="AK239">
        <v>92807</v>
      </c>
      <c r="AL239">
        <v>9202</v>
      </c>
      <c r="AM239">
        <v>794</v>
      </c>
      <c r="AN239">
        <v>0</v>
      </c>
      <c r="AO239">
        <v>49.72</v>
      </c>
      <c r="AP239">
        <v>0.814</v>
      </c>
      <c r="AQ239">
        <v>0.051</v>
      </c>
      <c r="AR239">
        <v>0.0409999999999999</v>
      </c>
      <c r="AS239" s="3">
        <v>46107.767743055556</v>
      </c>
    </row>
    <row r="240" ht="25.5" customHeight="1">
      <c r="A240" t="inlineStr">
        <is>
          <t>68e7894a000000003700946d</t>
        </is>
      </c>
      <c r="B240" s="2" t="str">
        <f>=HYPERLINK("https://www.xiaohongshu.com/user/profile/68e7894a000000003700946d", "https://www.xiaohongshu.com/user/profile/68e7894a000000003700946d")</f>
        <v>https://www.xiaohongshu.com/user/profile/68e7894a000000003700946d</v>
      </c>
      <c r="C240" s="2" t="str">
        <f>=HYPERLINK("https://pgy.xiaohongshu.com/solar/pre-trade/blogger-detail/68e7894a000000003700946d", "https://pgy.xiaohongshu.com/solar/pre-trade/blogger-detail/68e7894a000000003700946d")</f>
        <v>https://pgy.xiaohongshu.com/solar/pre-trade/blogger-detail/68e7894a000000003700946d</v>
      </c>
      <c r="D240" t="inlineStr">
        <is>
          <t>女</t>
        </is>
      </c>
      <c r="E240" t="inlineStr">
        <is>
          <t>serenaaaaa0412</t>
        </is>
      </c>
      <c r="F240" t="inlineStr">
        <is>
          <t>SerenaEverUp_</t>
        </is>
      </c>
      <c r="G240" t="inlineStr">
        <is>
          <t>江苏 苏州 吴中区</t>
        </is>
      </c>
      <c r="H240" t="inlineStr">
        <is>
          <t>考研过来人, 手账爱好者, 数码爱好者, 户外爱好者, 学生</t>
        </is>
      </c>
      <c r="I240" t="inlineStr">
        <is>
          <t>兴趣爱好, 教育</t>
        </is>
      </c>
      <c r="J240">
        <v>5768</v>
      </c>
      <c r="K240" t="inlineStr">
        <is>
          <t>0.6</t>
        </is>
      </c>
      <c r="L240">
        <v>24054</v>
      </c>
      <c r="M240">
        <v>5208</v>
      </c>
      <c r="N240">
        <v>683</v>
      </c>
      <c r="O240">
        <v>200</v>
      </c>
      <c r="P240">
        <v>0.429</v>
      </c>
      <c r="Q240">
        <v>0.952</v>
      </c>
      <c r="R240">
        <v>0</v>
      </c>
      <c r="S240">
        <v>0</v>
      </c>
      <c r="T240">
        <v>0</v>
      </c>
      <c r="U240">
        <v>0.42</v>
      </c>
      <c r="V240">
        <v>200</v>
      </c>
      <c r="W240">
        <v>0</v>
      </c>
      <c r="X240">
        <v>0</v>
      </c>
      <c r="Y240">
        <v>19.37</v>
      </c>
      <c r="Z240">
        <v>4.49</v>
      </c>
      <c r="AA240">
        <v>24054</v>
      </c>
      <c r="AB240">
        <v>5208</v>
      </c>
      <c r="AC240">
        <v>647</v>
      </c>
      <c r="AD240">
        <v>1.57</v>
      </c>
      <c r="AE240">
        <v>300</v>
      </c>
      <c r="AF240">
        <v>0.952</v>
      </c>
      <c r="AG240">
        <v>0.429</v>
      </c>
      <c r="AH240">
        <v>0.0409999999999999</v>
      </c>
      <c r="AI240">
        <v>16.08</v>
      </c>
      <c r="AJ240">
        <v>0.58</v>
      </c>
      <c r="AK240">
        <v>14447</v>
      </c>
      <c r="AL240">
        <v>2393</v>
      </c>
      <c r="AM240">
        <v>112</v>
      </c>
      <c r="AN240">
        <v>0</v>
      </c>
      <c r="AO240">
        <v>1.81</v>
      </c>
      <c r="AP240">
        <v>0.964</v>
      </c>
      <c r="AQ240">
        <v>0.318</v>
      </c>
      <c r="AR240">
        <v>0.506</v>
      </c>
      <c r="AS240" s="3">
        <v>46107.767743055556</v>
      </c>
    </row>
    <row r="241" ht="25.5" customHeight="1">
      <c r="A241" t="inlineStr">
        <is>
          <t>68d62e1f0000000021024fed</t>
        </is>
      </c>
      <c r="B241" s="2" t="str">
        <f>=HYPERLINK("https://www.xiaohongshu.com/user/profile/68d62e1f0000000021024fed", "https://www.xiaohongshu.com/user/profile/68d62e1f0000000021024fed")</f>
        <v>https://www.xiaohongshu.com/user/profile/68d62e1f0000000021024fed</v>
      </c>
      <c r="C241" s="2" t="str">
        <f>=HYPERLINK("https://pgy.xiaohongshu.com/solar/pre-trade/blogger-detail/68d62e1f0000000021024fed", "https://pgy.xiaohongshu.com/solar/pre-trade/blogger-detail/68d62e1f0000000021024fed")</f>
        <v>https://pgy.xiaohongshu.com/solar/pre-trade/blogger-detail/68d62e1f0000000021024fed</v>
      </c>
      <c r="D241" t="inlineStr">
        <is>
          <t>女</t>
        </is>
      </c>
      <c r="E241" t="inlineStr">
        <is>
          <t>95575442873</t>
        </is>
      </c>
      <c r="F241" t="inlineStr">
        <is>
          <t>Elsa成长记</t>
        </is>
      </c>
      <c r="G241" t="inlineStr">
        <is>
          <t>浙江 杭州 拱墅区</t>
        </is>
      </c>
      <c r="H241" t="inlineStr">
        <is>
          <t>妈妈, 家庭</t>
        </is>
      </c>
      <c r="I241" t="inlineStr">
        <is>
          <t>教育</t>
        </is>
      </c>
      <c r="J241">
        <v>30934</v>
      </c>
      <c r="K241" t="inlineStr">
        <is>
          <t>3.1</t>
        </is>
      </c>
      <c r="L241">
        <v>11522</v>
      </c>
      <c r="M241">
        <v>4206</v>
      </c>
      <c r="N241">
        <v>436</v>
      </c>
      <c r="O241">
        <v>180</v>
      </c>
      <c r="P241">
        <v>0.16</v>
      </c>
      <c r="Q241">
        <v>0.6</v>
      </c>
      <c r="R241">
        <v>0</v>
      </c>
      <c r="S241">
        <v>0</v>
      </c>
      <c r="T241">
        <v>0</v>
      </c>
      <c r="U241">
        <v>0</v>
      </c>
      <c r="V241">
        <v>180</v>
      </c>
      <c r="W241">
        <v>0</v>
      </c>
      <c r="X241">
        <v>0</v>
      </c>
      <c r="Y241">
        <v>0</v>
      </c>
      <c r="Z241">
        <v>0</v>
      </c>
      <c r="AA241">
        <v>11522</v>
      </c>
      <c r="AB241">
        <v>4206</v>
      </c>
      <c r="AC241">
        <v>346</v>
      </c>
      <c r="AD241">
        <v>1.69</v>
      </c>
      <c r="AE241">
        <v>780</v>
      </c>
      <c r="AF241">
        <v>0.6</v>
      </c>
      <c r="AG241">
        <v>0.16</v>
      </c>
      <c r="AH241">
        <v>0.111999999999999</v>
      </c>
      <c r="AI241">
        <v>67.7</v>
      </c>
      <c r="AJ241">
        <v>1.79</v>
      </c>
      <c r="AK241">
        <v>0</v>
      </c>
      <c r="AL241">
        <v>0</v>
      </c>
      <c r="AM241">
        <v>0</v>
      </c>
      <c r="AN241">
        <v>0</v>
      </c>
      <c r="AO241">
        <v>0</v>
      </c>
      <c r="AP241">
        <v>0.995</v>
      </c>
      <c r="AQ241">
        <v>0.397999999999999</v>
      </c>
      <c r="AR241">
        <v>3.061</v>
      </c>
      <c r="AS241" s="3">
        <v>46107.767743055556</v>
      </c>
    </row>
    <row r="242" ht="25.5" customHeight="1">
      <c r="A242" t="inlineStr">
        <is>
          <t>5af4f58ee8ac2b32856087d9</t>
        </is>
      </c>
      <c r="B242" s="2" t="str">
        <f>=HYPERLINK("https://www.xiaohongshu.com/user/profile/5af4f58ee8ac2b32856087d9", "https://www.xiaohongshu.com/user/profile/5af4f58ee8ac2b32856087d9")</f>
        <v>https://www.xiaohongshu.com/user/profile/5af4f58ee8ac2b32856087d9</v>
      </c>
      <c r="C242" s="2" t="str">
        <f>=HYPERLINK("https://pgy.xiaohongshu.com/solar/pre-trade/blogger-detail/5af4f58ee8ac2b32856087d9", "https://pgy.xiaohongshu.com/solar/pre-trade/blogger-detail/5af4f58ee8ac2b32856087d9")</f>
        <v>https://pgy.xiaohongshu.com/solar/pre-trade/blogger-detail/5af4f58ee8ac2b32856087d9</v>
      </c>
      <c r="D242" t="inlineStr">
        <is>
          <t>女</t>
        </is>
      </c>
      <c r="E242" t="inlineStr">
        <is>
          <t>linguist_Rui</t>
        </is>
      </c>
      <c r="F242" t="inlineStr">
        <is>
          <t>瑞子瑞子</t>
        </is>
      </c>
      <c r="G242" t="inlineStr">
        <is>
          <t>浙江 温州 鹿城区</t>
        </is>
      </c>
      <c r="H242" t="inlineStr">
        <is>
          <t>户外爱好者, 留学背景</t>
        </is>
      </c>
      <c r="I242" t="inlineStr">
        <is>
          <t>教育, 出行旅游</t>
        </is>
      </c>
      <c r="J242">
        <v>11920</v>
      </c>
      <c r="K242" t="inlineStr">
        <is>
          <t>1.2</t>
        </is>
      </c>
      <c r="L242">
        <v>24587</v>
      </c>
      <c r="M242">
        <v>6126</v>
      </c>
      <c r="N242">
        <v>1057</v>
      </c>
      <c r="O242">
        <v>3000</v>
      </c>
      <c r="P242">
        <v>0.332999999999999</v>
      </c>
      <c r="Q242">
        <v>0.667</v>
      </c>
      <c r="R242">
        <v>0</v>
      </c>
      <c r="S242">
        <v>0</v>
      </c>
      <c r="T242">
        <v>0</v>
      </c>
      <c r="U242">
        <v>0</v>
      </c>
      <c r="V242">
        <v>3000</v>
      </c>
      <c r="W242">
        <v>0</v>
      </c>
      <c r="X242">
        <v>0</v>
      </c>
      <c r="Y242">
        <v>0</v>
      </c>
      <c r="Z242">
        <v>0</v>
      </c>
      <c r="AA242">
        <v>24587</v>
      </c>
      <c r="AB242">
        <v>6126</v>
      </c>
      <c r="AC242">
        <v>879</v>
      </c>
      <c r="AD242">
        <v>2.48</v>
      </c>
      <c r="AE242">
        <v>6000</v>
      </c>
      <c r="AF242">
        <v>0.667</v>
      </c>
      <c r="AG242">
        <v>0.332999999999999</v>
      </c>
      <c r="AH242">
        <v>0.078</v>
      </c>
      <c r="AI242">
        <v>244.03</v>
      </c>
      <c r="AJ242">
        <v>5.68</v>
      </c>
      <c r="AK242">
        <v>0</v>
      </c>
      <c r="AL242">
        <v>0</v>
      </c>
      <c r="AM242">
        <v>0</v>
      </c>
      <c r="AN242">
        <v>0</v>
      </c>
      <c r="AO242">
        <v>0</v>
      </c>
      <c r="AP242">
        <v>0.999</v>
      </c>
      <c r="AQ242">
        <v>0.563</v>
      </c>
      <c r="AR242">
        <v>0</v>
      </c>
      <c r="AS242" s="3">
        <v>46107.76792824074</v>
      </c>
    </row>
    <row r="243" ht="25.5" customHeight="1">
      <c r="A243" t="inlineStr">
        <is>
          <t>5f2b3ded0000000001001e3c</t>
        </is>
      </c>
      <c r="B243" s="2" t="str">
        <f>=HYPERLINK("https://www.xiaohongshu.com/user/profile/5f2b3ded0000000001001e3c", "https://www.xiaohongshu.com/user/profile/5f2b3ded0000000001001e3c")</f>
        <v>https://www.xiaohongshu.com/user/profile/5f2b3ded0000000001001e3c</v>
      </c>
      <c r="C243" s="2" t="str">
        <f>=HYPERLINK("https://pgy.xiaohongshu.com/solar/pre-trade/blogger-detail/5f2b3ded0000000001001e3c", "https://pgy.xiaohongshu.com/solar/pre-trade/blogger-detail/5f2b3ded0000000001001e3c")</f>
        <v>https://pgy.xiaohongshu.com/solar/pre-trade/blogger-detail/5f2b3ded0000000001001e3c</v>
      </c>
      <c r="D243" t="inlineStr">
        <is>
          <t>女</t>
        </is>
      </c>
      <c r="E243" t="inlineStr">
        <is>
          <t>321936627</t>
        </is>
      </c>
      <c r="F243" t="inlineStr">
        <is>
          <t>AIGC 深一度</t>
        </is>
      </c>
      <c r="G243" t="inlineStr">
        <is>
          <t>天津</t>
        </is>
      </c>
      <c r="H243" t="inlineStr">
        <is>
          <t>考研过来人</t>
        </is>
      </c>
      <c r="I243" t="inlineStr">
        <is>
          <t>教育</t>
        </is>
      </c>
      <c r="J243">
        <v>8085</v>
      </c>
      <c r="K243" t="inlineStr">
        <is>
          <t>0.8</t>
        </is>
      </c>
      <c r="L243">
        <v>3624</v>
      </c>
      <c r="M243">
        <v>1409</v>
      </c>
      <c r="N243">
        <v>111</v>
      </c>
      <c r="O243">
        <v>1500</v>
      </c>
      <c r="P243">
        <v>0</v>
      </c>
      <c r="Q243">
        <v>0.188</v>
      </c>
      <c r="R243">
        <v>2570</v>
      </c>
      <c r="S243">
        <v>199</v>
      </c>
      <c r="T243">
        <v>7</v>
      </c>
      <c r="U243">
        <v>7.84</v>
      </c>
      <c r="V243">
        <v>1500</v>
      </c>
      <c r="W243">
        <v>0</v>
      </c>
      <c r="X243">
        <v>0</v>
      </c>
      <c r="Y243">
        <v>583.66</v>
      </c>
      <c r="Z243">
        <v>166.67</v>
      </c>
      <c r="AA243">
        <v>3709</v>
      </c>
      <c r="AB243">
        <v>1463</v>
      </c>
      <c r="AC243">
        <v>95</v>
      </c>
      <c r="AD243">
        <v>2.92</v>
      </c>
      <c r="AE243">
        <v>2000</v>
      </c>
      <c r="AF243">
        <v>0.2</v>
      </c>
      <c r="AG243">
        <v>0</v>
      </c>
      <c r="AH243">
        <v>0.00699999999999999</v>
      </c>
      <c r="AI243">
        <v>514.6</v>
      </c>
      <c r="AJ243">
        <v>16.67</v>
      </c>
      <c r="AK243">
        <v>9569</v>
      </c>
      <c r="AL243">
        <v>957</v>
      </c>
      <c r="AM243">
        <v>107</v>
      </c>
      <c r="AN243">
        <v>0</v>
      </c>
      <c r="AO243">
        <v>0</v>
      </c>
      <c r="AP243">
        <v>0.968</v>
      </c>
      <c r="AQ243">
        <v>0.083</v>
      </c>
      <c r="AR243">
        <v>0.108</v>
      </c>
      <c r="AS243" s="3">
        <v>46107.76792824074</v>
      </c>
    </row>
    <row r="244" ht="25.5" customHeight="1">
      <c r="A244" t="inlineStr">
        <is>
          <t>58021b6c6a6a695b92ef330e</t>
        </is>
      </c>
      <c r="B244" s="2" t="str">
        <f>=HYPERLINK("https://www.xiaohongshu.com/user/profile/58021b6c6a6a695b92ef330e", "https://www.xiaohongshu.com/user/profile/58021b6c6a6a695b92ef330e")</f>
        <v>https://www.xiaohongshu.com/user/profile/58021b6c6a6a695b92ef330e</v>
      </c>
      <c r="C244" s="2" t="str">
        <f>=HYPERLINK("https://pgy.xiaohongshu.com/solar/pre-trade/blogger-detail/58021b6c6a6a695b92ef330e", "https://pgy.xiaohongshu.com/solar/pre-trade/blogger-detail/58021b6c6a6a695b92ef330e")</f>
        <v>https://pgy.xiaohongshu.com/solar/pre-trade/blogger-detail/58021b6c6a6a695b92ef330e</v>
      </c>
      <c r="D244" t="inlineStr">
        <is>
          <t>女</t>
        </is>
      </c>
      <c r="E244" t="inlineStr">
        <is>
          <t>949849723</t>
        </is>
      </c>
      <c r="F244" t="inlineStr">
        <is>
          <t>冒泡冻柠乐</t>
        </is>
      </c>
      <c r="G244" t="inlineStr">
        <is>
          <t>上海</t>
        </is>
      </c>
      <c r="H244" t="inlineStr">
        <is>
          <t>考研过来人, 学生</t>
        </is>
      </c>
      <c r="I244" t="inlineStr">
        <is>
          <t>教育</t>
        </is>
      </c>
      <c r="J244">
        <v>8508</v>
      </c>
      <c r="K244" t="inlineStr">
        <is>
          <t>0.9</t>
        </is>
      </c>
      <c r="L244">
        <v>11509</v>
      </c>
      <c r="M244">
        <v>1877</v>
      </c>
      <c r="N244">
        <v>191</v>
      </c>
      <c r="O244">
        <v>750</v>
      </c>
      <c r="P244">
        <v>0.077</v>
      </c>
      <c r="Q244">
        <v>0.385</v>
      </c>
      <c r="R244">
        <v>13346</v>
      </c>
      <c r="S244">
        <v>1702</v>
      </c>
      <c r="T244">
        <v>208</v>
      </c>
      <c r="U244">
        <v>0.58</v>
      </c>
      <c r="V244">
        <v>750</v>
      </c>
      <c r="W244">
        <v>0.375</v>
      </c>
      <c r="X244">
        <v>0.125</v>
      </c>
      <c r="Y244">
        <v>47.89</v>
      </c>
      <c r="Z244">
        <v>1.71</v>
      </c>
      <c r="AA244">
        <v>8853</v>
      </c>
      <c r="AB244">
        <v>2179</v>
      </c>
      <c r="AC244">
        <v>158</v>
      </c>
      <c r="AD244">
        <v>1.94</v>
      </c>
      <c r="AE244">
        <v>831</v>
      </c>
      <c r="AF244">
        <v>0.4</v>
      </c>
      <c r="AG244">
        <v>0</v>
      </c>
      <c r="AH244">
        <v>0.022</v>
      </c>
      <c r="AI244">
        <v>93.49</v>
      </c>
      <c r="AJ244">
        <v>6.07</v>
      </c>
      <c r="AK244">
        <v>90563</v>
      </c>
      <c r="AL244">
        <v>19502</v>
      </c>
      <c r="AM244">
        <v>1877</v>
      </c>
      <c r="AN244">
        <v>0</v>
      </c>
      <c r="AO244">
        <v>0</v>
      </c>
      <c r="AP244">
        <v>0.835</v>
      </c>
      <c r="AQ244">
        <v>0.07</v>
      </c>
      <c r="AR244">
        <v>0.037</v>
      </c>
      <c r="AS244" s="3">
        <v>46107.76792824074</v>
      </c>
    </row>
    <row r="245" ht="25.5" customHeight="1">
      <c r="A245" t="inlineStr">
        <is>
          <t>6219ee3c0000000021025b23</t>
        </is>
      </c>
      <c r="B245" s="2" t="str">
        <f>=HYPERLINK("https://www.xiaohongshu.com/user/profile/6219ee3c0000000021025b23", "https://www.xiaohongshu.com/user/profile/6219ee3c0000000021025b23")</f>
        <v>https://www.xiaohongshu.com/user/profile/6219ee3c0000000021025b23</v>
      </c>
      <c r="C245" s="2" t="str">
        <f>=HYPERLINK("https://pgy.xiaohongshu.com/solar/pre-trade/blogger-detail/6219ee3c0000000021025b23", "https://pgy.xiaohongshu.com/solar/pre-trade/blogger-detail/6219ee3c0000000021025b23")</f>
        <v>https://pgy.xiaohongshu.com/solar/pre-trade/blogger-detail/6219ee3c0000000021025b23</v>
      </c>
      <c r="D245" t="inlineStr">
        <is>
          <t>女</t>
        </is>
      </c>
      <c r="E245" t="inlineStr">
        <is>
          <t>2841224426</t>
        </is>
      </c>
      <c r="F245" t="inlineStr">
        <is>
          <t>齐幺幺儿</t>
        </is>
      </c>
      <c r="G245" t="inlineStr">
        <is>
          <t>北京</t>
        </is>
      </c>
      <c r="H245" t="inlineStr">
        <is>
          <t>手账爱好者, 学生, 闺蜜</t>
        </is>
      </c>
      <c r="I245" t="inlineStr">
        <is>
          <t>教育, 生活记录</t>
        </is>
      </c>
      <c r="J245">
        <v>14535</v>
      </c>
      <c r="K245" t="inlineStr">
        <is>
          <t>1.5</t>
        </is>
      </c>
      <c r="L245">
        <v>35575</v>
      </c>
      <c r="M245">
        <v>5932</v>
      </c>
      <c r="N245">
        <v>335</v>
      </c>
      <c r="O245">
        <v>299</v>
      </c>
      <c r="P245">
        <v>0</v>
      </c>
      <c r="Q245">
        <v>1</v>
      </c>
      <c r="R245">
        <v>0</v>
      </c>
      <c r="S245">
        <v>0</v>
      </c>
      <c r="T245">
        <v>0</v>
      </c>
      <c r="U245">
        <v>0.47</v>
      </c>
      <c r="V245">
        <v>299</v>
      </c>
      <c r="W245">
        <v>0</v>
      </c>
      <c r="X245">
        <v>0</v>
      </c>
      <c r="Y245">
        <v>42.75</v>
      </c>
      <c r="Z245">
        <v>2.03</v>
      </c>
      <c r="AA245">
        <v>35575</v>
      </c>
      <c r="AB245">
        <v>5932</v>
      </c>
      <c r="AC245">
        <v>281</v>
      </c>
      <c r="AD245">
        <v>1.64</v>
      </c>
      <c r="AE245">
        <v>899</v>
      </c>
      <c r="AF245">
        <v>1</v>
      </c>
      <c r="AG245">
        <v>0</v>
      </c>
      <c r="AH245">
        <v>0.07</v>
      </c>
      <c r="AI245">
        <v>25</v>
      </c>
      <c r="AJ245">
        <v>2.68</v>
      </c>
      <c r="AK245">
        <v>50769</v>
      </c>
      <c r="AL245">
        <v>7352</v>
      </c>
      <c r="AM245">
        <v>266</v>
      </c>
      <c r="AN245">
        <v>0</v>
      </c>
      <c r="AO245">
        <v>0</v>
      </c>
      <c r="AP245">
        <v>0.894</v>
      </c>
      <c r="AQ245">
        <v>0.09</v>
      </c>
      <c r="AR245">
        <v>0.102</v>
      </c>
      <c r="AS245" s="3">
        <v>46107.76792824074</v>
      </c>
    </row>
    <row r="246" ht="25.5" customHeight="1">
      <c r="A246" t="inlineStr">
        <is>
          <t>60052906000000000101fe4f</t>
        </is>
      </c>
      <c r="B246" s="2" t="str">
        <f>=HYPERLINK("https://www.xiaohongshu.com/user/profile/60052906000000000101fe4f", "https://www.xiaohongshu.com/user/profile/60052906000000000101fe4f")</f>
        <v>https://www.xiaohongshu.com/user/profile/60052906000000000101fe4f</v>
      </c>
      <c r="C246" s="2" t="str">
        <f>=HYPERLINK("https://pgy.xiaohongshu.com/solar/pre-trade/blogger-detail/60052906000000000101fe4f", "https://pgy.xiaohongshu.com/solar/pre-trade/blogger-detail/60052906000000000101fe4f")</f>
        <v>https://pgy.xiaohongshu.com/solar/pre-trade/blogger-detail/60052906000000000101fe4f</v>
      </c>
      <c r="D246" t="inlineStr">
        <is>
          <t>女</t>
        </is>
      </c>
      <c r="E246" t="inlineStr">
        <is>
          <t>DongKR334</t>
        </is>
      </c>
      <c r="F246" t="inlineStr">
        <is>
          <t>韩语冬眠</t>
        </is>
      </c>
      <c r="G246" t="inlineStr">
        <is>
          <t>江苏 扬州 邗江区</t>
        </is>
      </c>
      <c r="H246"/>
      <c r="I246" t="inlineStr">
        <is>
          <t>教育</t>
        </is>
      </c>
      <c r="J246">
        <v>5053</v>
      </c>
      <c r="K246" t="inlineStr">
        <is>
          <t>0.5</t>
        </is>
      </c>
      <c r="L246">
        <v>72012</v>
      </c>
      <c r="M246">
        <v>8981</v>
      </c>
      <c r="N246">
        <v>1919</v>
      </c>
      <c r="O246">
        <v>694</v>
      </c>
      <c r="P246">
        <v>1</v>
      </c>
      <c r="Q246">
        <v>1</v>
      </c>
      <c r="R246">
        <v>72012</v>
      </c>
      <c r="S246">
        <v>8981</v>
      </c>
      <c r="T246">
        <v>1779</v>
      </c>
      <c r="U246">
        <v>0.41</v>
      </c>
      <c r="V246">
        <v>694</v>
      </c>
      <c r="W246">
        <v>1</v>
      </c>
      <c r="X246">
        <v>1</v>
      </c>
      <c r="Y246">
        <v>13.01</v>
      </c>
      <c r="Z246">
        <v>0.37</v>
      </c>
      <c r="AA246">
        <v>0</v>
      </c>
      <c r="AB246">
        <v>0</v>
      </c>
      <c r="AC246">
        <v>0</v>
      </c>
      <c r="AD246">
        <v>0</v>
      </c>
      <c r="AE246">
        <v>888</v>
      </c>
      <c r="AF246">
        <v>0</v>
      </c>
      <c r="AG246">
        <v>0</v>
      </c>
      <c r="AH246">
        <v>0</v>
      </c>
      <c r="AI246">
        <v>0</v>
      </c>
      <c r="AJ246">
        <v>0</v>
      </c>
      <c r="AK246">
        <v>36829</v>
      </c>
      <c r="AL246">
        <v>5830</v>
      </c>
      <c r="AM246">
        <v>1336</v>
      </c>
      <c r="AN246">
        <v>866</v>
      </c>
      <c r="AO246">
        <v>0.71</v>
      </c>
      <c r="AP246">
        <v>0.909</v>
      </c>
      <c r="AQ246">
        <v>0.073</v>
      </c>
      <c r="AR246">
        <v>0.048</v>
      </c>
      <c r="AS246" s="3">
        <v>46107.76792824074</v>
      </c>
    </row>
    <row r="247" ht="25.5" customHeight="1">
      <c r="A247" t="inlineStr">
        <is>
          <t>5b72465376d69700013b059e</t>
        </is>
      </c>
      <c r="B247" s="2" t="str">
        <f>=HYPERLINK("https://www.xiaohongshu.com/user/profile/5b72465376d69700013b059e", "https://www.xiaohongshu.com/user/profile/5b72465376d69700013b059e")</f>
        <v>https://www.xiaohongshu.com/user/profile/5b72465376d69700013b059e</v>
      </c>
      <c r="C247" s="2" t="str">
        <f>=HYPERLINK("https://pgy.xiaohongshu.com/solar/pre-trade/blogger-detail/5b72465376d69700013b059e", "https://pgy.xiaohongshu.com/solar/pre-trade/blogger-detail/5b72465376d69700013b059e")</f>
        <v>https://pgy.xiaohongshu.com/solar/pre-trade/blogger-detail/5b72465376d69700013b059e</v>
      </c>
      <c r="D247" t="inlineStr">
        <is>
          <t>女</t>
        </is>
      </c>
      <c r="E247" t="inlineStr">
        <is>
          <t>608633080</t>
        </is>
      </c>
      <c r="F247" t="inlineStr">
        <is>
          <t>读博的一只鹿</t>
        </is>
      </c>
      <c r="G247" t="inlineStr">
        <is>
          <t>黑龙江 哈尔滨 南岗区</t>
        </is>
      </c>
      <c r="H247" t="inlineStr">
        <is>
          <t>考研过来人, 学生</t>
        </is>
      </c>
      <c r="I247" t="inlineStr">
        <is>
          <t>教育, 生活记录</t>
        </is>
      </c>
      <c r="J247">
        <v>13427</v>
      </c>
      <c r="K247" t="inlineStr">
        <is>
          <t>1.3</t>
        </is>
      </c>
      <c r="L247">
        <v>12243</v>
      </c>
      <c r="M247">
        <v>4320</v>
      </c>
      <c r="N247">
        <v>239</v>
      </c>
      <c r="O247">
        <v>1100</v>
      </c>
      <c r="P247">
        <v>0</v>
      </c>
      <c r="Q247">
        <v>0.667</v>
      </c>
      <c r="R247">
        <v>1370</v>
      </c>
      <c r="S247">
        <v>202</v>
      </c>
      <c r="T247">
        <v>27</v>
      </c>
      <c r="U247">
        <v>5.75</v>
      </c>
      <c r="V247">
        <v>1100</v>
      </c>
      <c r="W247">
        <v>0</v>
      </c>
      <c r="X247">
        <v>0</v>
      </c>
      <c r="Y247">
        <v>802.92</v>
      </c>
      <c r="Z247">
        <v>40.74</v>
      </c>
      <c r="AA247">
        <v>14023</v>
      </c>
      <c r="AB247">
        <v>5543</v>
      </c>
      <c r="AC247">
        <v>196</v>
      </c>
      <c r="AD247">
        <v>1.89</v>
      </c>
      <c r="AE247">
        <v>1500</v>
      </c>
      <c r="AF247">
        <v>0.8</v>
      </c>
      <c r="AG247">
        <v>0</v>
      </c>
      <c r="AH247">
        <v>0.099</v>
      </c>
      <c r="AI247">
        <v>122.52</v>
      </c>
      <c r="AJ247">
        <v>5.93</v>
      </c>
      <c r="AK247">
        <v>8310</v>
      </c>
      <c r="AL247">
        <v>1169</v>
      </c>
      <c r="AM247">
        <v>176</v>
      </c>
      <c r="AN247">
        <v>0</v>
      </c>
      <c r="AO247">
        <v>0</v>
      </c>
      <c r="AP247">
        <v>0.885999999999999</v>
      </c>
      <c r="AQ247">
        <v>0.046</v>
      </c>
      <c r="AR247">
        <v>0.03</v>
      </c>
      <c r="AS247" s="3">
        <v>46107.76792824074</v>
      </c>
    </row>
    <row r="248" ht="25.5" customHeight="1">
      <c r="A248" t="inlineStr">
        <is>
          <t>63731f30000000001f01a3db</t>
        </is>
      </c>
      <c r="B248" s="2" t="str">
        <f>=HYPERLINK("https://www.xiaohongshu.com/user/profile/63731f30000000001f01a3db", "https://www.xiaohongshu.com/user/profile/63731f30000000001f01a3db")</f>
        <v>https://www.xiaohongshu.com/user/profile/63731f30000000001f01a3db</v>
      </c>
      <c r="C248" s="2" t="str">
        <f>=HYPERLINK("https://pgy.xiaohongshu.com/solar/pre-trade/blogger-detail/63731f30000000001f01a3db", "https://pgy.xiaohongshu.com/solar/pre-trade/blogger-detail/63731f30000000001f01a3db")</f>
        <v>https://pgy.xiaohongshu.com/solar/pre-trade/blogger-detail/63731f30000000001f01a3db</v>
      </c>
      <c r="D248" t="inlineStr">
        <is>
          <t>女</t>
        </is>
      </c>
      <c r="E248" t="inlineStr">
        <is>
          <t>5403898555</t>
        </is>
      </c>
      <c r="F248" t="inlineStr">
        <is>
          <t>与钦Helen</t>
        </is>
      </c>
      <c r="G248" t="inlineStr">
        <is>
          <t>浙江 杭州 拱墅区</t>
        </is>
      </c>
      <c r="H248" t="inlineStr">
        <is>
          <t>创业者, 留学背景, 翻译, 主播</t>
        </is>
      </c>
      <c r="I248" t="inlineStr">
        <is>
          <t>影视综资讯, 教育, 生活记录</t>
        </is>
      </c>
      <c r="J248">
        <v>88314</v>
      </c>
      <c r="K248" t="inlineStr">
        <is>
          <t>8.8</t>
        </is>
      </c>
      <c r="L248">
        <v>16920</v>
      </c>
      <c r="M248">
        <v>6331</v>
      </c>
      <c r="N248">
        <v>341</v>
      </c>
      <c r="O248">
        <v>7000</v>
      </c>
      <c r="P248">
        <v>0.4</v>
      </c>
      <c r="Q248">
        <v>0.7</v>
      </c>
      <c r="R248">
        <v>0</v>
      </c>
      <c r="S248">
        <v>0</v>
      </c>
      <c r="T248">
        <v>0</v>
      </c>
      <c r="U248">
        <v>0</v>
      </c>
      <c r="V248">
        <v>7000</v>
      </c>
      <c r="W248">
        <v>0</v>
      </c>
      <c r="X248">
        <v>0</v>
      </c>
      <c r="Y248">
        <v>0</v>
      </c>
      <c r="Z248">
        <v>0</v>
      </c>
      <c r="AA248">
        <v>16920</v>
      </c>
      <c r="AB248">
        <v>6331</v>
      </c>
      <c r="AC248">
        <v>327</v>
      </c>
      <c r="AD248">
        <v>2.84</v>
      </c>
      <c r="AE248">
        <v>8500</v>
      </c>
      <c r="AF248">
        <v>0.7</v>
      </c>
      <c r="AG248">
        <v>0.4</v>
      </c>
      <c r="AH248">
        <v>0.266</v>
      </c>
      <c r="AI248">
        <v>502.35</v>
      </c>
      <c r="AJ248">
        <v>24.89</v>
      </c>
      <c r="AK248">
        <v>0</v>
      </c>
      <c r="AL248">
        <v>0</v>
      </c>
      <c r="AM248">
        <v>0</v>
      </c>
      <c r="AN248">
        <v>0</v>
      </c>
      <c r="AO248">
        <v>0</v>
      </c>
      <c r="AP248">
        <v>0.817</v>
      </c>
      <c r="AQ248">
        <v>0.019</v>
      </c>
      <c r="AR248">
        <v>0.001</v>
      </c>
      <c r="AS248" s="3">
        <v>46107.76792824074</v>
      </c>
    </row>
    <row r="249" ht="25.5" customHeight="1">
      <c r="A249" t="inlineStr">
        <is>
          <t>5cef50790000000018009e9b</t>
        </is>
      </c>
      <c r="B249" s="2" t="str">
        <f>=HYPERLINK("https://www.xiaohongshu.com/user/profile/5cef50790000000018009e9b", "https://www.xiaohongshu.com/user/profile/5cef50790000000018009e9b")</f>
        <v>https://www.xiaohongshu.com/user/profile/5cef50790000000018009e9b</v>
      </c>
      <c r="C249" s="2" t="str">
        <f>=HYPERLINK("https://pgy.xiaohongshu.com/solar/pre-trade/blogger-detail/5cef50790000000018009e9b", "https://pgy.xiaohongshu.com/solar/pre-trade/blogger-detail/5cef50790000000018009e9b")</f>
        <v>https://pgy.xiaohongshu.com/solar/pre-trade/blogger-detail/5cef50790000000018009e9b</v>
      </c>
      <c r="D249" t="inlineStr">
        <is>
          <t>女</t>
        </is>
      </c>
      <c r="E249" t="inlineStr">
        <is>
          <t>27272727I</t>
        </is>
      </c>
      <c r="F249" t="inlineStr">
        <is>
          <t>靖涵🍯</t>
        </is>
      </c>
      <c r="G249" t="inlineStr">
        <is>
          <t>上海</t>
        </is>
      </c>
      <c r="H249" t="inlineStr">
        <is>
          <t>学生, 海外华人, 留学背景, 外国人</t>
        </is>
      </c>
      <c r="I249" t="inlineStr">
        <is>
          <t>美食, 教育</t>
        </is>
      </c>
      <c r="J249">
        <v>28352</v>
      </c>
      <c r="K249" t="inlineStr">
        <is>
          <t>2.8</t>
        </is>
      </c>
      <c r="L249">
        <v>47398</v>
      </c>
      <c r="M249">
        <v>15647</v>
      </c>
      <c r="N249">
        <v>840</v>
      </c>
      <c r="O249">
        <v>2800</v>
      </c>
      <c r="P249">
        <v>0.25</v>
      </c>
      <c r="Q249">
        <v>1</v>
      </c>
      <c r="R249">
        <v>0</v>
      </c>
      <c r="S249">
        <v>0</v>
      </c>
      <c r="T249">
        <v>0</v>
      </c>
      <c r="U249">
        <v>0</v>
      </c>
      <c r="V249">
        <v>2800</v>
      </c>
      <c r="W249">
        <v>0</v>
      </c>
      <c r="X249">
        <v>0</v>
      </c>
      <c r="Y249">
        <v>0</v>
      </c>
      <c r="Z249">
        <v>0</v>
      </c>
      <c r="AA249">
        <v>47398</v>
      </c>
      <c r="AB249">
        <v>15647</v>
      </c>
      <c r="AC249">
        <v>791</v>
      </c>
      <c r="AD249">
        <v>1.75</v>
      </c>
      <c r="AE249">
        <v>3900</v>
      </c>
      <c r="AF249">
        <v>1</v>
      </c>
      <c r="AG249">
        <v>0.25</v>
      </c>
      <c r="AH249">
        <v>0.153</v>
      </c>
      <c r="AI249">
        <v>90.6</v>
      </c>
      <c r="AJ249">
        <v>4.8</v>
      </c>
      <c r="AK249">
        <v>49134</v>
      </c>
      <c r="AL249">
        <v>25729</v>
      </c>
      <c r="AM249">
        <v>464</v>
      </c>
      <c r="AN249">
        <v>6548</v>
      </c>
      <c r="AO249">
        <v>1.25</v>
      </c>
      <c r="AP249">
        <v>0.875</v>
      </c>
      <c r="AQ249">
        <v>0.068</v>
      </c>
      <c r="AR249">
        <v>0.011</v>
      </c>
      <c r="AS249" s="3">
        <v>46107.76792824074</v>
      </c>
    </row>
    <row r="250" ht="25.5" customHeight="1">
      <c r="A250" t="inlineStr">
        <is>
          <t>65952180000000002201542c</t>
        </is>
      </c>
      <c r="B250" s="2" t="str">
        <f>=HYPERLINK("https://www.xiaohongshu.com/user/profile/65952180000000002201542c", "https://www.xiaohongshu.com/user/profile/65952180000000002201542c")</f>
        <v>https://www.xiaohongshu.com/user/profile/65952180000000002201542c</v>
      </c>
      <c r="C250" s="2" t="str">
        <f>=HYPERLINK("https://pgy.xiaohongshu.com/solar/pre-trade/blogger-detail/65952180000000002201542c", "https://pgy.xiaohongshu.com/solar/pre-trade/blogger-detail/65952180000000002201542c")</f>
        <v>https://pgy.xiaohongshu.com/solar/pre-trade/blogger-detail/65952180000000002201542c</v>
      </c>
      <c r="D250" t="inlineStr">
        <is>
          <t>男</t>
        </is>
      </c>
      <c r="E250" t="inlineStr">
        <is>
          <t>1956218145</t>
        </is>
      </c>
      <c r="F250" t="inlineStr">
        <is>
          <t>琪宝吖</t>
        </is>
      </c>
      <c r="G250" t="inlineStr">
        <is>
          <t>新疆 乌鲁木齐 水磨沟区</t>
        </is>
      </c>
      <c r="H250" t="inlineStr">
        <is>
          <t>考研过来人, 学生</t>
        </is>
      </c>
      <c r="I250" t="inlineStr">
        <is>
          <t>教育</t>
        </is>
      </c>
      <c r="J250">
        <v>10204</v>
      </c>
      <c r="K250" t="inlineStr">
        <is>
          <t>1.0</t>
        </is>
      </c>
      <c r="L250">
        <v>22514</v>
      </c>
      <c r="M250">
        <v>5598</v>
      </c>
      <c r="N250">
        <v>1063</v>
      </c>
      <c r="O250">
        <v>550</v>
      </c>
      <c r="P250">
        <v>0</v>
      </c>
      <c r="Q250">
        <v>1</v>
      </c>
      <c r="R250">
        <v>22514</v>
      </c>
      <c r="S250">
        <v>5598</v>
      </c>
      <c r="T250">
        <v>958</v>
      </c>
      <c r="U250">
        <v>0.4</v>
      </c>
      <c r="V250">
        <v>550</v>
      </c>
      <c r="W250">
        <v>1</v>
      </c>
      <c r="X250">
        <v>0</v>
      </c>
      <c r="Y250">
        <v>16.68</v>
      </c>
      <c r="Z250">
        <v>0.98</v>
      </c>
      <c r="AA250">
        <v>0</v>
      </c>
      <c r="AB250">
        <v>0</v>
      </c>
      <c r="AC250">
        <v>0</v>
      </c>
      <c r="AD250">
        <v>0</v>
      </c>
      <c r="AE250">
        <v>800</v>
      </c>
      <c r="AF250">
        <v>0</v>
      </c>
      <c r="AG250">
        <v>0</v>
      </c>
      <c r="AH250">
        <v>0</v>
      </c>
      <c r="AI250">
        <v>0</v>
      </c>
      <c r="AJ250">
        <v>0</v>
      </c>
      <c r="AK250">
        <v>42347</v>
      </c>
      <c r="AL250">
        <v>5286</v>
      </c>
      <c r="AM250">
        <v>521</v>
      </c>
      <c r="AN250">
        <v>0</v>
      </c>
      <c r="AO250">
        <v>0.58</v>
      </c>
      <c r="AP250">
        <v>0.777</v>
      </c>
      <c r="AQ250">
        <v>0.072</v>
      </c>
      <c r="AR250">
        <v>0.059</v>
      </c>
      <c r="AS250" s="3">
        <v>46107.76792824074</v>
      </c>
    </row>
    <row r="251" ht="25.5" customHeight="1">
      <c r="A251" t="inlineStr">
        <is>
          <t>62594387000000001000e89b</t>
        </is>
      </c>
      <c r="B251" s="2" t="str">
        <f>=HYPERLINK("https://www.xiaohongshu.com/user/profile/62594387000000001000e89b", "https://www.xiaohongshu.com/user/profile/62594387000000001000e89b")</f>
        <v>https://www.xiaohongshu.com/user/profile/62594387000000001000e89b</v>
      </c>
      <c r="C251" s="2" t="str">
        <f>=HYPERLINK("https://pgy.xiaohongshu.com/solar/pre-trade/blogger-detail/62594387000000001000e89b", "https://pgy.xiaohongshu.com/solar/pre-trade/blogger-detail/62594387000000001000e89b")</f>
        <v>https://pgy.xiaohongshu.com/solar/pre-trade/blogger-detail/62594387000000001000e89b</v>
      </c>
      <c r="D251" t="inlineStr">
        <is>
          <t>男</t>
        </is>
      </c>
      <c r="E251" t="inlineStr">
        <is>
          <t>ABEnglish</t>
        </is>
      </c>
      <c r="F251" t="inlineStr">
        <is>
          <t>英国外教贝琪</t>
        </is>
      </c>
      <c r="G251" t="inlineStr">
        <is>
          <t>英国</t>
        </is>
      </c>
      <c r="H251" t="inlineStr">
        <is>
          <t>外国人, 留学背景, 翻译</t>
        </is>
      </c>
      <c r="I251" t="inlineStr">
        <is>
          <t>教育</t>
        </is>
      </c>
      <c r="J251">
        <v>75244</v>
      </c>
      <c r="K251" t="inlineStr">
        <is>
          <t>7.5</t>
        </is>
      </c>
      <c r="L251">
        <v>20770</v>
      </c>
      <c r="M251">
        <v>4759</v>
      </c>
      <c r="N251">
        <v>421</v>
      </c>
      <c r="O251">
        <v>800</v>
      </c>
      <c r="P251">
        <v>0.08</v>
      </c>
      <c r="Q251">
        <v>0.72</v>
      </c>
      <c r="R251">
        <v>6119</v>
      </c>
      <c r="S251">
        <v>335</v>
      </c>
      <c r="T251">
        <v>25</v>
      </c>
      <c r="U251">
        <v>2.69</v>
      </c>
      <c r="V251">
        <v>800</v>
      </c>
      <c r="W251">
        <v>0</v>
      </c>
      <c r="X251">
        <v>0</v>
      </c>
      <c r="Y251">
        <v>130.74</v>
      </c>
      <c r="Z251">
        <v>25</v>
      </c>
      <c r="AA251">
        <v>21042</v>
      </c>
      <c r="AB251">
        <v>5214</v>
      </c>
      <c r="AC251">
        <v>286</v>
      </c>
      <c r="AD251">
        <v>1.88</v>
      </c>
      <c r="AE251">
        <v>2000</v>
      </c>
      <c r="AF251">
        <v>0.75</v>
      </c>
      <c r="AG251">
        <v>0.083</v>
      </c>
      <c r="AH251">
        <v>0.221</v>
      </c>
      <c r="AI251">
        <v>95.05</v>
      </c>
      <c r="AJ251">
        <v>4.73</v>
      </c>
      <c r="AK251">
        <v>0</v>
      </c>
      <c r="AL251">
        <v>0</v>
      </c>
      <c r="AM251">
        <v>0</v>
      </c>
      <c r="AN251">
        <v>0</v>
      </c>
      <c r="AO251">
        <v>0</v>
      </c>
      <c r="AP251">
        <v>0.816</v>
      </c>
      <c r="AQ251">
        <v>0.063</v>
      </c>
      <c r="AR251">
        <v>0.192</v>
      </c>
      <c r="AS251" s="3">
        <v>46107.76792824074</v>
      </c>
    </row>
    <row r="252" ht="25.5" customHeight="1">
      <c r="A252" t="inlineStr">
        <is>
          <t>5de454150000000001004fb5</t>
        </is>
      </c>
      <c r="B252" s="2" t="str">
        <f>=HYPERLINK("https://www.xiaohongshu.com/user/profile/5de454150000000001004fb5", "https://www.xiaohongshu.com/user/profile/5de454150000000001004fb5")</f>
        <v>https://www.xiaohongshu.com/user/profile/5de454150000000001004fb5</v>
      </c>
      <c r="C252" s="2" t="str">
        <f>=HYPERLINK("https://pgy.xiaohongshu.com/solar/pre-trade/blogger-detail/5de454150000000001004fb5", "https://pgy.xiaohongshu.com/solar/pre-trade/blogger-detail/5de454150000000001004fb5")</f>
        <v>https://pgy.xiaohongshu.com/solar/pre-trade/blogger-detail/5de454150000000001004fb5</v>
      </c>
      <c r="D252" t="inlineStr">
        <is>
          <t>女</t>
        </is>
      </c>
      <c r="E252" t="inlineStr">
        <is>
          <t>669522720</t>
        </is>
      </c>
      <c r="F252" t="inlineStr">
        <is>
          <t>挪威蟹老板</t>
        </is>
      </c>
      <c r="G252" t="inlineStr">
        <is>
          <t>挪威</t>
        </is>
      </c>
      <c r="H252" t="inlineStr">
        <is>
          <t>户外爱好者, 学生, 海外华人, 外国人</t>
        </is>
      </c>
      <c r="I252" t="inlineStr">
        <is>
          <t>教育</t>
        </is>
      </c>
      <c r="J252">
        <v>2157</v>
      </c>
      <c r="K252" t="inlineStr">
        <is>
          <t>0.2</t>
        </is>
      </c>
      <c r="L252">
        <v>2755</v>
      </c>
      <c r="M252">
        <v>724</v>
      </c>
      <c r="N252">
        <v>141</v>
      </c>
      <c r="O252">
        <v>200</v>
      </c>
      <c r="P252">
        <v>0</v>
      </c>
      <c r="Q252">
        <v>0.5</v>
      </c>
      <c r="R252">
        <v>0</v>
      </c>
      <c r="S252">
        <v>0</v>
      </c>
      <c r="T252">
        <v>0</v>
      </c>
      <c r="U252">
        <v>0</v>
      </c>
      <c r="V252">
        <v>200</v>
      </c>
      <c r="W252">
        <v>0</v>
      </c>
      <c r="X252">
        <v>0</v>
      </c>
      <c r="Y252">
        <v>0</v>
      </c>
      <c r="Z252">
        <v>0</v>
      </c>
      <c r="AA252">
        <v>2755</v>
      </c>
      <c r="AB252">
        <v>724</v>
      </c>
      <c r="AC252">
        <v>119</v>
      </c>
      <c r="AD252">
        <v>2.09</v>
      </c>
      <c r="AE252">
        <v>430</v>
      </c>
      <c r="AF252">
        <v>0.5</v>
      </c>
      <c r="AG252">
        <v>0</v>
      </c>
      <c r="AH252">
        <v>0.078</v>
      </c>
      <c r="AI252">
        <v>156.05</v>
      </c>
      <c r="AJ252">
        <v>3.04</v>
      </c>
      <c r="AK252">
        <v>0</v>
      </c>
      <c r="AL252">
        <v>0</v>
      </c>
      <c r="AM252">
        <v>0</v>
      </c>
      <c r="AN252">
        <v>0</v>
      </c>
      <c r="AO252">
        <v>0</v>
      </c>
      <c r="AP252">
        <v>0.941</v>
      </c>
      <c r="AQ252">
        <v>0.168999999999999</v>
      </c>
      <c r="AR252">
        <v>0.184</v>
      </c>
      <c r="AS252" s="3">
        <v>46107.76792824074</v>
      </c>
    </row>
    <row r="253" ht="25.5" customHeight="1">
      <c r="A253" t="inlineStr">
        <is>
          <t>56df596faed7581736078e98</t>
        </is>
      </c>
      <c r="B253" s="2" t="str">
        <f>=HYPERLINK("https://www.xiaohongshu.com/user/profile/56df596faed7581736078e98", "https://www.xiaohongshu.com/user/profile/56df596faed7581736078e98")</f>
        <v>https://www.xiaohongshu.com/user/profile/56df596faed7581736078e98</v>
      </c>
      <c r="C253" s="2" t="str">
        <f>=HYPERLINK("https://pgy.xiaohongshu.com/solar/pre-trade/blogger-detail/56df596faed7581736078e98", "https://pgy.xiaohongshu.com/solar/pre-trade/blogger-detail/56df596faed7581736078e98")</f>
        <v>https://pgy.xiaohongshu.com/solar/pre-trade/blogger-detail/56df596faed7581736078e98</v>
      </c>
      <c r="D253" t="inlineStr">
        <is>
          <t>女</t>
        </is>
      </c>
      <c r="E253" t="inlineStr">
        <is>
          <t>102646945</t>
        </is>
      </c>
      <c r="F253" t="inlineStr">
        <is>
          <t>33yyviiw</t>
        </is>
      </c>
      <c r="G253" t="inlineStr">
        <is>
          <t>英国</t>
        </is>
      </c>
      <c r="H253" t="inlineStr">
        <is>
          <t>留学背景, 学生</t>
        </is>
      </c>
      <c r="I253" t="inlineStr">
        <is>
          <t>教育</t>
        </is>
      </c>
      <c r="J253">
        <v>7809</v>
      </c>
      <c r="K253" t="inlineStr">
        <is>
          <t>0.8</t>
        </is>
      </c>
      <c r="L253">
        <v>12928</v>
      </c>
      <c r="M253">
        <v>2362</v>
      </c>
      <c r="N253">
        <v>337</v>
      </c>
      <c r="O253">
        <v>850</v>
      </c>
      <c r="P253">
        <v>0</v>
      </c>
      <c r="Q253">
        <v>0.8</v>
      </c>
      <c r="R253">
        <v>0</v>
      </c>
      <c r="S253">
        <v>0</v>
      </c>
      <c r="T253">
        <v>0</v>
      </c>
      <c r="U253">
        <v>6</v>
      </c>
      <c r="V253">
        <v>850</v>
      </c>
      <c r="W253">
        <v>0</v>
      </c>
      <c r="X253">
        <v>0</v>
      </c>
      <c r="Y253">
        <v>1114.02</v>
      </c>
      <c r="Z253">
        <v>34</v>
      </c>
      <c r="AA253">
        <v>12928</v>
      </c>
      <c r="AB253">
        <v>2362</v>
      </c>
      <c r="AC253">
        <v>302</v>
      </c>
      <c r="AD253">
        <v>1.87</v>
      </c>
      <c r="AE253">
        <v>1000</v>
      </c>
      <c r="AF253">
        <v>0.8</v>
      </c>
      <c r="AG253">
        <v>0</v>
      </c>
      <c r="AH253">
        <v>0.068</v>
      </c>
      <c r="AI253">
        <v>66.13</v>
      </c>
      <c r="AJ253">
        <v>2.72</v>
      </c>
      <c r="AK253">
        <v>17938</v>
      </c>
      <c r="AL253">
        <v>3053</v>
      </c>
      <c r="AM253">
        <v>457</v>
      </c>
      <c r="AN253">
        <v>0</v>
      </c>
      <c r="AO253">
        <v>0</v>
      </c>
      <c r="AP253">
        <v>0.877</v>
      </c>
      <c r="AQ253">
        <v>0.125</v>
      </c>
      <c r="AR253">
        <v>0.15</v>
      </c>
      <c r="AS253" s="3">
        <v>46107.76792824074</v>
      </c>
    </row>
    <row r="254" ht="25.5" customHeight="1">
      <c r="A254" t="inlineStr">
        <is>
          <t>603fa070000000000101d975</t>
        </is>
      </c>
      <c r="B254" s="2" t="str">
        <f>=HYPERLINK("https://www.xiaohongshu.com/user/profile/603fa070000000000101d975", "https://www.xiaohongshu.com/user/profile/603fa070000000000101d975")</f>
        <v>https://www.xiaohongshu.com/user/profile/603fa070000000000101d975</v>
      </c>
      <c r="C254" s="2" t="str">
        <f>=HYPERLINK("https://pgy.xiaohongshu.com/solar/pre-trade/blogger-detail/603fa070000000000101d975", "https://pgy.xiaohongshu.com/solar/pre-trade/blogger-detail/603fa070000000000101d975")</f>
        <v>https://pgy.xiaohongshu.com/solar/pre-trade/blogger-detail/603fa070000000000101d975</v>
      </c>
      <c r="D254" t="inlineStr">
        <is>
          <t>女</t>
        </is>
      </c>
      <c r="E254" t="inlineStr">
        <is>
          <t>1809824532</t>
        </is>
      </c>
      <c r="F254" t="inlineStr">
        <is>
          <t>闻鹤Wonha</t>
        </is>
      </c>
      <c r="G254" t="inlineStr">
        <is>
          <t>韩国</t>
        </is>
      </c>
      <c r="H254" t="inlineStr">
        <is>
          <t>街舞爱好者, 留学背景, 学生</t>
        </is>
      </c>
      <c r="I254" t="inlineStr">
        <is>
          <t>生活记录</t>
        </is>
      </c>
      <c r="J254">
        <v>17718</v>
      </c>
      <c r="K254" t="inlineStr">
        <is>
          <t>1.8</t>
        </is>
      </c>
      <c r="L254">
        <v>54201</v>
      </c>
      <c r="M254">
        <v>21134</v>
      </c>
      <c r="N254">
        <v>2742</v>
      </c>
      <c r="O254">
        <v>2750</v>
      </c>
      <c r="P254">
        <v>0.5</v>
      </c>
      <c r="Q254">
        <v>0.75</v>
      </c>
      <c r="R254">
        <v>0</v>
      </c>
      <c r="S254">
        <v>0</v>
      </c>
      <c r="T254">
        <v>0</v>
      </c>
      <c r="U254">
        <v>0</v>
      </c>
      <c r="V254">
        <v>2750</v>
      </c>
      <c r="W254">
        <v>0</v>
      </c>
      <c r="X254">
        <v>0</v>
      </c>
      <c r="Y254">
        <v>0</v>
      </c>
      <c r="Z254">
        <v>0</v>
      </c>
      <c r="AA254">
        <v>54201</v>
      </c>
      <c r="AB254">
        <v>21134</v>
      </c>
      <c r="AC254">
        <v>2568</v>
      </c>
      <c r="AD254">
        <v>1.68</v>
      </c>
      <c r="AE254">
        <v>3750</v>
      </c>
      <c r="AF254">
        <v>0.75</v>
      </c>
      <c r="AG254">
        <v>0.5</v>
      </c>
      <c r="AH254">
        <v>0.387</v>
      </c>
      <c r="AI254">
        <v>69.19</v>
      </c>
      <c r="AJ254">
        <v>1.37</v>
      </c>
      <c r="AK254">
        <v>0</v>
      </c>
      <c r="AL254">
        <v>0</v>
      </c>
      <c r="AM254">
        <v>0</v>
      </c>
      <c r="AN254">
        <v>0</v>
      </c>
      <c r="AO254">
        <v>0</v>
      </c>
      <c r="AP254">
        <v>0.838</v>
      </c>
      <c r="AQ254">
        <v>0.091</v>
      </c>
      <c r="AR254">
        <v>0.094</v>
      </c>
      <c r="AS254" s="3">
        <v>46107.76792824074</v>
      </c>
    </row>
    <row r="255" ht="25.5" customHeight="1">
      <c r="A255" t="inlineStr">
        <is>
          <t>5fb7601b000000000101c96e</t>
        </is>
      </c>
      <c r="B255" s="2" t="str">
        <f>=HYPERLINK("https://www.xiaohongshu.com/user/profile/5fb7601b000000000101c96e", "https://www.xiaohongshu.com/user/profile/5fb7601b000000000101c96e")</f>
        <v>https://www.xiaohongshu.com/user/profile/5fb7601b000000000101c96e</v>
      </c>
      <c r="C255" s="2" t="str">
        <f>=HYPERLINK("https://pgy.xiaohongshu.com/solar/pre-trade/blogger-detail/5fb7601b000000000101c96e", "https://pgy.xiaohongshu.com/solar/pre-trade/blogger-detail/5fb7601b000000000101c96e")</f>
        <v>https://pgy.xiaohongshu.com/solar/pre-trade/blogger-detail/5fb7601b000000000101c96e</v>
      </c>
      <c r="D255" t="inlineStr">
        <is>
          <t>女</t>
        </is>
      </c>
      <c r="E255" t="inlineStr">
        <is>
          <t>1058687363</t>
        </is>
      </c>
      <c r="F255" t="inlineStr">
        <is>
          <t>不扣手的</t>
        </is>
      </c>
      <c r="G255" t="inlineStr">
        <is>
          <t>重庆</t>
        </is>
      </c>
      <c r="H255"/>
      <c r="I255" t="inlineStr">
        <is>
          <t>教育</t>
        </is>
      </c>
      <c r="J255">
        <v>9223</v>
      </c>
      <c r="K255" t="inlineStr">
        <is>
          <t>0.9</t>
        </is>
      </c>
      <c r="L255">
        <v>9094</v>
      </c>
      <c r="M255">
        <v>2621</v>
      </c>
      <c r="N255">
        <v>348</v>
      </c>
      <c r="O255">
        <v>300</v>
      </c>
      <c r="P255">
        <v>0.094</v>
      </c>
      <c r="Q255">
        <v>0.594</v>
      </c>
      <c r="R255">
        <v>5208</v>
      </c>
      <c r="S255">
        <v>681</v>
      </c>
      <c r="T255">
        <v>63</v>
      </c>
      <c r="U255">
        <v>0.76</v>
      </c>
      <c r="V255">
        <v>300</v>
      </c>
      <c r="W255">
        <v>0</v>
      </c>
      <c r="X255">
        <v>0</v>
      </c>
      <c r="Y255">
        <v>58.53</v>
      </c>
      <c r="Z255">
        <v>5.26</v>
      </c>
      <c r="AA255">
        <v>9783</v>
      </c>
      <c r="AB255">
        <v>3012</v>
      </c>
      <c r="AC255">
        <v>333</v>
      </c>
      <c r="AD255">
        <v>1.74</v>
      </c>
      <c r="AE255">
        <v>720</v>
      </c>
      <c r="AF255">
        <v>0.633</v>
      </c>
      <c r="AG255">
        <v>0.1</v>
      </c>
      <c r="AH255">
        <v>0.052</v>
      </c>
      <c r="AI255">
        <v>73.59</v>
      </c>
      <c r="AJ255">
        <v>1.94</v>
      </c>
      <c r="AK255">
        <v>2670</v>
      </c>
      <c r="AL255">
        <v>474</v>
      </c>
      <c r="AM255">
        <v>51</v>
      </c>
      <c r="AN255">
        <v>0</v>
      </c>
      <c r="AO255">
        <v>0</v>
      </c>
      <c r="AP255">
        <v>0.958</v>
      </c>
      <c r="AQ255">
        <v>0.266</v>
      </c>
      <c r="AR255">
        <v>0.398999999999999</v>
      </c>
      <c r="AS255" s="3">
        <v>46107.76792824074</v>
      </c>
    </row>
    <row r="256" ht="25.5" customHeight="1">
      <c r="A256" t="inlineStr">
        <is>
          <t>5b3c54206b58b74d9a77709d</t>
        </is>
      </c>
      <c r="B256" s="2" t="str">
        <f>=HYPERLINK("https://www.xiaohongshu.com/user/profile/5b3c54206b58b74d9a77709d", "https://www.xiaohongshu.com/user/profile/5b3c54206b58b74d9a77709d")</f>
        <v>https://www.xiaohongshu.com/user/profile/5b3c54206b58b74d9a77709d</v>
      </c>
      <c r="C256" s="2" t="str">
        <f>=HYPERLINK("https://pgy.xiaohongshu.com/solar/pre-trade/blogger-detail/5b3c54206b58b74d9a77709d", "https://pgy.xiaohongshu.com/solar/pre-trade/blogger-detail/5b3c54206b58b74d9a77709d")</f>
        <v>https://pgy.xiaohongshu.com/solar/pre-trade/blogger-detail/5b3c54206b58b74d9a77709d</v>
      </c>
      <c r="D256" t="inlineStr">
        <is>
          <t>女</t>
        </is>
      </c>
      <c r="E256" t="inlineStr">
        <is>
          <t>940182657</t>
        </is>
      </c>
      <c r="F256" t="inlineStr">
        <is>
          <t>咕噜咕噜小胖子</t>
        </is>
      </c>
      <c r="G256" t="inlineStr">
        <is>
          <t>广东 广州 海珠区</t>
        </is>
      </c>
      <c r="H256" t="inlineStr">
        <is>
          <t>考研过来人, 学生</t>
        </is>
      </c>
      <c r="I256" t="inlineStr">
        <is>
          <t>教育, 生活记录</t>
        </is>
      </c>
      <c r="J256">
        <v>15005</v>
      </c>
      <c r="K256" t="inlineStr">
        <is>
          <t>1.5</t>
        </is>
      </c>
      <c r="L256">
        <v>6424</v>
      </c>
      <c r="M256">
        <v>2091</v>
      </c>
      <c r="N256">
        <v>138</v>
      </c>
      <c r="O256">
        <v>1200</v>
      </c>
      <c r="P256">
        <v>0</v>
      </c>
      <c r="Q256">
        <v>0.5</v>
      </c>
      <c r="R256">
        <v>0</v>
      </c>
      <c r="S256">
        <v>0</v>
      </c>
      <c r="T256">
        <v>0</v>
      </c>
      <c r="U256">
        <v>2.95</v>
      </c>
      <c r="V256">
        <v>1200</v>
      </c>
      <c r="W256">
        <v>0</v>
      </c>
      <c r="X256">
        <v>0</v>
      </c>
      <c r="Y256">
        <v>275.42</v>
      </c>
      <c r="Z256">
        <v>75</v>
      </c>
      <c r="AA256">
        <v>6424</v>
      </c>
      <c r="AB256">
        <v>2091</v>
      </c>
      <c r="AC256">
        <v>125</v>
      </c>
      <c r="AD256">
        <v>2.62</v>
      </c>
      <c r="AE256">
        <v>2000</v>
      </c>
      <c r="AF256">
        <v>0.5</v>
      </c>
      <c r="AG256">
        <v>0</v>
      </c>
      <c r="AH256">
        <v>0.089</v>
      </c>
      <c r="AI256">
        <v>264.27</v>
      </c>
      <c r="AJ256">
        <v>22.99</v>
      </c>
      <c r="AK256">
        <v>10465</v>
      </c>
      <c r="AL256">
        <v>1120</v>
      </c>
      <c r="AM256">
        <v>45</v>
      </c>
      <c r="AN256">
        <v>0</v>
      </c>
      <c r="AO256">
        <v>0</v>
      </c>
      <c r="AP256">
        <v>0.852</v>
      </c>
      <c r="AQ256">
        <v>0.015</v>
      </c>
      <c r="AR256">
        <v>0.005</v>
      </c>
      <c r="AS256" s="3">
        <v>46107.76792824074</v>
      </c>
    </row>
    <row r="257" ht="25.5" customHeight="1">
      <c r="A257" t="inlineStr">
        <is>
          <t>6540a349000000000400842f</t>
        </is>
      </c>
      <c r="B257" s="2" t="str">
        <f>=HYPERLINK("https://www.xiaohongshu.com/user/profile/6540a349000000000400842f", "https://www.xiaohongshu.com/user/profile/6540a349000000000400842f")</f>
        <v>https://www.xiaohongshu.com/user/profile/6540a349000000000400842f</v>
      </c>
      <c r="C257" s="2" t="str">
        <f>=HYPERLINK("https://pgy.xiaohongshu.com/solar/pre-trade/blogger-detail/6540a349000000000400842f", "https://pgy.xiaohongshu.com/solar/pre-trade/blogger-detail/6540a349000000000400842f")</f>
        <v>https://pgy.xiaohongshu.com/solar/pre-trade/blogger-detail/6540a349000000000400842f</v>
      </c>
      <c r="D257" t="inlineStr">
        <is>
          <t>女</t>
        </is>
      </c>
      <c r="E257" t="inlineStr">
        <is>
          <t>potatosa1</t>
        </is>
      </c>
      <c r="F257" t="inlineStr">
        <is>
          <t>po老师（英语版）</t>
        </is>
      </c>
      <c r="G257" t="inlineStr">
        <is>
          <t>浙江 杭州 临安区</t>
        </is>
      </c>
      <c r="H257"/>
      <c r="I257" t="inlineStr">
        <is>
          <t>教育</t>
        </is>
      </c>
      <c r="J257">
        <v>166357</v>
      </c>
      <c r="K257" t="inlineStr">
        <is>
          <t>16.6</t>
        </is>
      </c>
      <c r="L257">
        <v>51649</v>
      </c>
      <c r="M257">
        <v>9609</v>
      </c>
      <c r="N257">
        <v>615</v>
      </c>
      <c r="O257">
        <v>9000</v>
      </c>
      <c r="P257">
        <v>0.25</v>
      </c>
      <c r="Q257">
        <v>0.75</v>
      </c>
      <c r="R257">
        <v>0</v>
      </c>
      <c r="S257">
        <v>0</v>
      </c>
      <c r="T257">
        <v>0</v>
      </c>
      <c r="U257">
        <v>0</v>
      </c>
      <c r="V257">
        <v>9000</v>
      </c>
      <c r="W257">
        <v>0</v>
      </c>
      <c r="X257">
        <v>0</v>
      </c>
      <c r="Y257">
        <v>0</v>
      </c>
      <c r="Z257">
        <v>0</v>
      </c>
      <c r="AA257">
        <v>51649</v>
      </c>
      <c r="AB257">
        <v>9609</v>
      </c>
      <c r="AC257">
        <v>526</v>
      </c>
      <c r="AD257">
        <v>3.58</v>
      </c>
      <c r="AE257">
        <v>20000</v>
      </c>
      <c r="AF257">
        <v>0.75</v>
      </c>
      <c r="AG257">
        <v>0.25</v>
      </c>
      <c r="AH257">
        <v>0.11</v>
      </c>
      <c r="AI257">
        <v>453.24</v>
      </c>
      <c r="AJ257">
        <v>32.49</v>
      </c>
      <c r="AK257">
        <v>0</v>
      </c>
      <c r="AL257">
        <v>0</v>
      </c>
      <c r="AM257">
        <v>0</v>
      </c>
      <c r="AN257">
        <v>0</v>
      </c>
      <c r="AO257">
        <v>0</v>
      </c>
      <c r="AP257">
        <v>0.93</v>
      </c>
      <c r="AQ257">
        <v>0.021</v>
      </c>
      <c r="AR257">
        <v>0.00699999999999999</v>
      </c>
      <c r="AS257" s="3">
        <v>46107.76792824074</v>
      </c>
    </row>
    <row r="258" ht="25.5" customHeight="1">
      <c r="A258" t="inlineStr">
        <is>
          <t>5bb385673c3df300013db71a</t>
        </is>
      </c>
      <c r="B258" s="2" t="str">
        <f>=HYPERLINK("https://www.xiaohongshu.com/user/profile/5bb385673c3df300013db71a", "https://www.xiaohongshu.com/user/profile/5bb385673c3df300013db71a")</f>
        <v>https://www.xiaohongshu.com/user/profile/5bb385673c3df300013db71a</v>
      </c>
      <c r="C258" s="2" t="str">
        <f>=HYPERLINK("https://pgy.xiaohongshu.com/solar/pre-trade/blogger-detail/5bb385673c3df300013db71a", "https://pgy.xiaohongshu.com/solar/pre-trade/blogger-detail/5bb385673c3df300013db71a")</f>
        <v>https://pgy.xiaohongshu.com/solar/pre-trade/blogger-detail/5bb385673c3df300013db71a</v>
      </c>
      <c r="D258" t="inlineStr">
        <is>
          <t>女</t>
        </is>
      </c>
      <c r="E258" t="inlineStr">
        <is>
          <t>629768112</t>
        </is>
      </c>
      <c r="F258" t="inlineStr">
        <is>
          <t>美美美兔宝</t>
        </is>
      </c>
      <c r="G258" t="inlineStr">
        <is>
          <t>江苏 南京 栖霞区</t>
        </is>
      </c>
      <c r="H258" t="inlineStr">
        <is>
          <t>6-12岁, 户外爱好者, 留学背景, 家庭</t>
        </is>
      </c>
      <c r="I258" t="inlineStr">
        <is>
          <t>生活记录</t>
        </is>
      </c>
      <c r="J258">
        <v>3302</v>
      </c>
      <c r="K258" t="inlineStr">
        <is>
          <t>0.3</t>
        </is>
      </c>
      <c r="L258">
        <v>32903</v>
      </c>
      <c r="M258">
        <v>6838</v>
      </c>
      <c r="N258">
        <v>248</v>
      </c>
      <c r="O258">
        <v>400</v>
      </c>
      <c r="P258">
        <v>0.091</v>
      </c>
      <c r="Q258">
        <v>0.818</v>
      </c>
      <c r="R258">
        <v>39687</v>
      </c>
      <c r="S258">
        <v>7528</v>
      </c>
      <c r="T258">
        <v>197</v>
      </c>
      <c r="U258">
        <v>0.37</v>
      </c>
      <c r="V258">
        <v>400</v>
      </c>
      <c r="W258">
        <v>0.8</v>
      </c>
      <c r="X258">
        <v>0.1</v>
      </c>
      <c r="Y258">
        <v>12.16</v>
      </c>
      <c r="Z258">
        <v>2.41</v>
      </c>
      <c r="AA258">
        <v>30827</v>
      </c>
      <c r="AB258">
        <v>3667</v>
      </c>
      <c r="AC258">
        <v>404</v>
      </c>
      <c r="AD258">
        <v>1.64</v>
      </c>
      <c r="AE258">
        <v>500</v>
      </c>
      <c r="AF258">
        <v>1</v>
      </c>
      <c r="AG258">
        <v>0</v>
      </c>
      <c r="AH258">
        <v>0.075</v>
      </c>
      <c r="AI258">
        <v>16.22</v>
      </c>
      <c r="AJ258">
        <v>1.13</v>
      </c>
      <c r="AK258">
        <v>32695</v>
      </c>
      <c r="AL258">
        <v>2661</v>
      </c>
      <c r="AM258">
        <v>80</v>
      </c>
      <c r="AN258">
        <v>0</v>
      </c>
      <c r="AO258">
        <v>5.1</v>
      </c>
      <c r="AP258">
        <v>0.885999999999999</v>
      </c>
      <c r="AQ258">
        <v>0.074</v>
      </c>
      <c r="AR258">
        <v>0.474</v>
      </c>
      <c r="AS258" s="3">
        <v>46107.76792824074</v>
      </c>
    </row>
    <row r="259" ht="25.5" customHeight="1">
      <c r="A259" t="inlineStr">
        <is>
          <t>61035b6a0000000001004011</t>
        </is>
      </c>
      <c r="B259" s="2" t="str">
        <f>=HYPERLINK("https://www.xiaohongshu.com/user/profile/61035b6a0000000001004011", "https://www.xiaohongshu.com/user/profile/61035b6a0000000001004011")</f>
        <v>https://www.xiaohongshu.com/user/profile/61035b6a0000000001004011</v>
      </c>
      <c r="C259" s="2" t="str">
        <f>=HYPERLINK("https://pgy.xiaohongshu.com/solar/pre-trade/blogger-detail/61035b6a0000000001004011", "https://pgy.xiaohongshu.com/solar/pre-trade/blogger-detail/61035b6a0000000001004011")</f>
        <v>https://pgy.xiaohongshu.com/solar/pre-trade/blogger-detail/61035b6a0000000001004011</v>
      </c>
      <c r="D259" t="inlineStr">
        <is>
          <t>女</t>
        </is>
      </c>
      <c r="E259" t="inlineStr">
        <is>
          <t>4221589076</t>
        </is>
      </c>
      <c r="F259" t="inlineStr">
        <is>
          <t>小甯Anna</t>
        </is>
      </c>
      <c r="G259" t="inlineStr">
        <is>
          <t>中国 香港</t>
        </is>
      </c>
      <c r="H259" t="inlineStr">
        <is>
          <t>留学背景, 学生</t>
        </is>
      </c>
      <c r="I259" t="inlineStr">
        <is>
          <t>教育</t>
        </is>
      </c>
      <c r="J259">
        <v>22612</v>
      </c>
      <c r="K259" t="inlineStr">
        <is>
          <t>2.3</t>
        </is>
      </c>
      <c r="L259">
        <v>7470</v>
      </c>
      <c r="M259">
        <v>1562</v>
      </c>
      <c r="N259">
        <v>122</v>
      </c>
      <c r="O259">
        <v>1500</v>
      </c>
      <c r="P259">
        <v>0</v>
      </c>
      <c r="Q259">
        <v>0.332999999999999</v>
      </c>
      <c r="R259">
        <v>0</v>
      </c>
      <c r="S259">
        <v>0</v>
      </c>
      <c r="T259">
        <v>0</v>
      </c>
      <c r="U259">
        <v>0</v>
      </c>
      <c r="V259">
        <v>1500</v>
      </c>
      <c r="W259">
        <v>0</v>
      </c>
      <c r="X259">
        <v>0</v>
      </c>
      <c r="Y259">
        <v>0</v>
      </c>
      <c r="Z259">
        <v>0</v>
      </c>
      <c r="AA259">
        <v>7470</v>
      </c>
      <c r="AB259">
        <v>1562</v>
      </c>
      <c r="AC259">
        <v>94</v>
      </c>
      <c r="AD259">
        <v>3.19</v>
      </c>
      <c r="AE259">
        <v>2000</v>
      </c>
      <c r="AF259">
        <v>0.332999999999999</v>
      </c>
      <c r="AG259">
        <v>0</v>
      </c>
      <c r="AH259">
        <v>0.07</v>
      </c>
      <c r="AI259">
        <v>352.58</v>
      </c>
      <c r="AJ259">
        <v>18.87</v>
      </c>
      <c r="AK259">
        <v>3875</v>
      </c>
      <c r="AL259">
        <v>620</v>
      </c>
      <c r="AM259">
        <v>70</v>
      </c>
      <c r="AN259">
        <v>0</v>
      </c>
      <c r="AO259">
        <v>0</v>
      </c>
      <c r="AP259">
        <v>0.88</v>
      </c>
      <c r="AQ259">
        <v>0.013</v>
      </c>
      <c r="AR259">
        <v>0.001</v>
      </c>
      <c r="AS259" s="3">
        <v>46107.76792824074</v>
      </c>
    </row>
    <row r="260" ht="25.5" customHeight="1">
      <c r="A260" t="inlineStr">
        <is>
          <t>621ec5a0000000001000dcfa</t>
        </is>
      </c>
      <c r="B260" s="2" t="str">
        <f>=HYPERLINK("https://www.xiaohongshu.com/user/profile/621ec5a0000000001000dcfa", "https://www.xiaohongshu.com/user/profile/621ec5a0000000001000dcfa")</f>
        <v>https://www.xiaohongshu.com/user/profile/621ec5a0000000001000dcfa</v>
      </c>
      <c r="C260" s="2" t="str">
        <f>=HYPERLINK("https://pgy.xiaohongshu.com/solar/pre-trade/blogger-detail/621ec5a0000000001000dcfa", "https://pgy.xiaohongshu.com/solar/pre-trade/blogger-detail/621ec5a0000000001000dcfa")</f>
        <v>https://pgy.xiaohongshu.com/solar/pre-trade/blogger-detail/621ec5a0000000001000dcfa</v>
      </c>
      <c r="D260" t="inlineStr">
        <is>
          <t>女</t>
        </is>
      </c>
      <c r="E260" t="inlineStr">
        <is>
          <t>6981362177</t>
        </is>
      </c>
      <c r="F260" t="inlineStr">
        <is>
          <t>韩语黄Jin</t>
        </is>
      </c>
      <c r="G260" t="inlineStr">
        <is>
          <t>山东 济宁 任城区</t>
        </is>
      </c>
      <c r="H260"/>
      <c r="I260" t="inlineStr">
        <is>
          <t>教育</t>
        </is>
      </c>
      <c r="J260">
        <v>23657</v>
      </c>
      <c r="K260" t="inlineStr">
        <is>
          <t>2.4</t>
        </is>
      </c>
      <c r="L260">
        <v>21312</v>
      </c>
      <c r="M260">
        <v>6364</v>
      </c>
      <c r="N260">
        <v>536</v>
      </c>
      <c r="O260">
        <v>317</v>
      </c>
      <c r="P260">
        <v>0.4</v>
      </c>
      <c r="Q260">
        <v>0.6</v>
      </c>
      <c r="R260">
        <v>0</v>
      </c>
      <c r="S260">
        <v>0</v>
      </c>
      <c r="T260">
        <v>0</v>
      </c>
      <c r="U260">
        <v>0</v>
      </c>
      <c r="V260">
        <v>317</v>
      </c>
      <c r="W260">
        <v>0</v>
      </c>
      <c r="X260">
        <v>0</v>
      </c>
      <c r="Y260">
        <v>0</v>
      </c>
      <c r="Z260">
        <v>0</v>
      </c>
      <c r="AA260">
        <v>21312</v>
      </c>
      <c r="AB260">
        <v>6364</v>
      </c>
      <c r="AC260">
        <v>414</v>
      </c>
      <c r="AD260">
        <v>1.98</v>
      </c>
      <c r="AE260">
        <v>3043</v>
      </c>
      <c r="AF260">
        <v>0.6</v>
      </c>
      <c r="AG260">
        <v>0.4</v>
      </c>
      <c r="AH260">
        <v>0.013</v>
      </c>
      <c r="AI260">
        <v>142.78</v>
      </c>
      <c r="AJ260">
        <v>5.68</v>
      </c>
      <c r="AK260">
        <v>0</v>
      </c>
      <c r="AL260">
        <v>0</v>
      </c>
      <c r="AM260">
        <v>0</v>
      </c>
      <c r="AN260">
        <v>0</v>
      </c>
      <c r="AO260">
        <v>0</v>
      </c>
      <c r="AP260">
        <v>0.974</v>
      </c>
      <c r="AQ260">
        <v>0.107</v>
      </c>
      <c r="AR260">
        <v>0.267</v>
      </c>
      <c r="AS260" s="3">
        <v>46107.76792824074</v>
      </c>
    </row>
    <row r="261" ht="25.5" customHeight="1">
      <c r="A261" t="inlineStr">
        <is>
          <t>5ad1ec8f11be100b70adae86</t>
        </is>
      </c>
      <c r="B261" s="2" t="str">
        <f>=HYPERLINK("https://www.xiaohongshu.com/user/profile/5ad1ec8f11be100b70adae86", "https://www.xiaohongshu.com/user/profile/5ad1ec8f11be100b70adae86")</f>
        <v>https://www.xiaohongshu.com/user/profile/5ad1ec8f11be100b70adae86</v>
      </c>
      <c r="C261" s="2" t="str">
        <f>=HYPERLINK("https://pgy.xiaohongshu.com/solar/pre-trade/blogger-detail/5ad1ec8f11be100b70adae86", "https://pgy.xiaohongshu.com/solar/pre-trade/blogger-detail/5ad1ec8f11be100b70adae86")</f>
        <v>https://pgy.xiaohongshu.com/solar/pre-trade/blogger-detail/5ad1ec8f11be100b70adae86</v>
      </c>
      <c r="D261" t="inlineStr">
        <is>
          <t>女</t>
        </is>
      </c>
      <c r="E261" t="inlineStr">
        <is>
          <t>187637728</t>
        </is>
      </c>
      <c r="F261" t="inlineStr">
        <is>
          <t>小庄历险记uu</t>
        </is>
      </c>
      <c r="G261" t="inlineStr">
        <is>
          <t>吉林 长春 南关区</t>
        </is>
      </c>
      <c r="H261" t="inlineStr">
        <is>
          <t>学生</t>
        </is>
      </c>
      <c r="I261" t="inlineStr">
        <is>
          <t>教育</t>
        </is>
      </c>
      <c r="J261">
        <v>20069</v>
      </c>
      <c r="K261" t="inlineStr">
        <is>
          <t>2.0</t>
        </is>
      </c>
      <c r="L261">
        <v>16506</v>
      </c>
      <c r="M261">
        <v>2483</v>
      </c>
      <c r="N261">
        <v>245</v>
      </c>
      <c r="O261">
        <v>2400</v>
      </c>
      <c r="P261">
        <v>0</v>
      </c>
      <c r="Q261">
        <v>0.667</v>
      </c>
      <c r="R261">
        <v>0</v>
      </c>
      <c r="S261">
        <v>0</v>
      </c>
      <c r="T261">
        <v>0</v>
      </c>
      <c r="U261">
        <v>0</v>
      </c>
      <c r="V261">
        <v>0</v>
      </c>
      <c r="W261">
        <v>0</v>
      </c>
      <c r="X261">
        <v>0</v>
      </c>
      <c r="Y261">
        <v>0</v>
      </c>
      <c r="Z261">
        <v>0</v>
      </c>
      <c r="AA261">
        <v>16506</v>
      </c>
      <c r="AB261">
        <v>2483</v>
      </c>
      <c r="AC261">
        <v>226</v>
      </c>
      <c r="AD261">
        <v>2.95</v>
      </c>
      <c r="AE261">
        <v>2400</v>
      </c>
      <c r="AF261">
        <v>0.667</v>
      </c>
      <c r="AG261">
        <v>0</v>
      </c>
      <c r="AH261">
        <v>0.099</v>
      </c>
      <c r="AI261">
        <v>288.39</v>
      </c>
      <c r="AJ261">
        <v>14.29</v>
      </c>
      <c r="AK261">
        <v>9762</v>
      </c>
      <c r="AL261">
        <v>1646</v>
      </c>
      <c r="AM261">
        <v>112</v>
      </c>
      <c r="AN261">
        <v>0</v>
      </c>
      <c r="AO261">
        <v>477.45</v>
      </c>
      <c r="AP261">
        <v>0.898</v>
      </c>
      <c r="AQ261">
        <v>0.037</v>
      </c>
      <c r="AR261">
        <v>0.018</v>
      </c>
      <c r="AS261" s="3">
        <v>46107.76792824074</v>
      </c>
    </row>
    <row r="262" ht="25.5" customHeight="1">
      <c r="A262" t="inlineStr">
        <is>
          <t>5d1734760000000010021c83</t>
        </is>
      </c>
      <c r="B262" s="2" t="str">
        <f>=HYPERLINK("https://www.xiaohongshu.com/user/profile/5d1734760000000010021c83", "https://www.xiaohongshu.com/user/profile/5d1734760000000010021c83")</f>
        <v>https://www.xiaohongshu.com/user/profile/5d1734760000000010021c83</v>
      </c>
      <c r="C262" s="2" t="str">
        <f>=HYPERLINK("https://pgy.xiaohongshu.com/solar/pre-trade/blogger-detail/5d1734760000000010021c83", "https://pgy.xiaohongshu.com/solar/pre-trade/blogger-detail/5d1734760000000010021c83")</f>
        <v>https://pgy.xiaohongshu.com/solar/pre-trade/blogger-detail/5d1734760000000010021c83</v>
      </c>
      <c r="D262" t="inlineStr">
        <is>
          <t>女</t>
        </is>
      </c>
      <c r="E262" t="inlineStr">
        <is>
          <t>640913104</t>
        </is>
      </c>
      <c r="F262" t="inlineStr">
        <is>
          <t>南瓜开心酱💭</t>
        </is>
      </c>
      <c r="G262" t="inlineStr">
        <is>
          <t>江苏 苏州 姑苏区</t>
        </is>
      </c>
      <c r="H262" t="inlineStr">
        <is>
          <t>考研过来人, 学生, 情侣</t>
        </is>
      </c>
      <c r="I262" t="inlineStr">
        <is>
          <t>教育, 健康养生</t>
        </is>
      </c>
      <c r="J262">
        <v>2230</v>
      </c>
      <c r="K262" t="inlineStr">
        <is>
          <t>0.2</t>
        </is>
      </c>
      <c r="L262">
        <v>3575</v>
      </c>
      <c r="M262">
        <v>687</v>
      </c>
      <c r="N262">
        <v>134</v>
      </c>
      <c r="O262">
        <v>245</v>
      </c>
      <c r="P262">
        <v>0</v>
      </c>
      <c r="Q262">
        <v>0.25</v>
      </c>
      <c r="R262">
        <v>3575</v>
      </c>
      <c r="S262">
        <v>687</v>
      </c>
      <c r="T262">
        <v>98</v>
      </c>
      <c r="U262">
        <v>0.66</v>
      </c>
      <c r="V262">
        <v>245</v>
      </c>
      <c r="W262">
        <v>0.25</v>
      </c>
      <c r="X262">
        <v>0</v>
      </c>
      <c r="Y262">
        <v>68.53</v>
      </c>
      <c r="Z262">
        <v>1.83</v>
      </c>
      <c r="AA262">
        <v>0</v>
      </c>
      <c r="AB262">
        <v>0</v>
      </c>
      <c r="AC262">
        <v>0</v>
      </c>
      <c r="AD262">
        <v>0</v>
      </c>
      <c r="AE262">
        <v>423</v>
      </c>
      <c r="AF262">
        <v>0</v>
      </c>
      <c r="AG262">
        <v>0</v>
      </c>
      <c r="AH262">
        <v>0</v>
      </c>
      <c r="AI262">
        <v>0</v>
      </c>
      <c r="AJ262">
        <v>0</v>
      </c>
      <c r="AK262">
        <v>0</v>
      </c>
      <c r="AL262">
        <v>0</v>
      </c>
      <c r="AM262">
        <v>0</v>
      </c>
      <c r="AN262">
        <v>0</v>
      </c>
      <c r="AO262">
        <v>0</v>
      </c>
      <c r="AP262">
        <v>0.637</v>
      </c>
      <c r="AQ262">
        <v>0.07</v>
      </c>
      <c r="AR262">
        <v>0.113</v>
      </c>
      <c r="AS262" s="3">
        <v>46107.76819444444</v>
      </c>
    </row>
    <row r="263" ht="25.5" customHeight="1">
      <c r="A263" t="inlineStr">
        <is>
          <t>598fbf1f50c4b46c32942b31</t>
        </is>
      </c>
      <c r="B263" s="2" t="str">
        <f>=HYPERLINK("https://www.xiaohongshu.com/user/profile/598fbf1f50c4b46c32942b31", "https://www.xiaohongshu.com/user/profile/598fbf1f50c4b46c32942b31")</f>
        <v>https://www.xiaohongshu.com/user/profile/598fbf1f50c4b46c32942b31</v>
      </c>
      <c r="C263" s="2" t="str">
        <f>=HYPERLINK("https://pgy.xiaohongshu.com/solar/pre-trade/blogger-detail/598fbf1f50c4b46c32942b31", "https://pgy.xiaohongshu.com/solar/pre-trade/blogger-detail/598fbf1f50c4b46c32942b31")</f>
        <v>https://pgy.xiaohongshu.com/solar/pre-trade/blogger-detail/598fbf1f50c4b46c32942b31</v>
      </c>
      <c r="D263" t="inlineStr">
        <is>
          <t>女</t>
        </is>
      </c>
      <c r="E263" t="inlineStr">
        <is>
          <t>941405658</t>
        </is>
      </c>
      <c r="F263" t="inlineStr">
        <is>
          <t>学习不能停🧐</t>
        </is>
      </c>
      <c r="G263" t="inlineStr">
        <is>
          <t>浙江 杭州 西湖区</t>
        </is>
      </c>
      <c r="H263" t="inlineStr">
        <is>
          <t>考研过来人, 学生</t>
        </is>
      </c>
      <c r="I263" t="inlineStr">
        <is>
          <t>教育, 生活记录</t>
        </is>
      </c>
      <c r="J263">
        <v>6897</v>
      </c>
      <c r="K263" t="inlineStr">
        <is>
          <t>0.7</t>
        </is>
      </c>
      <c r="L263">
        <v>4597</v>
      </c>
      <c r="M263">
        <v>686</v>
      </c>
      <c r="N263">
        <v>114</v>
      </c>
      <c r="O263">
        <v>800</v>
      </c>
      <c r="P263">
        <v>0</v>
      </c>
      <c r="Q263">
        <v>0.091</v>
      </c>
      <c r="R263">
        <v>4597</v>
      </c>
      <c r="S263">
        <v>580</v>
      </c>
      <c r="T263">
        <v>69</v>
      </c>
      <c r="U263">
        <v>1.44</v>
      </c>
      <c r="V263">
        <v>800</v>
      </c>
      <c r="W263">
        <v>0.111</v>
      </c>
      <c r="X263">
        <v>0</v>
      </c>
      <c r="Y263">
        <v>166.44</v>
      </c>
      <c r="Z263">
        <v>6.43</v>
      </c>
      <c r="AA263">
        <v>4689</v>
      </c>
      <c r="AB263">
        <v>877</v>
      </c>
      <c r="AC263">
        <v>117</v>
      </c>
      <c r="AD263">
        <v>2.47</v>
      </c>
      <c r="AE263">
        <v>850</v>
      </c>
      <c r="AF263">
        <v>0</v>
      </c>
      <c r="AG263">
        <v>0</v>
      </c>
      <c r="AH263">
        <v>0.188</v>
      </c>
      <c r="AI263">
        <v>181.28</v>
      </c>
      <c r="AJ263">
        <v>6.94</v>
      </c>
      <c r="AK263">
        <v>12473</v>
      </c>
      <c r="AL263">
        <v>1952</v>
      </c>
      <c r="AM263">
        <v>248</v>
      </c>
      <c r="AN263">
        <v>0</v>
      </c>
      <c r="AO263">
        <v>31.69</v>
      </c>
      <c r="AP263">
        <v>0.894</v>
      </c>
      <c r="AQ263">
        <v>0.061</v>
      </c>
      <c r="AR263">
        <v>0.034</v>
      </c>
      <c r="AS263" s="3">
        <v>46107.76819444444</v>
      </c>
    </row>
    <row r="264" ht="25.5" customHeight="1">
      <c r="A264" t="inlineStr">
        <is>
          <t>5eb7d48400000000010038d5</t>
        </is>
      </c>
      <c r="B264" s="2" t="str">
        <f>=HYPERLINK("https://www.xiaohongshu.com/user/profile/5eb7d48400000000010038d5", "https://www.xiaohongshu.com/user/profile/5eb7d48400000000010038d5")</f>
        <v>https://www.xiaohongshu.com/user/profile/5eb7d48400000000010038d5</v>
      </c>
      <c r="C264" s="2" t="str">
        <f>=HYPERLINK("https://pgy.xiaohongshu.com/solar/pre-trade/blogger-detail/5eb7d48400000000010038d5", "https://pgy.xiaohongshu.com/solar/pre-trade/blogger-detail/5eb7d48400000000010038d5")</f>
        <v>https://pgy.xiaohongshu.com/solar/pre-trade/blogger-detail/5eb7d48400000000010038d5</v>
      </c>
      <c r="D264" t="inlineStr">
        <is>
          <t>男</t>
        </is>
      </c>
      <c r="E264" t="inlineStr">
        <is>
          <t>NianLinBao</t>
        </is>
      </c>
      <c r="F264" t="inlineStr">
        <is>
          <t>蜡笔小咸鱼</t>
        </is>
      </c>
      <c r="G264" t="inlineStr">
        <is>
          <t>陕西 西安 长安区</t>
        </is>
      </c>
      <c r="H264" t="inlineStr">
        <is>
          <t>考研过来人, 学生, 程序员</t>
        </is>
      </c>
      <c r="I264" t="inlineStr">
        <is>
          <t>美食, 职场</t>
        </is>
      </c>
      <c r="J264">
        <v>2027</v>
      </c>
      <c r="K264" t="inlineStr">
        <is>
          <t>0.2</t>
        </is>
      </c>
      <c r="L264">
        <v>15505</v>
      </c>
      <c r="M264">
        <v>2712</v>
      </c>
      <c r="N264">
        <v>168</v>
      </c>
      <c r="O264">
        <v>300</v>
      </c>
      <c r="P264">
        <v>0</v>
      </c>
      <c r="Q264">
        <v>0.25</v>
      </c>
      <c r="R264">
        <v>15505</v>
      </c>
      <c r="S264">
        <v>2712</v>
      </c>
      <c r="T264">
        <v>123</v>
      </c>
      <c r="U264">
        <v>0.46</v>
      </c>
      <c r="V264">
        <v>300</v>
      </c>
      <c r="W264">
        <v>0.25</v>
      </c>
      <c r="X264">
        <v>0</v>
      </c>
      <c r="Y264">
        <v>30.76</v>
      </c>
      <c r="Z264">
        <v>2.11</v>
      </c>
      <c r="AA264">
        <v>0</v>
      </c>
      <c r="AB264">
        <v>0</v>
      </c>
      <c r="AC264">
        <v>0</v>
      </c>
      <c r="AD264">
        <v>0</v>
      </c>
      <c r="AE264">
        <v>0</v>
      </c>
      <c r="AF264">
        <v>0</v>
      </c>
      <c r="AG264">
        <v>0</v>
      </c>
      <c r="AH264">
        <v>0</v>
      </c>
      <c r="AI264">
        <v>0</v>
      </c>
      <c r="AJ264">
        <v>0</v>
      </c>
      <c r="AK264">
        <v>1279</v>
      </c>
      <c r="AL264">
        <v>161</v>
      </c>
      <c r="AM264">
        <v>15</v>
      </c>
      <c r="AN264">
        <v>0</v>
      </c>
      <c r="AO264">
        <v>0</v>
      </c>
      <c r="AP264">
        <v>0.84</v>
      </c>
      <c r="AQ264">
        <v>0.027</v>
      </c>
      <c r="AR264">
        <v>0.02</v>
      </c>
      <c r="AS264" s="3">
        <v>46107.76819444444</v>
      </c>
    </row>
    <row r="265" ht="25.5" customHeight="1">
      <c r="A265" t="inlineStr">
        <is>
          <t>5898fba411b4e75c16d4f1e9</t>
        </is>
      </c>
      <c r="B265" s="2" t="str">
        <f>=HYPERLINK("https://www.xiaohongshu.com/user/profile/5898fba411b4e75c16d4f1e9", "https://www.xiaohongshu.com/user/profile/5898fba411b4e75c16d4f1e9")</f>
        <v>https://www.xiaohongshu.com/user/profile/5898fba411b4e75c16d4f1e9</v>
      </c>
      <c r="C265" s="2" t="str">
        <f>=HYPERLINK("https://pgy.xiaohongshu.com/solar/pre-trade/blogger-detail/5898fba411b4e75c16d4f1e9", "https://pgy.xiaohongshu.com/solar/pre-trade/blogger-detail/5898fba411b4e75c16d4f1e9")</f>
        <v>https://pgy.xiaohongshu.com/solar/pre-trade/blogger-detail/5898fba411b4e75c16d4f1e9</v>
      </c>
      <c r="D265" t="inlineStr">
        <is>
          <t>女</t>
        </is>
      </c>
      <c r="E265" t="inlineStr">
        <is>
          <t>771116823</t>
        </is>
      </c>
      <c r="F265" t="inlineStr">
        <is>
          <t>长腿老伴</t>
        </is>
      </c>
      <c r="G265" t="inlineStr">
        <is>
          <t>内蒙古 包头 青山区</t>
        </is>
      </c>
      <c r="H265" t="inlineStr">
        <is>
          <t>留学背景</t>
        </is>
      </c>
      <c r="I265" t="inlineStr">
        <is>
          <t>出行旅游, 教育</t>
        </is>
      </c>
      <c r="J265">
        <v>2107</v>
      </c>
      <c r="K265" t="inlineStr">
        <is>
          <t>0.2</t>
        </is>
      </c>
      <c r="L265">
        <v>8430</v>
      </c>
      <c r="M265">
        <v>1813</v>
      </c>
      <c r="N265">
        <v>199</v>
      </c>
      <c r="O265">
        <v>520</v>
      </c>
      <c r="P265">
        <v>0</v>
      </c>
      <c r="Q265">
        <v>1</v>
      </c>
      <c r="R265">
        <v>17705</v>
      </c>
      <c r="S265">
        <v>4973</v>
      </c>
      <c r="T265">
        <v>241</v>
      </c>
      <c r="U265">
        <v>0.59</v>
      </c>
      <c r="V265">
        <v>520</v>
      </c>
      <c r="W265">
        <v>1</v>
      </c>
      <c r="X265">
        <v>0</v>
      </c>
      <c r="Y265">
        <v>61.68</v>
      </c>
      <c r="Z265">
        <v>1.65</v>
      </c>
      <c r="AA265">
        <v>1553</v>
      </c>
      <c r="AB265">
        <v>710</v>
      </c>
      <c r="AC265">
        <v>191</v>
      </c>
      <c r="AD265">
        <v>2.53</v>
      </c>
      <c r="AE265">
        <v>729</v>
      </c>
      <c r="AF265">
        <v>1</v>
      </c>
      <c r="AG265">
        <v>0</v>
      </c>
      <c r="AH265">
        <v>0.253</v>
      </c>
      <c r="AI265">
        <v>469.41</v>
      </c>
      <c r="AJ265">
        <v>3.66</v>
      </c>
      <c r="AK265">
        <v>6813</v>
      </c>
      <c r="AL265">
        <v>1573</v>
      </c>
      <c r="AM265">
        <v>352</v>
      </c>
      <c r="AN265">
        <v>0</v>
      </c>
      <c r="AO265">
        <v>0</v>
      </c>
      <c r="AP265">
        <v>0.7</v>
      </c>
      <c r="AQ265">
        <v>0.02</v>
      </c>
      <c r="AR265">
        <v>-0.002</v>
      </c>
      <c r="AS265" s="3">
        <v>46107.76819444444</v>
      </c>
    </row>
    <row r="266" ht="25.5" customHeight="1">
      <c r="A266" t="inlineStr">
        <is>
          <t>616110c4000000001f03c761</t>
        </is>
      </c>
      <c r="B266" s="2" t="str">
        <f>=HYPERLINK("https://www.xiaohongshu.com/user/profile/616110c4000000001f03c761", "https://www.xiaohongshu.com/user/profile/616110c4000000001f03c761")</f>
        <v>https://www.xiaohongshu.com/user/profile/616110c4000000001f03c761</v>
      </c>
      <c r="C266" s="2" t="str">
        <f>=HYPERLINK("https://pgy.xiaohongshu.com/solar/pre-trade/blogger-detail/616110c4000000001f03c761", "https://pgy.xiaohongshu.com/solar/pre-trade/blogger-detail/616110c4000000001f03c761")</f>
        <v>https://pgy.xiaohongshu.com/solar/pre-trade/blogger-detail/616110c4000000001f03c761</v>
      </c>
      <c r="D266" t="inlineStr">
        <is>
          <t>女</t>
        </is>
      </c>
      <c r="E266" t="inlineStr">
        <is>
          <t>9590995525</t>
        </is>
      </c>
      <c r="F266" t="inlineStr">
        <is>
          <t>陈清明</t>
        </is>
      </c>
      <c r="G266" t="inlineStr">
        <is>
          <t>浙江 杭州 西湖区</t>
        </is>
      </c>
      <c r="H266" t="inlineStr">
        <is>
          <t>学生</t>
        </is>
      </c>
      <c r="I266" t="inlineStr">
        <is>
          <t>教育, 生活记录</t>
        </is>
      </c>
      <c r="J266">
        <v>4231</v>
      </c>
      <c r="K266" t="inlineStr">
        <is>
          <t>0.4</t>
        </is>
      </c>
      <c r="L266">
        <v>8019</v>
      </c>
      <c r="M266">
        <v>992</v>
      </c>
      <c r="N266">
        <v>132</v>
      </c>
      <c r="O266">
        <v>666</v>
      </c>
      <c r="P266">
        <v>0.143</v>
      </c>
      <c r="Q266">
        <v>0.286</v>
      </c>
      <c r="R266">
        <v>10345</v>
      </c>
      <c r="S266">
        <v>2123</v>
      </c>
      <c r="T266">
        <v>65</v>
      </c>
      <c r="U266">
        <v>0.61</v>
      </c>
      <c r="V266">
        <v>666</v>
      </c>
      <c r="W266">
        <v>0</v>
      </c>
      <c r="X266">
        <v>0</v>
      </c>
      <c r="Y266">
        <v>64.38</v>
      </c>
      <c r="Z266">
        <v>8.71</v>
      </c>
      <c r="AA266">
        <v>8019</v>
      </c>
      <c r="AB266">
        <v>992</v>
      </c>
      <c r="AC266">
        <v>126</v>
      </c>
      <c r="AD266">
        <v>2.67</v>
      </c>
      <c r="AE266">
        <v>1200</v>
      </c>
      <c r="AF266">
        <v>0.4</v>
      </c>
      <c r="AG266">
        <v>0.2</v>
      </c>
      <c r="AH266">
        <v>0.241</v>
      </c>
      <c r="AI266">
        <v>168.13</v>
      </c>
      <c r="AJ266">
        <v>10.13</v>
      </c>
      <c r="AK266">
        <v>7249</v>
      </c>
      <c r="AL266">
        <v>1063</v>
      </c>
      <c r="AM266">
        <v>34</v>
      </c>
      <c r="AN266">
        <v>0</v>
      </c>
      <c r="AO266">
        <v>0</v>
      </c>
      <c r="AP266">
        <v>0.785999999999999</v>
      </c>
      <c r="AQ266">
        <v>0.03</v>
      </c>
      <c r="AR266">
        <v>0.017</v>
      </c>
      <c r="AS266" s="3">
        <v>46107.76819444444</v>
      </c>
    </row>
    <row r="267" ht="25.5" customHeight="1">
      <c r="A267" t="inlineStr">
        <is>
          <t>6616ec65000000000d02452a</t>
        </is>
      </c>
      <c r="B267" s="2" t="str">
        <f>=HYPERLINK("https://www.xiaohongshu.com/user/profile/6616ec65000000000d02452a", "https://www.xiaohongshu.com/user/profile/6616ec65000000000d02452a")</f>
        <v>https://www.xiaohongshu.com/user/profile/6616ec65000000000d02452a</v>
      </c>
      <c r="C267" s="2" t="str">
        <f>=HYPERLINK("https://pgy.xiaohongshu.com/solar/pre-trade/blogger-detail/6616ec65000000000d02452a", "https://pgy.xiaohongshu.com/solar/pre-trade/blogger-detail/6616ec65000000000d02452a")</f>
        <v>https://pgy.xiaohongshu.com/solar/pre-trade/blogger-detail/6616ec65000000000d02452a</v>
      </c>
      <c r="D267" t="inlineStr">
        <is>
          <t>女</t>
        </is>
      </c>
      <c r="E267" t="inlineStr">
        <is>
          <t>95217330024</t>
        </is>
      </c>
      <c r="F267" t="inlineStr">
        <is>
          <t>跟着小呆背单词</t>
        </is>
      </c>
      <c r="G267" t="inlineStr">
        <is>
          <t>福建 南平 建瓯市</t>
        </is>
      </c>
      <c r="H267" t="inlineStr">
        <is>
          <t>学生</t>
        </is>
      </c>
      <c r="I267" t="inlineStr">
        <is>
          <t>教育</t>
        </is>
      </c>
      <c r="J267">
        <v>28822</v>
      </c>
      <c r="K267" t="inlineStr">
        <is>
          <t>2.9</t>
        </is>
      </c>
      <c r="L267">
        <v>44912</v>
      </c>
      <c r="M267">
        <v>4074</v>
      </c>
      <c r="N267">
        <v>507</v>
      </c>
      <c r="O267">
        <v>200</v>
      </c>
      <c r="P267">
        <v>0.182</v>
      </c>
      <c r="Q267">
        <v>0.636</v>
      </c>
      <c r="R267">
        <v>44912</v>
      </c>
      <c r="S267">
        <v>4074</v>
      </c>
      <c r="T267">
        <v>491</v>
      </c>
      <c r="U267">
        <v>0.35</v>
      </c>
      <c r="V267">
        <v>200</v>
      </c>
      <c r="W267">
        <v>0.636</v>
      </c>
      <c r="X267">
        <v>0.182</v>
      </c>
      <c r="Y267">
        <v>6.12</v>
      </c>
      <c r="Z267">
        <v>0.54</v>
      </c>
      <c r="AA267">
        <v>0</v>
      </c>
      <c r="AB267">
        <v>0</v>
      </c>
      <c r="AC267">
        <v>0</v>
      </c>
      <c r="AD267">
        <v>0</v>
      </c>
      <c r="AE267">
        <v>3399</v>
      </c>
      <c r="AF267">
        <v>0</v>
      </c>
      <c r="AG267">
        <v>0</v>
      </c>
      <c r="AH267">
        <v>0</v>
      </c>
      <c r="AI267">
        <v>0</v>
      </c>
      <c r="AJ267">
        <v>0</v>
      </c>
      <c r="AK267">
        <v>3385</v>
      </c>
      <c r="AL267">
        <v>146</v>
      </c>
      <c r="AM267">
        <v>6</v>
      </c>
      <c r="AN267">
        <v>0</v>
      </c>
      <c r="AO267">
        <v>0</v>
      </c>
      <c r="AP267">
        <v>0.899</v>
      </c>
      <c r="AQ267">
        <v>0.048</v>
      </c>
      <c r="AR267">
        <v>0.042</v>
      </c>
      <c r="AS267" s="3">
        <v>46107.76819444444</v>
      </c>
    </row>
    <row r="268" ht="25.5" customHeight="1">
      <c r="A268" t="inlineStr">
        <is>
          <t>6282d3a3000000002102b04f</t>
        </is>
      </c>
      <c r="B268" s="2" t="str">
        <f>=HYPERLINK("https://www.xiaohongshu.com/user/profile/6282d3a3000000002102b04f", "https://www.xiaohongshu.com/user/profile/6282d3a3000000002102b04f")</f>
        <v>https://www.xiaohongshu.com/user/profile/6282d3a3000000002102b04f</v>
      </c>
      <c r="C268" s="2" t="str">
        <f>=HYPERLINK("https://pgy.xiaohongshu.com/solar/pre-trade/blogger-detail/6282d3a3000000002102b04f", "https://pgy.xiaohongshu.com/solar/pre-trade/blogger-detail/6282d3a3000000002102b04f")</f>
        <v>https://pgy.xiaohongshu.com/solar/pre-trade/blogger-detail/6282d3a3000000002102b04f</v>
      </c>
      <c r="D268" t="inlineStr">
        <is>
          <t>男</t>
        </is>
      </c>
      <c r="E268" t="inlineStr">
        <is>
          <t>Dalidamon</t>
        </is>
      </c>
      <c r="F268" t="inlineStr">
        <is>
          <t>大明与雅婷</t>
        </is>
      </c>
      <c r="G268" t="inlineStr">
        <is>
          <t>加拿大</t>
        </is>
      </c>
      <c r="H268" t="inlineStr">
        <is>
          <t>海外华人, 主播, 教练</t>
        </is>
      </c>
      <c r="I268" t="inlineStr">
        <is>
          <t>搞笑</t>
        </is>
      </c>
      <c r="J268">
        <v>67301</v>
      </c>
      <c r="K268" t="inlineStr">
        <is>
          <t>6.7</t>
        </is>
      </c>
      <c r="L268">
        <v>102101</v>
      </c>
      <c r="M268">
        <v>43036</v>
      </c>
      <c r="N268">
        <v>924</v>
      </c>
      <c r="O268">
        <v>5000</v>
      </c>
      <c r="P268">
        <v>0.332999999999999</v>
      </c>
      <c r="Q268">
        <v>0.833</v>
      </c>
      <c r="R268">
        <v>0</v>
      </c>
      <c r="S268">
        <v>0</v>
      </c>
      <c r="T268">
        <v>0</v>
      </c>
      <c r="U268">
        <v>0</v>
      </c>
      <c r="V268">
        <v>5000</v>
      </c>
      <c r="W268">
        <v>0</v>
      </c>
      <c r="X268">
        <v>0</v>
      </c>
      <c r="Y268">
        <v>0</v>
      </c>
      <c r="Z268">
        <v>0</v>
      </c>
      <c r="AA268">
        <v>102101</v>
      </c>
      <c r="AB268">
        <v>43036</v>
      </c>
      <c r="AC268">
        <v>829</v>
      </c>
      <c r="AD268">
        <v>1.73</v>
      </c>
      <c r="AE268">
        <v>10000</v>
      </c>
      <c r="AF268">
        <v>0.833</v>
      </c>
      <c r="AG268">
        <v>0.332999999999999</v>
      </c>
      <c r="AH268">
        <v>0.325</v>
      </c>
      <c r="AI268">
        <v>97.94</v>
      </c>
      <c r="AJ268">
        <v>10.82</v>
      </c>
      <c r="AK268">
        <v>0</v>
      </c>
      <c r="AL268">
        <v>0</v>
      </c>
      <c r="AM268">
        <v>0</v>
      </c>
      <c r="AN268">
        <v>0</v>
      </c>
      <c r="AO268">
        <v>0</v>
      </c>
      <c r="AP268">
        <v>0.77</v>
      </c>
      <c r="AQ268">
        <v>0.022</v>
      </c>
      <c r="AR268">
        <v>0.005</v>
      </c>
      <c r="AS268" s="3">
        <v>46107.76819444444</v>
      </c>
    </row>
    <row r="269" ht="25.5" customHeight="1">
      <c r="A269" t="inlineStr">
        <is>
          <t>5ccd50e2000000001203edd1</t>
        </is>
      </c>
      <c r="B269" s="2" t="str">
        <f>=HYPERLINK("https://www.xiaohongshu.com/user/profile/5ccd50e2000000001203edd1", "https://www.xiaohongshu.com/user/profile/5ccd50e2000000001203edd1")</f>
        <v>https://www.xiaohongshu.com/user/profile/5ccd50e2000000001203edd1</v>
      </c>
      <c r="C269" s="2" t="str">
        <f>=HYPERLINK("https://pgy.xiaohongshu.com/solar/pre-trade/blogger-detail/5ccd50e2000000001203edd1", "https://pgy.xiaohongshu.com/solar/pre-trade/blogger-detail/5ccd50e2000000001203edd1")</f>
        <v>https://pgy.xiaohongshu.com/solar/pre-trade/blogger-detail/5ccd50e2000000001203edd1</v>
      </c>
      <c r="D269" t="inlineStr">
        <is>
          <t>女</t>
        </is>
      </c>
      <c r="E269" t="inlineStr">
        <is>
          <t>727567757</t>
        </is>
      </c>
      <c r="F269" t="inlineStr">
        <is>
          <t>一飞</t>
        </is>
      </c>
      <c r="G269" t="inlineStr">
        <is>
          <t>浙江 金华 义乌市</t>
        </is>
      </c>
      <c r="H269"/>
      <c r="I269" t="inlineStr">
        <is>
          <t>教育</t>
        </is>
      </c>
      <c r="J269">
        <v>2370</v>
      </c>
      <c r="K269" t="inlineStr">
        <is>
          <t>0.2</t>
        </is>
      </c>
      <c r="L269">
        <v>5993</v>
      </c>
      <c r="M269">
        <v>880</v>
      </c>
      <c r="N269">
        <v>256</v>
      </c>
      <c r="O269">
        <v>288</v>
      </c>
      <c r="P269">
        <v>0</v>
      </c>
      <c r="Q269">
        <v>0.332999999999999</v>
      </c>
      <c r="R269">
        <v>6141</v>
      </c>
      <c r="S269">
        <v>884</v>
      </c>
      <c r="T269">
        <v>217</v>
      </c>
      <c r="U269">
        <v>0.63</v>
      </c>
      <c r="V269">
        <v>288</v>
      </c>
      <c r="W269">
        <v>0.332999999999999</v>
      </c>
      <c r="X269">
        <v>0</v>
      </c>
      <c r="Y269">
        <v>46.9</v>
      </c>
      <c r="Z269">
        <v>1.21</v>
      </c>
      <c r="AA269">
        <v>0</v>
      </c>
      <c r="AB269">
        <v>0</v>
      </c>
      <c r="AC269">
        <v>0</v>
      </c>
      <c r="AD269">
        <v>0</v>
      </c>
      <c r="AE269">
        <v>349</v>
      </c>
      <c r="AF269">
        <v>0</v>
      </c>
      <c r="AG269">
        <v>0</v>
      </c>
      <c r="AH269">
        <v>0</v>
      </c>
      <c r="AI269">
        <v>0</v>
      </c>
      <c r="AJ269">
        <v>0</v>
      </c>
      <c r="AK269">
        <v>7285</v>
      </c>
      <c r="AL269">
        <v>658</v>
      </c>
      <c r="AM269">
        <v>96</v>
      </c>
      <c r="AN269">
        <v>35</v>
      </c>
      <c r="AO269">
        <v>10.29</v>
      </c>
      <c r="AP269">
        <v>0.745</v>
      </c>
      <c r="AQ269">
        <v>0.075</v>
      </c>
      <c r="AR269">
        <v>0.136</v>
      </c>
      <c r="AS269" s="3">
        <v>46107.76819444444</v>
      </c>
    </row>
    <row r="270" ht="25.5" customHeight="1">
      <c r="A270" t="inlineStr">
        <is>
          <t>632c7152000000002303b63a</t>
        </is>
      </c>
      <c r="B270" s="2" t="str">
        <f>=HYPERLINK("https://www.xiaohongshu.com/user/profile/632c7152000000002303b63a", "https://www.xiaohongshu.com/user/profile/632c7152000000002303b63a")</f>
        <v>https://www.xiaohongshu.com/user/profile/632c7152000000002303b63a</v>
      </c>
      <c r="C270" s="2" t="str">
        <f>=HYPERLINK("https://pgy.xiaohongshu.com/solar/pre-trade/blogger-detail/632c7152000000002303b63a", "https://pgy.xiaohongshu.com/solar/pre-trade/blogger-detail/632c7152000000002303b63a")</f>
        <v>https://pgy.xiaohongshu.com/solar/pre-trade/blogger-detail/632c7152000000002303b63a</v>
      </c>
      <c r="D270" t="inlineStr">
        <is>
          <t>女</t>
        </is>
      </c>
      <c r="E270" t="inlineStr">
        <is>
          <t>6750273778</t>
        </is>
      </c>
      <c r="F270" t="inlineStr">
        <is>
          <t>懒羊羊爱学习：）</t>
        </is>
      </c>
      <c r="G270" t="inlineStr">
        <is>
          <t>北京</t>
        </is>
      </c>
      <c r="H270"/>
      <c r="I270" t="inlineStr">
        <is>
          <t>教育</t>
        </is>
      </c>
      <c r="J270">
        <v>32579</v>
      </c>
      <c r="K270" t="inlineStr">
        <is>
          <t>3.3</t>
        </is>
      </c>
      <c r="L270">
        <v>10006</v>
      </c>
      <c r="M270">
        <v>2174</v>
      </c>
      <c r="N270">
        <v>116</v>
      </c>
      <c r="O270">
        <v>1100</v>
      </c>
      <c r="P270">
        <v>0.091</v>
      </c>
      <c r="Q270">
        <v>0.455</v>
      </c>
      <c r="R270">
        <v>23401</v>
      </c>
      <c r="S270">
        <v>6166</v>
      </c>
      <c r="T270">
        <v>135</v>
      </c>
      <c r="U270">
        <v>0.48</v>
      </c>
      <c r="V270">
        <v>1100</v>
      </c>
      <c r="W270">
        <v>0.5</v>
      </c>
      <c r="X270">
        <v>0.125</v>
      </c>
      <c r="Y270">
        <v>47.01</v>
      </c>
      <c r="Z270">
        <v>8.09</v>
      </c>
      <c r="AA270">
        <v>9031</v>
      </c>
      <c r="AB270">
        <v>1941</v>
      </c>
      <c r="AC270">
        <v>96</v>
      </c>
      <c r="AD270">
        <v>2.63</v>
      </c>
      <c r="AE270">
        <v>2200</v>
      </c>
      <c r="AF270">
        <v>0.429</v>
      </c>
      <c r="AG270">
        <v>0.071</v>
      </c>
      <c r="AH270">
        <v>0.098</v>
      </c>
      <c r="AI270">
        <v>243.59</v>
      </c>
      <c r="AJ270">
        <v>22.11</v>
      </c>
      <c r="AK270">
        <v>0</v>
      </c>
      <c r="AL270">
        <v>0</v>
      </c>
      <c r="AM270">
        <v>0</v>
      </c>
      <c r="AN270">
        <v>0</v>
      </c>
      <c r="AO270">
        <v>0</v>
      </c>
      <c r="AP270">
        <v>0.934</v>
      </c>
      <c r="AQ270">
        <v>0.072</v>
      </c>
      <c r="AR270">
        <v>-0.021</v>
      </c>
      <c r="AS270" s="3">
        <v>46107.76819444444</v>
      </c>
    </row>
    <row r="271" ht="25.5" customHeight="1">
      <c r="A271" t="inlineStr">
        <is>
          <t>5cb06303000000001001b20d</t>
        </is>
      </c>
      <c r="B271" s="2" t="str">
        <f>=HYPERLINK("https://www.xiaohongshu.com/user/profile/5cb06303000000001001b20d", "https://www.xiaohongshu.com/user/profile/5cb06303000000001001b20d")</f>
        <v>https://www.xiaohongshu.com/user/profile/5cb06303000000001001b20d</v>
      </c>
      <c r="C271" s="2" t="str">
        <f>=HYPERLINK("https://pgy.xiaohongshu.com/solar/pre-trade/blogger-detail/5cb06303000000001001b20d", "https://pgy.xiaohongshu.com/solar/pre-trade/blogger-detail/5cb06303000000001001b20d")</f>
        <v>https://pgy.xiaohongshu.com/solar/pre-trade/blogger-detail/5cb06303000000001001b20d</v>
      </c>
      <c r="D271" t="inlineStr">
        <is>
          <t>女</t>
        </is>
      </c>
      <c r="E271" t="inlineStr">
        <is>
          <t>688681772</t>
        </is>
      </c>
      <c r="F271" t="inlineStr">
        <is>
          <t>小梦学姐（考研版）</t>
        </is>
      </c>
      <c r="G271" t="inlineStr">
        <is>
          <t>河南 郑州 中原区</t>
        </is>
      </c>
      <c r="H271" t="inlineStr">
        <is>
          <t>学生</t>
        </is>
      </c>
      <c r="I271" t="inlineStr">
        <is>
          <t>教育</t>
        </is>
      </c>
      <c r="J271">
        <v>26729</v>
      </c>
      <c r="K271" t="inlineStr">
        <is>
          <t>2.7</t>
        </is>
      </c>
      <c r="L271">
        <v>17107</v>
      </c>
      <c r="M271">
        <v>7155</v>
      </c>
      <c r="N271">
        <v>1278</v>
      </c>
      <c r="O271">
        <v>2000</v>
      </c>
      <c r="P271">
        <v>0.231</v>
      </c>
      <c r="Q271">
        <v>0.922999999999999</v>
      </c>
      <c r="R271">
        <v>165949</v>
      </c>
      <c r="S271">
        <v>48726</v>
      </c>
      <c r="T271">
        <v>2335</v>
      </c>
      <c r="U271">
        <v>0.34</v>
      </c>
      <c r="V271">
        <v>2000</v>
      </c>
      <c r="W271">
        <v>1</v>
      </c>
      <c r="X271">
        <v>0.667</v>
      </c>
      <c r="Y271">
        <v>12.05</v>
      </c>
      <c r="Z271">
        <v>0.81</v>
      </c>
      <c r="AA271">
        <v>13038</v>
      </c>
      <c r="AB271">
        <v>3656</v>
      </c>
      <c r="AC271">
        <v>357</v>
      </c>
      <c r="AD271">
        <v>2.3</v>
      </c>
      <c r="AE271">
        <v>2600</v>
      </c>
      <c r="AF271">
        <v>0.9</v>
      </c>
      <c r="AG271">
        <v>0.1</v>
      </c>
      <c r="AH271">
        <v>0.085</v>
      </c>
      <c r="AI271">
        <v>204.29</v>
      </c>
      <c r="AJ271">
        <v>7.78</v>
      </c>
      <c r="AK271">
        <v>10944</v>
      </c>
      <c r="AL271">
        <v>995</v>
      </c>
      <c r="AM271">
        <v>170</v>
      </c>
      <c r="AN271">
        <v>0</v>
      </c>
      <c r="AO271">
        <v>0</v>
      </c>
      <c r="AP271">
        <v>0.77</v>
      </c>
      <c r="AQ271">
        <v>0.05</v>
      </c>
      <c r="AR271">
        <v>0.035</v>
      </c>
      <c r="AS271" s="3">
        <v>46107.76819444444</v>
      </c>
    </row>
    <row r="272" ht="25.5" customHeight="1">
      <c r="A272" t="inlineStr">
        <is>
          <t>5ceb56b000000000120236f1</t>
        </is>
      </c>
      <c r="B272" s="2" t="str">
        <f>=HYPERLINK("https://www.xiaohongshu.com/user/profile/5ceb56b000000000120236f1", "https://www.xiaohongshu.com/user/profile/5ceb56b000000000120236f1")</f>
        <v>https://www.xiaohongshu.com/user/profile/5ceb56b000000000120236f1</v>
      </c>
      <c r="C272" s="2" t="str">
        <f>=HYPERLINK("https://pgy.xiaohongshu.com/solar/pre-trade/blogger-detail/5ceb56b000000000120236f1", "https://pgy.xiaohongshu.com/solar/pre-trade/blogger-detail/5ceb56b000000000120236f1")</f>
        <v>https://pgy.xiaohongshu.com/solar/pre-trade/blogger-detail/5ceb56b000000000120236f1</v>
      </c>
      <c r="D272" t="inlineStr">
        <is>
          <t>女</t>
        </is>
      </c>
      <c r="E272" t="inlineStr">
        <is>
          <t>ppt7891008</t>
        </is>
      </c>
      <c r="F272" t="inlineStr">
        <is>
          <t>多棱镜（努力日更版）</t>
        </is>
      </c>
      <c r="G272" t="inlineStr">
        <is>
          <t>四川 眉山 仁寿县</t>
        </is>
      </c>
      <c r="H272" t="inlineStr">
        <is>
          <t>学生</t>
        </is>
      </c>
      <c r="I272" t="inlineStr">
        <is>
          <t>教育</t>
        </is>
      </c>
      <c r="J272">
        <v>17654</v>
      </c>
      <c r="K272" t="inlineStr">
        <is>
          <t>1.8</t>
        </is>
      </c>
      <c r="L272">
        <v>6632</v>
      </c>
      <c r="M272">
        <v>1055</v>
      </c>
      <c r="N272">
        <v>190</v>
      </c>
      <c r="O272">
        <v>500</v>
      </c>
      <c r="P272">
        <v>0</v>
      </c>
      <c r="Q272">
        <v>0.412</v>
      </c>
      <c r="R272">
        <v>6632</v>
      </c>
      <c r="S272">
        <v>1055</v>
      </c>
      <c r="T272">
        <v>168</v>
      </c>
      <c r="U272">
        <v>0.77</v>
      </c>
      <c r="V272">
        <v>500</v>
      </c>
      <c r="W272">
        <v>0.412</v>
      </c>
      <c r="X272">
        <v>0</v>
      </c>
      <c r="Y272">
        <v>75.39</v>
      </c>
      <c r="Z272">
        <v>2.63</v>
      </c>
      <c r="AA272">
        <v>0</v>
      </c>
      <c r="AB272">
        <v>0</v>
      </c>
      <c r="AC272">
        <v>0</v>
      </c>
      <c r="AD272">
        <v>0</v>
      </c>
      <c r="AE272">
        <v>1000</v>
      </c>
      <c r="AF272">
        <v>0</v>
      </c>
      <c r="AG272">
        <v>0</v>
      </c>
      <c r="AH272">
        <v>0</v>
      </c>
      <c r="AI272">
        <v>0</v>
      </c>
      <c r="AJ272">
        <v>0</v>
      </c>
      <c r="AK272">
        <v>0</v>
      </c>
      <c r="AL272">
        <v>0</v>
      </c>
      <c r="AM272">
        <v>0</v>
      </c>
      <c r="AN272">
        <v>0</v>
      </c>
      <c r="AO272">
        <v>0</v>
      </c>
      <c r="AP272">
        <v>0.822</v>
      </c>
      <c r="AQ272">
        <v>0.084</v>
      </c>
      <c r="AR272">
        <v>0.017</v>
      </c>
      <c r="AS272" s="3">
        <v>46107.76819444444</v>
      </c>
    </row>
    <row r="273" ht="25.5" customHeight="1">
      <c r="A273" t="inlineStr">
        <is>
          <t>5d088420000000001001c1e4</t>
        </is>
      </c>
      <c r="B273" s="2" t="str">
        <f>=HYPERLINK("https://www.xiaohongshu.com/user/profile/5d088420000000001001c1e4", "https://www.xiaohongshu.com/user/profile/5d088420000000001001c1e4")</f>
        <v>https://www.xiaohongshu.com/user/profile/5d088420000000001001c1e4</v>
      </c>
      <c r="C273" s="2" t="str">
        <f>=HYPERLINK("https://pgy.xiaohongshu.com/solar/pre-trade/blogger-detail/5d088420000000001001c1e4", "https://pgy.xiaohongshu.com/solar/pre-trade/blogger-detail/5d088420000000001001c1e4")</f>
        <v>https://pgy.xiaohongshu.com/solar/pre-trade/blogger-detail/5d088420000000001001c1e4</v>
      </c>
      <c r="D273" t="inlineStr">
        <is>
          <t>女</t>
        </is>
      </c>
      <c r="E273" t="inlineStr">
        <is>
          <t>775290999</t>
        </is>
      </c>
      <c r="F273" t="inlineStr">
        <is>
          <t>其余曲</t>
        </is>
      </c>
      <c r="G273" t="inlineStr">
        <is>
          <t>河南 郑州 中原区</t>
        </is>
      </c>
      <c r="H273" t="inlineStr">
        <is>
          <t>考研过来人, 学生</t>
        </is>
      </c>
      <c r="I273" t="inlineStr">
        <is>
          <t>教育</t>
        </is>
      </c>
      <c r="J273">
        <v>1563</v>
      </c>
      <c r="K273" t="inlineStr">
        <is>
          <t>0.2</t>
        </is>
      </c>
      <c r="L273">
        <v>4108</v>
      </c>
      <c r="M273">
        <v>447</v>
      </c>
      <c r="N273">
        <v>135</v>
      </c>
      <c r="O273">
        <v>228</v>
      </c>
      <c r="P273">
        <v>0</v>
      </c>
      <c r="Q273">
        <v>0</v>
      </c>
      <c r="R273">
        <v>4108</v>
      </c>
      <c r="S273">
        <v>447</v>
      </c>
      <c r="T273">
        <v>130</v>
      </c>
      <c r="U273">
        <v>0.54</v>
      </c>
      <c r="V273">
        <v>228</v>
      </c>
      <c r="W273">
        <v>0</v>
      </c>
      <c r="X273">
        <v>0</v>
      </c>
      <c r="Y273">
        <v>35.13</v>
      </c>
      <c r="Z273">
        <v>1.1</v>
      </c>
      <c r="AA273">
        <v>0</v>
      </c>
      <c r="AB273">
        <v>0</v>
      </c>
      <c r="AC273">
        <v>0</v>
      </c>
      <c r="AD273">
        <v>0</v>
      </c>
      <c r="AE273">
        <v>400</v>
      </c>
      <c r="AF273">
        <v>0</v>
      </c>
      <c r="AG273">
        <v>0</v>
      </c>
      <c r="AH273">
        <v>0</v>
      </c>
      <c r="AI273">
        <v>0</v>
      </c>
      <c r="AJ273">
        <v>0</v>
      </c>
      <c r="AK273">
        <v>14267</v>
      </c>
      <c r="AL273">
        <v>2766</v>
      </c>
      <c r="AM273">
        <v>211</v>
      </c>
      <c r="AN273">
        <v>36</v>
      </c>
      <c r="AO273">
        <v>6.45</v>
      </c>
      <c r="AP273">
        <v>0.919</v>
      </c>
      <c r="AQ273">
        <v>0.093</v>
      </c>
      <c r="AR273">
        <v>0.083</v>
      </c>
      <c r="AS273" s="3">
        <v>46107.76819444444</v>
      </c>
    </row>
    <row r="274" ht="25.5" customHeight="1">
      <c r="A274" t="inlineStr">
        <is>
          <t>5fdf63a000000000010061a8</t>
        </is>
      </c>
      <c r="B274" s="2" t="str">
        <f>=HYPERLINK("https://www.xiaohongshu.com/user/profile/5fdf63a000000000010061a8", "https://www.xiaohongshu.com/user/profile/5fdf63a000000000010061a8")</f>
        <v>https://www.xiaohongshu.com/user/profile/5fdf63a000000000010061a8</v>
      </c>
      <c r="C274" s="2" t="str">
        <f>=HYPERLINK("https://pgy.xiaohongshu.com/solar/pre-trade/blogger-detail/5fdf63a000000000010061a8", "https://pgy.xiaohongshu.com/solar/pre-trade/blogger-detail/5fdf63a000000000010061a8")</f>
        <v>https://pgy.xiaohongshu.com/solar/pre-trade/blogger-detail/5fdf63a000000000010061a8</v>
      </c>
      <c r="D274" t="inlineStr">
        <is>
          <t>男</t>
        </is>
      </c>
      <c r="E274" t="inlineStr">
        <is>
          <t>MarkEnglish666</t>
        </is>
      </c>
      <c r="F274" t="inlineStr">
        <is>
          <t>Mark老撕讲英文</t>
        </is>
      </c>
      <c r="G274" t="inlineStr">
        <is>
          <t>陕西 西安 雁塔区</t>
        </is>
      </c>
      <c r="H274"/>
      <c r="I274" t="inlineStr">
        <is>
          <t>教育</t>
        </is>
      </c>
      <c r="J274">
        <v>58239</v>
      </c>
      <c r="K274" t="inlineStr">
        <is>
          <t>5.8</t>
        </is>
      </c>
      <c r="L274">
        <v>9608</v>
      </c>
      <c r="M274">
        <v>5221</v>
      </c>
      <c r="N274">
        <v>326</v>
      </c>
      <c r="O274">
        <v>1000</v>
      </c>
      <c r="P274">
        <v>0.083</v>
      </c>
      <c r="Q274">
        <v>0.833</v>
      </c>
      <c r="R274">
        <v>0</v>
      </c>
      <c r="S274">
        <v>0</v>
      </c>
      <c r="T274">
        <v>0</v>
      </c>
      <c r="U274">
        <v>0</v>
      </c>
      <c r="V274">
        <v>1000</v>
      </c>
      <c r="W274">
        <v>0</v>
      </c>
      <c r="X274">
        <v>0</v>
      </c>
      <c r="Y274">
        <v>0</v>
      </c>
      <c r="Z274">
        <v>0</v>
      </c>
      <c r="AA274">
        <v>9608</v>
      </c>
      <c r="AB274">
        <v>5221</v>
      </c>
      <c r="AC274">
        <v>261</v>
      </c>
      <c r="AD274">
        <v>1.92</v>
      </c>
      <c r="AE274">
        <v>2185</v>
      </c>
      <c r="AF274">
        <v>0.833</v>
      </c>
      <c r="AG274">
        <v>0.083</v>
      </c>
      <c r="AH274">
        <v>0.192</v>
      </c>
      <c r="AI274">
        <v>227.41</v>
      </c>
      <c r="AJ274">
        <v>6.7</v>
      </c>
      <c r="AK274">
        <v>0</v>
      </c>
      <c r="AL274">
        <v>0</v>
      </c>
      <c r="AM274">
        <v>0</v>
      </c>
      <c r="AN274">
        <v>0</v>
      </c>
      <c r="AO274">
        <v>0</v>
      </c>
      <c r="AP274">
        <v>0.987</v>
      </c>
      <c r="AQ274">
        <v>0.103</v>
      </c>
      <c r="AR274">
        <v>0.246</v>
      </c>
      <c r="AS274" s="3">
        <v>46107.76819444444</v>
      </c>
    </row>
    <row r="275" ht="25.5" customHeight="1">
      <c r="A275" t="inlineStr">
        <is>
          <t>5a4fa476e8ac2b250c7ecf31</t>
        </is>
      </c>
      <c r="B275" s="2" t="str">
        <f>=HYPERLINK("https://www.xiaohongshu.com/user/profile/5a4fa476e8ac2b250c7ecf31", "https://www.xiaohongshu.com/user/profile/5a4fa476e8ac2b250c7ecf31")</f>
        <v>https://www.xiaohongshu.com/user/profile/5a4fa476e8ac2b250c7ecf31</v>
      </c>
      <c r="C275" s="2" t="str">
        <f>=HYPERLINK("https://pgy.xiaohongshu.com/solar/pre-trade/blogger-detail/5a4fa476e8ac2b250c7ecf31", "https://pgy.xiaohongshu.com/solar/pre-trade/blogger-detail/5a4fa476e8ac2b250c7ecf31")</f>
        <v>https://pgy.xiaohongshu.com/solar/pre-trade/blogger-detail/5a4fa476e8ac2b250c7ecf31</v>
      </c>
      <c r="D275" t="inlineStr">
        <is>
          <t>女</t>
        </is>
      </c>
      <c r="E275" t="inlineStr">
        <is>
          <t>951406589</t>
        </is>
      </c>
      <c r="F275" t="inlineStr">
        <is>
          <t>面面是面包超人的面（高敏娃）</t>
        </is>
      </c>
      <c r="G275" t="inlineStr">
        <is>
          <t>日本</t>
        </is>
      </c>
      <c r="H275" t="inlineStr">
        <is>
          <t>妈妈, 海外华人, 家庭, 1-3岁, 萌娃, 混血儿</t>
        </is>
      </c>
      <c r="I275" t="inlineStr">
        <is>
          <t>母婴</t>
        </is>
      </c>
      <c r="J275">
        <v>191121</v>
      </c>
      <c r="K275" t="inlineStr">
        <is>
          <t>19.1</t>
        </is>
      </c>
      <c r="L275">
        <v>196549</v>
      </c>
      <c r="M275">
        <v>90241</v>
      </c>
      <c r="N275">
        <v>2719</v>
      </c>
      <c r="O275">
        <v>18000</v>
      </c>
      <c r="P275">
        <v>0.909</v>
      </c>
      <c r="Q275">
        <v>1</v>
      </c>
      <c r="R275">
        <v>0</v>
      </c>
      <c r="S275">
        <v>0</v>
      </c>
      <c r="T275">
        <v>0</v>
      </c>
      <c r="U275">
        <v>0</v>
      </c>
      <c r="V275">
        <v>14794</v>
      </c>
      <c r="W275">
        <v>0</v>
      </c>
      <c r="X275">
        <v>0</v>
      </c>
      <c r="Y275">
        <v>0</v>
      </c>
      <c r="Z275">
        <v>0</v>
      </c>
      <c r="AA275">
        <v>196549</v>
      </c>
      <c r="AB275">
        <v>90241</v>
      </c>
      <c r="AC275">
        <v>2597</v>
      </c>
      <c r="AD275">
        <v>1.7</v>
      </c>
      <c r="AE275">
        <v>18000</v>
      </c>
      <c r="AF275">
        <v>1</v>
      </c>
      <c r="AG275">
        <v>0.909</v>
      </c>
      <c r="AH275">
        <v>0.063</v>
      </c>
      <c r="AI275">
        <v>88.36</v>
      </c>
      <c r="AJ275">
        <v>5.23</v>
      </c>
      <c r="AK275">
        <v>513183</v>
      </c>
      <c r="AL275">
        <v>89842</v>
      </c>
      <c r="AM275">
        <v>7583</v>
      </c>
      <c r="AN275">
        <v>25</v>
      </c>
      <c r="AO275">
        <v>1040.95</v>
      </c>
      <c r="AP275">
        <v>0.86</v>
      </c>
      <c r="AQ275">
        <v>0.075</v>
      </c>
      <c r="AR275">
        <v>0.033</v>
      </c>
      <c r="AS275" s="3">
        <v>46107.76819444444</v>
      </c>
    </row>
    <row r="276" ht="25.5" customHeight="1">
      <c r="A276" t="inlineStr">
        <is>
          <t>614c2542000000000201fb10</t>
        </is>
      </c>
      <c r="B276" s="2" t="str">
        <f>=HYPERLINK("https://www.xiaohongshu.com/user/profile/614c2542000000000201fb10", "https://www.xiaohongshu.com/user/profile/614c2542000000000201fb10")</f>
        <v>https://www.xiaohongshu.com/user/profile/614c2542000000000201fb10</v>
      </c>
      <c r="C276" s="2" t="str">
        <f>=HYPERLINK("https://pgy.xiaohongshu.com/solar/pre-trade/blogger-detail/614c2542000000000201fb10", "https://pgy.xiaohongshu.com/solar/pre-trade/blogger-detail/614c2542000000000201fb10")</f>
        <v>https://pgy.xiaohongshu.com/solar/pre-trade/blogger-detail/614c2542000000000201fb10</v>
      </c>
      <c r="D276" t="inlineStr">
        <is>
          <t>男</t>
        </is>
      </c>
      <c r="E276" t="inlineStr">
        <is>
          <t>1815259205</t>
        </is>
      </c>
      <c r="F276" t="inlineStr">
        <is>
          <t>美宝爱分享</t>
        </is>
      </c>
      <c r="G276" t="inlineStr">
        <is>
          <t>广东 广州 天河区</t>
        </is>
      </c>
      <c r="H276"/>
      <c r="I276" t="inlineStr">
        <is>
          <t>教育</t>
        </is>
      </c>
      <c r="J276">
        <v>18250</v>
      </c>
      <c r="K276" t="inlineStr">
        <is>
          <t>1.8</t>
        </is>
      </c>
      <c r="L276">
        <v>6816</v>
      </c>
      <c r="M276">
        <v>2100</v>
      </c>
      <c r="N276">
        <v>205</v>
      </c>
      <c r="O276">
        <v>1800</v>
      </c>
      <c r="P276">
        <v>0</v>
      </c>
      <c r="Q276">
        <v>0.4</v>
      </c>
      <c r="R276">
        <v>22672</v>
      </c>
      <c r="S276">
        <v>8895</v>
      </c>
      <c r="T276">
        <v>146</v>
      </c>
      <c r="U276">
        <v>0.34</v>
      </c>
      <c r="V276">
        <v>320</v>
      </c>
      <c r="W276">
        <v>0</v>
      </c>
      <c r="X276">
        <v>0</v>
      </c>
      <c r="Y276">
        <v>0</v>
      </c>
      <c r="Z276">
        <v>0</v>
      </c>
      <c r="AA276">
        <v>6438</v>
      </c>
      <c r="AB276">
        <v>2006</v>
      </c>
      <c r="AC276">
        <v>171</v>
      </c>
      <c r="AD276">
        <v>2.4</v>
      </c>
      <c r="AE276">
        <v>1800</v>
      </c>
      <c r="AF276">
        <v>0.5</v>
      </c>
      <c r="AG276">
        <v>0</v>
      </c>
      <c r="AH276">
        <v>0.044</v>
      </c>
      <c r="AI276">
        <v>279.57</v>
      </c>
      <c r="AJ276">
        <v>9.6</v>
      </c>
      <c r="AK276">
        <v>0</v>
      </c>
      <c r="AL276">
        <v>0</v>
      </c>
      <c r="AM276">
        <v>0</v>
      </c>
      <c r="AN276">
        <v>0</v>
      </c>
      <c r="AO276">
        <v>0</v>
      </c>
      <c r="AP276">
        <v>0.805999999999999</v>
      </c>
      <c r="AQ276">
        <v>0.0289999999999999</v>
      </c>
      <c r="AR276">
        <v>0.024</v>
      </c>
      <c r="AS276" s="3">
        <v>46107.76819444444</v>
      </c>
    </row>
    <row r="277" ht="25.5" customHeight="1">
      <c r="A277" t="inlineStr">
        <is>
          <t>636b5c78000000002302ad48</t>
        </is>
      </c>
      <c r="B277" s="2" t="str">
        <f>=HYPERLINK("https://www.xiaohongshu.com/user/profile/636b5c78000000002302ad48", "https://www.xiaohongshu.com/user/profile/636b5c78000000002302ad48")</f>
        <v>https://www.xiaohongshu.com/user/profile/636b5c78000000002302ad48</v>
      </c>
      <c r="C277" s="2" t="str">
        <f>=HYPERLINK("https://pgy.xiaohongshu.com/solar/pre-trade/blogger-detail/636b5c78000000002302ad48", "https://pgy.xiaohongshu.com/solar/pre-trade/blogger-detail/636b5c78000000002302ad48")</f>
        <v>https://pgy.xiaohongshu.com/solar/pre-trade/blogger-detail/636b5c78000000002302ad48</v>
      </c>
      <c r="D277" t="inlineStr">
        <is>
          <t>女</t>
        </is>
      </c>
      <c r="E277" t="inlineStr">
        <is>
          <t>msuoonk_</t>
        </is>
      </c>
      <c r="F277" t="inlineStr">
        <is>
          <t>kkkyyyeeoonn</t>
        </is>
      </c>
      <c r="G277" t="inlineStr">
        <is>
          <t>韩国</t>
        </is>
      </c>
      <c r="H277" t="inlineStr">
        <is>
          <t>街舞爱好者, 留学背景, 学生, 家庭, 混血儿</t>
        </is>
      </c>
      <c r="I277" t="inlineStr">
        <is>
          <t>生活记录</t>
        </is>
      </c>
      <c r="J277">
        <v>58604</v>
      </c>
      <c r="K277" t="inlineStr">
        <is>
          <t>5.9</t>
        </is>
      </c>
      <c r="L277">
        <v>64371</v>
      </c>
      <c r="M277">
        <v>18814</v>
      </c>
      <c r="N277">
        <v>1969</v>
      </c>
      <c r="O277">
        <v>10000</v>
      </c>
      <c r="P277">
        <v>0.833</v>
      </c>
      <c r="Q277">
        <v>1</v>
      </c>
      <c r="R277">
        <v>0</v>
      </c>
      <c r="S277">
        <v>0</v>
      </c>
      <c r="T277">
        <v>0</v>
      </c>
      <c r="U277">
        <v>0</v>
      </c>
      <c r="V277">
        <v>10000</v>
      </c>
      <c r="W277">
        <v>0</v>
      </c>
      <c r="X277">
        <v>0</v>
      </c>
      <c r="Y277">
        <v>0</v>
      </c>
      <c r="Z277">
        <v>0</v>
      </c>
      <c r="AA277">
        <v>64371</v>
      </c>
      <c r="AB277">
        <v>18814</v>
      </c>
      <c r="AC277">
        <v>1824</v>
      </c>
      <c r="AD277">
        <v>2.03</v>
      </c>
      <c r="AE277">
        <v>10000</v>
      </c>
      <c r="AF277">
        <v>1</v>
      </c>
      <c r="AG277">
        <v>0.833</v>
      </c>
      <c r="AH277">
        <v>0.124</v>
      </c>
      <c r="AI277">
        <v>155.35</v>
      </c>
      <c r="AJ277">
        <v>5.08</v>
      </c>
      <c r="AK277">
        <v>0</v>
      </c>
      <c r="AL277">
        <v>0</v>
      </c>
      <c r="AM277">
        <v>0</v>
      </c>
      <c r="AN277">
        <v>0</v>
      </c>
      <c r="AO277">
        <v>0</v>
      </c>
      <c r="AP277">
        <v>0.867</v>
      </c>
      <c r="AQ277">
        <v>0.085</v>
      </c>
      <c r="AR277">
        <v>0.009</v>
      </c>
      <c r="AS277" s="3">
        <v>46107.76819444444</v>
      </c>
    </row>
    <row r="278" ht="25.5" customHeight="1">
      <c r="A278" t="inlineStr">
        <is>
          <t>595618e882ec3930efb5d27a</t>
        </is>
      </c>
      <c r="B278" s="2" t="str">
        <f>=HYPERLINK("https://www.xiaohongshu.com/user/profile/595618e882ec3930efb5d27a", "https://www.xiaohongshu.com/user/profile/595618e882ec3930efb5d27a")</f>
        <v>https://www.xiaohongshu.com/user/profile/595618e882ec3930efb5d27a</v>
      </c>
      <c r="C278" s="2" t="str">
        <f>=HYPERLINK("https://pgy.xiaohongshu.com/solar/pre-trade/blogger-detail/595618e882ec3930efb5d27a", "https://pgy.xiaohongshu.com/solar/pre-trade/blogger-detail/595618e882ec3930efb5d27a")</f>
        <v>https://pgy.xiaohongshu.com/solar/pre-trade/blogger-detail/595618e882ec3930efb5d27a</v>
      </c>
      <c r="D278" t="inlineStr">
        <is>
          <t>女</t>
        </is>
      </c>
      <c r="E278" t="inlineStr">
        <is>
          <t>Bibing222</t>
        </is>
      </c>
      <c r="F278" t="inlineStr">
        <is>
          <t>盐苹果</t>
        </is>
      </c>
      <c r="G278" t="inlineStr">
        <is>
          <t>日本</t>
        </is>
      </c>
      <c r="H278" t="inlineStr">
        <is>
          <t>留学背景</t>
        </is>
      </c>
      <c r="I278" t="inlineStr">
        <is>
          <t>教育</t>
        </is>
      </c>
      <c r="J278">
        <v>26527</v>
      </c>
      <c r="K278" t="inlineStr">
        <is>
          <t>2.7</t>
        </is>
      </c>
      <c r="L278">
        <v>16971</v>
      </c>
      <c r="M278">
        <v>4553</v>
      </c>
      <c r="N278">
        <v>381</v>
      </c>
      <c r="O278">
        <v>4800</v>
      </c>
      <c r="P278">
        <v>0.166999999999999</v>
      </c>
      <c r="Q278">
        <v>1</v>
      </c>
      <c r="R278">
        <v>0</v>
      </c>
      <c r="S278">
        <v>0</v>
      </c>
      <c r="T278">
        <v>0</v>
      </c>
      <c r="U278">
        <v>0</v>
      </c>
      <c r="V278">
        <v>2800</v>
      </c>
      <c r="W278">
        <v>0</v>
      </c>
      <c r="X278">
        <v>0</v>
      </c>
      <c r="Y278">
        <v>0</v>
      </c>
      <c r="Z278">
        <v>0</v>
      </c>
      <c r="AA278">
        <v>16971</v>
      </c>
      <c r="AB278">
        <v>4553</v>
      </c>
      <c r="AC278">
        <v>355</v>
      </c>
      <c r="AD278">
        <v>2.55</v>
      </c>
      <c r="AE278">
        <v>4800</v>
      </c>
      <c r="AF278">
        <v>1</v>
      </c>
      <c r="AG278">
        <v>0.166999999999999</v>
      </c>
      <c r="AH278">
        <v>0.113</v>
      </c>
      <c r="AI278">
        <v>282.84</v>
      </c>
      <c r="AJ278">
        <v>12.6</v>
      </c>
      <c r="AK278">
        <v>0</v>
      </c>
      <c r="AL278">
        <v>0</v>
      </c>
      <c r="AM278">
        <v>0</v>
      </c>
      <c r="AN278">
        <v>0</v>
      </c>
      <c r="AO278">
        <v>0</v>
      </c>
      <c r="AP278">
        <v>0.932999999999999</v>
      </c>
      <c r="AQ278">
        <v>0.069</v>
      </c>
      <c r="AR278">
        <v>0.044</v>
      </c>
      <c r="AS278" s="3">
        <v>46107.76819444444</v>
      </c>
    </row>
    <row r="279" ht="25.5" customHeight="1">
      <c r="A279" t="inlineStr">
        <is>
          <t>5bb4d569b0eb990001ff6bf6</t>
        </is>
      </c>
      <c r="B279" s="2" t="str">
        <f>=HYPERLINK("https://www.xiaohongshu.com/user/profile/5bb4d569b0eb990001ff6bf6", "https://www.xiaohongshu.com/user/profile/5bb4d569b0eb990001ff6bf6")</f>
        <v>https://www.xiaohongshu.com/user/profile/5bb4d569b0eb990001ff6bf6</v>
      </c>
      <c r="C279" s="2" t="str">
        <f>=HYPERLINK("https://pgy.xiaohongshu.com/solar/pre-trade/blogger-detail/5bb4d569b0eb990001ff6bf6", "https://pgy.xiaohongshu.com/solar/pre-trade/blogger-detail/5bb4d569b0eb990001ff6bf6")</f>
        <v>https://pgy.xiaohongshu.com/solar/pre-trade/blogger-detail/5bb4d569b0eb990001ff6bf6</v>
      </c>
      <c r="D279" t="inlineStr">
        <is>
          <t>女</t>
        </is>
      </c>
      <c r="E279" t="inlineStr">
        <is>
          <t>415840706</t>
        </is>
      </c>
      <c r="F279" t="inlineStr">
        <is>
          <t>说瘦就瘦</t>
        </is>
      </c>
      <c r="G279" t="inlineStr">
        <is>
          <t>河南 新乡 封丘县</t>
        </is>
      </c>
      <c r="H279" t="inlineStr">
        <is>
          <t>考研过来人, 学生</t>
        </is>
      </c>
      <c r="I279" t="inlineStr">
        <is>
          <t>教育</t>
        </is>
      </c>
      <c r="J279">
        <v>70755</v>
      </c>
      <c r="K279" t="inlineStr">
        <is>
          <t>7.1</t>
        </is>
      </c>
      <c r="L279">
        <v>14566</v>
      </c>
      <c r="M279">
        <v>3820</v>
      </c>
      <c r="N279">
        <v>161</v>
      </c>
      <c r="O279">
        <v>4200</v>
      </c>
      <c r="P279">
        <v>0.061</v>
      </c>
      <c r="Q279">
        <v>0.515</v>
      </c>
      <c r="R279">
        <v>20479</v>
      </c>
      <c r="S279">
        <v>2217</v>
      </c>
      <c r="T279">
        <v>128</v>
      </c>
      <c r="U279">
        <v>2.19</v>
      </c>
      <c r="V279">
        <v>4200</v>
      </c>
      <c r="W279">
        <v>0.467</v>
      </c>
      <c r="X279">
        <v>0.067</v>
      </c>
      <c r="Y279">
        <v>205.09</v>
      </c>
      <c r="Z279">
        <v>27.45</v>
      </c>
      <c r="AA279">
        <v>13120</v>
      </c>
      <c r="AB279">
        <v>4387</v>
      </c>
      <c r="AC279">
        <v>203</v>
      </c>
      <c r="AD279">
        <v>2.91</v>
      </c>
      <c r="AE279">
        <v>6200</v>
      </c>
      <c r="AF279">
        <v>0.556</v>
      </c>
      <c r="AG279">
        <v>0.0559999999999999</v>
      </c>
      <c r="AH279">
        <v>0.023</v>
      </c>
      <c r="AI279">
        <v>472.56</v>
      </c>
      <c r="AJ279">
        <v>25.36</v>
      </c>
      <c r="AK279">
        <v>0</v>
      </c>
      <c r="AL279">
        <v>0</v>
      </c>
      <c r="AM279">
        <v>0</v>
      </c>
      <c r="AN279">
        <v>0</v>
      </c>
      <c r="AO279">
        <v>0</v>
      </c>
      <c r="AP279">
        <v>0.804</v>
      </c>
      <c r="AQ279">
        <v>0.034</v>
      </c>
      <c r="AR279">
        <v>0.002</v>
      </c>
      <c r="AS279" s="3">
        <v>46107.76819444444</v>
      </c>
    </row>
    <row r="280" ht="25.5" customHeight="1">
      <c r="A280" t="inlineStr">
        <is>
          <t>63b8477b000000002801969c</t>
        </is>
      </c>
      <c r="B280" s="2" t="str">
        <f>=HYPERLINK("https://www.xiaohongshu.com/user/profile/63b8477b000000002801969c", "https://www.xiaohongshu.com/user/profile/63b8477b000000002801969c")</f>
        <v>https://www.xiaohongshu.com/user/profile/63b8477b000000002801969c</v>
      </c>
      <c r="C280" s="2" t="str">
        <f>=HYPERLINK("https://pgy.xiaohongshu.com/solar/pre-trade/blogger-detail/63b8477b000000002801969c", "https://pgy.xiaohongshu.com/solar/pre-trade/blogger-detail/63b8477b000000002801969c")</f>
        <v>https://pgy.xiaohongshu.com/solar/pre-trade/blogger-detail/63b8477b000000002801969c</v>
      </c>
      <c r="D280" t="inlineStr">
        <is>
          <t>女</t>
        </is>
      </c>
      <c r="E280" t="inlineStr">
        <is>
          <t>Hjjl1215</t>
        </is>
      </c>
      <c r="F280" t="inlineStr">
        <is>
          <t>小陈咕噜</t>
        </is>
      </c>
      <c r="G280" t="inlineStr">
        <is>
          <t>广西 南宁 西乡塘区</t>
        </is>
      </c>
      <c r="H280" t="inlineStr">
        <is>
          <t>学生</t>
        </is>
      </c>
      <c r="I280" t="inlineStr">
        <is>
          <t>生活记录</t>
        </is>
      </c>
      <c r="J280">
        <v>16664</v>
      </c>
      <c r="K280" t="inlineStr">
        <is>
          <t>1.7</t>
        </is>
      </c>
      <c r="L280">
        <v>26898</v>
      </c>
      <c r="M280">
        <v>2743</v>
      </c>
      <c r="N280">
        <v>237</v>
      </c>
      <c r="O280">
        <v>1500</v>
      </c>
      <c r="P280">
        <v>0</v>
      </c>
      <c r="Q280">
        <v>0.692</v>
      </c>
      <c r="R280">
        <v>26827</v>
      </c>
      <c r="S280">
        <v>2607</v>
      </c>
      <c r="T280">
        <v>217</v>
      </c>
      <c r="U280">
        <v>0.8</v>
      </c>
      <c r="V280">
        <v>1500</v>
      </c>
      <c r="W280">
        <v>0.667</v>
      </c>
      <c r="X280">
        <v>0</v>
      </c>
      <c r="Y280">
        <v>45.42</v>
      </c>
      <c r="Z280">
        <v>6.33</v>
      </c>
      <c r="AA280">
        <v>41434</v>
      </c>
      <c r="AB280">
        <v>2941</v>
      </c>
      <c r="AC280">
        <v>266</v>
      </c>
      <c r="AD280">
        <v>2.24</v>
      </c>
      <c r="AE280">
        <v>2500</v>
      </c>
      <c r="AF280">
        <v>1</v>
      </c>
      <c r="AG280">
        <v>0</v>
      </c>
      <c r="AH280">
        <v>0.095</v>
      </c>
      <c r="AI280">
        <v>38.33</v>
      </c>
      <c r="AJ280">
        <v>11.31</v>
      </c>
      <c r="AK280">
        <v>127661</v>
      </c>
      <c r="AL280">
        <v>11667</v>
      </c>
      <c r="AM280">
        <v>324</v>
      </c>
      <c r="AN280">
        <v>0</v>
      </c>
      <c r="AO280">
        <v>0</v>
      </c>
      <c r="AP280">
        <v>0.604</v>
      </c>
      <c r="AQ280">
        <v>0.019</v>
      </c>
      <c r="AR280">
        <v>0.022</v>
      </c>
      <c r="AS280" s="3">
        <v>46107.76819444444</v>
      </c>
    </row>
    <row r="281" ht="25.5" customHeight="1">
      <c r="A281" t="inlineStr">
        <is>
          <t>600563fd0000000001008535</t>
        </is>
      </c>
      <c r="B281" s="2" t="str">
        <f>=HYPERLINK("https://www.xiaohongshu.com/user/profile/600563fd0000000001008535", "https://www.xiaohongshu.com/user/profile/600563fd0000000001008535")</f>
        <v>https://www.xiaohongshu.com/user/profile/600563fd0000000001008535</v>
      </c>
      <c r="C281" s="2" t="str">
        <f>=HYPERLINK("https://pgy.xiaohongshu.com/solar/pre-trade/blogger-detail/600563fd0000000001008535", "https://pgy.xiaohongshu.com/solar/pre-trade/blogger-detail/600563fd0000000001008535")</f>
        <v>https://pgy.xiaohongshu.com/solar/pre-trade/blogger-detail/600563fd0000000001008535</v>
      </c>
      <c r="D281" t="inlineStr">
        <is>
          <t>女</t>
        </is>
      </c>
      <c r="E281" t="inlineStr">
        <is>
          <t>hsqloveCR7</t>
        </is>
      </c>
      <c r="F281" t="inlineStr">
        <is>
          <t>loveCR7</t>
        </is>
      </c>
      <c r="G281" t="inlineStr">
        <is>
          <t>浙江 台州 玉环市</t>
        </is>
      </c>
      <c r="H281" t="inlineStr">
        <is>
          <t>考研过来人, 学生</t>
        </is>
      </c>
      <c r="I281" t="inlineStr">
        <is>
          <t>出行旅游</t>
        </is>
      </c>
      <c r="J281">
        <v>19212</v>
      </c>
      <c r="K281" t="inlineStr">
        <is>
          <t>1.9</t>
        </is>
      </c>
      <c r="L281">
        <v>15477</v>
      </c>
      <c r="M281">
        <v>1105</v>
      </c>
      <c r="N281">
        <v>102</v>
      </c>
      <c r="O281">
        <v>1001</v>
      </c>
      <c r="P281">
        <v>0</v>
      </c>
      <c r="Q281">
        <v>0</v>
      </c>
      <c r="R281">
        <v>15477</v>
      </c>
      <c r="S281">
        <v>1105</v>
      </c>
      <c r="T281">
        <v>88</v>
      </c>
      <c r="U281">
        <v>1.21</v>
      </c>
      <c r="V281">
        <v>1001</v>
      </c>
      <c r="W281">
        <v>0</v>
      </c>
      <c r="X281">
        <v>0</v>
      </c>
      <c r="Y281">
        <v>64.67</v>
      </c>
      <c r="Z281">
        <v>9.77</v>
      </c>
      <c r="AA281">
        <v>0</v>
      </c>
      <c r="AB281">
        <v>0</v>
      </c>
      <c r="AC281">
        <v>0</v>
      </c>
      <c r="AD281">
        <v>0</v>
      </c>
      <c r="AE281">
        <v>4136</v>
      </c>
      <c r="AF281">
        <v>0</v>
      </c>
      <c r="AG281">
        <v>0</v>
      </c>
      <c r="AH281">
        <v>0</v>
      </c>
      <c r="AI281">
        <v>0</v>
      </c>
      <c r="AJ281">
        <v>0</v>
      </c>
      <c r="AK281">
        <v>0</v>
      </c>
      <c r="AL281">
        <v>0</v>
      </c>
      <c r="AM281">
        <v>0</v>
      </c>
      <c r="AN281">
        <v>0</v>
      </c>
      <c r="AO281">
        <v>0</v>
      </c>
      <c r="AP281">
        <v>0.887</v>
      </c>
      <c r="AQ281">
        <v>0.078</v>
      </c>
      <c r="AR281">
        <v>0.055</v>
      </c>
      <c r="AS281" s="3">
        <v>46107.76819444444</v>
      </c>
    </row>
    <row r="282" ht="25.5" customHeight="1">
      <c r="A282" t="inlineStr">
        <is>
          <t>65f510c2000000000d027e32</t>
        </is>
      </c>
      <c r="B282" s="2" t="str">
        <f>=HYPERLINK("https://www.xiaohongshu.com/user/profile/65f510c2000000000d027e32", "https://www.xiaohongshu.com/user/profile/65f510c2000000000d027e32")</f>
        <v>https://www.xiaohongshu.com/user/profile/65f510c2000000000d027e32</v>
      </c>
      <c r="C282" s="2" t="str">
        <f>=HYPERLINK("https://pgy.xiaohongshu.com/solar/pre-trade/blogger-detail/65f510c2000000000d027e32", "https://pgy.xiaohongshu.com/solar/pre-trade/blogger-detail/65f510c2000000000d027e32")</f>
        <v>https://pgy.xiaohongshu.com/solar/pre-trade/blogger-detail/65f510c2000000000d027e32</v>
      </c>
      <c r="D282" t="inlineStr">
        <is>
          <t>男</t>
        </is>
      </c>
      <c r="E282" t="inlineStr">
        <is>
          <t>94252757592</t>
        </is>
      </c>
      <c r="F282" t="inlineStr">
        <is>
          <t>发财小黄</t>
        </is>
      </c>
      <c r="G282" t="inlineStr">
        <is>
          <t>云南 昆明 呈贡区</t>
        </is>
      </c>
      <c r="H282" t="inlineStr">
        <is>
          <t>学生</t>
        </is>
      </c>
      <c r="I282" t="inlineStr">
        <is>
          <t>教育, 生活记录</t>
        </is>
      </c>
      <c r="J282">
        <v>7682</v>
      </c>
      <c r="K282" t="inlineStr">
        <is>
          <t>0.8</t>
        </is>
      </c>
      <c r="L282">
        <v>2561</v>
      </c>
      <c r="M282">
        <v>313</v>
      </c>
      <c r="N282">
        <v>231</v>
      </c>
      <c r="O282">
        <v>625</v>
      </c>
      <c r="P282">
        <v>0</v>
      </c>
      <c r="Q282">
        <v>0.818</v>
      </c>
      <c r="R282">
        <v>2100</v>
      </c>
      <c r="S282">
        <v>271</v>
      </c>
      <c r="T282">
        <v>228</v>
      </c>
      <c r="U282">
        <v>2.66</v>
      </c>
      <c r="V282">
        <v>625</v>
      </c>
      <c r="W282">
        <v>0.857</v>
      </c>
      <c r="X282">
        <v>0</v>
      </c>
      <c r="Y282">
        <v>298.12</v>
      </c>
      <c r="Z282">
        <v>2.72</v>
      </c>
      <c r="AA282">
        <v>3007</v>
      </c>
      <c r="AB282">
        <v>421</v>
      </c>
      <c r="AC282">
        <v>223</v>
      </c>
      <c r="AD282">
        <v>3.88</v>
      </c>
      <c r="AE282">
        <v>1000</v>
      </c>
      <c r="AF282">
        <v>0.75</v>
      </c>
      <c r="AG282">
        <v>0</v>
      </c>
      <c r="AH282">
        <v>0.098</v>
      </c>
      <c r="AI282">
        <v>332.56</v>
      </c>
      <c r="AJ282">
        <v>4.34</v>
      </c>
      <c r="AK282">
        <v>2093</v>
      </c>
      <c r="AL282">
        <v>158</v>
      </c>
      <c r="AM282">
        <v>76</v>
      </c>
      <c r="AN282">
        <v>0</v>
      </c>
      <c r="AO282">
        <v>0</v>
      </c>
      <c r="AP282">
        <v>0.625</v>
      </c>
      <c r="AQ282">
        <v>0.054</v>
      </c>
      <c r="AR282">
        <v>0.055</v>
      </c>
      <c r="AS282" s="3">
        <v>46107.76846064815</v>
      </c>
    </row>
    <row r="283" ht="25.5" customHeight="1">
      <c r="A283" t="inlineStr">
        <is>
          <t>66c17c3f000000001d020bd5</t>
        </is>
      </c>
      <c r="B283" s="2" t="str">
        <f>=HYPERLINK("https://www.xiaohongshu.com/user/profile/66c17c3f000000001d020bd5", "https://www.xiaohongshu.com/user/profile/66c17c3f000000001d020bd5")</f>
        <v>https://www.xiaohongshu.com/user/profile/66c17c3f000000001d020bd5</v>
      </c>
      <c r="C283" s="2" t="str">
        <f>=HYPERLINK("https://pgy.xiaohongshu.com/solar/pre-trade/blogger-detail/66c17c3f000000001d020bd5", "https://pgy.xiaohongshu.com/solar/pre-trade/blogger-detail/66c17c3f000000001d020bd5")</f>
        <v>https://pgy.xiaohongshu.com/solar/pre-trade/blogger-detail/66c17c3f000000001d020bd5</v>
      </c>
      <c r="D283" t="inlineStr">
        <is>
          <t>女</t>
        </is>
      </c>
      <c r="E283" t="inlineStr">
        <is>
          <t>26274937401</t>
        </is>
      </c>
      <c r="F283" t="inlineStr">
        <is>
          <t>卷卷今天学习了吗</t>
        </is>
      </c>
      <c r="G283" t="inlineStr">
        <is>
          <t>山东 济宁 曲阜市</t>
        </is>
      </c>
      <c r="H283" t="inlineStr">
        <is>
          <t>学生</t>
        </is>
      </c>
      <c r="I283" t="inlineStr">
        <is>
          <t>教育</t>
        </is>
      </c>
      <c r="J283">
        <v>3367</v>
      </c>
      <c r="K283" t="inlineStr">
        <is>
          <t>0.3</t>
        </is>
      </c>
      <c r="L283">
        <v>6147</v>
      </c>
      <c r="M283">
        <v>764</v>
      </c>
      <c r="N283">
        <v>112</v>
      </c>
      <c r="O283">
        <v>230</v>
      </c>
      <c r="P283">
        <v>0</v>
      </c>
      <c r="Q283">
        <v>0.444</v>
      </c>
      <c r="R283">
        <v>4816</v>
      </c>
      <c r="S283">
        <v>655</v>
      </c>
      <c r="T283">
        <v>59</v>
      </c>
      <c r="U283">
        <v>0.63</v>
      </c>
      <c r="V283">
        <v>230</v>
      </c>
      <c r="W283">
        <v>0.25</v>
      </c>
      <c r="X283">
        <v>0</v>
      </c>
      <c r="Y283">
        <v>59.27</v>
      </c>
      <c r="Z283">
        <v>1.99</v>
      </c>
      <c r="AA283">
        <v>8031</v>
      </c>
      <c r="AB283">
        <v>1593</v>
      </c>
      <c r="AC283">
        <v>124</v>
      </c>
      <c r="AD283">
        <v>1.82</v>
      </c>
      <c r="AE283">
        <v>350</v>
      </c>
      <c r="AF283">
        <v>0.6</v>
      </c>
      <c r="AG283">
        <v>0</v>
      </c>
      <c r="AH283">
        <v>0.138</v>
      </c>
      <c r="AI283">
        <v>70.1</v>
      </c>
      <c r="AJ283">
        <v>2.9</v>
      </c>
      <c r="AK283">
        <v>4275</v>
      </c>
      <c r="AL283">
        <v>630</v>
      </c>
      <c r="AM283">
        <v>138</v>
      </c>
      <c r="AN283">
        <v>0</v>
      </c>
      <c r="AO283">
        <v>0</v>
      </c>
      <c r="AP283">
        <v>0.895999999999999</v>
      </c>
      <c r="AQ283">
        <v>0.079</v>
      </c>
      <c r="AR283">
        <v>0.018</v>
      </c>
      <c r="AS283" s="3">
        <v>46107.76846064815</v>
      </c>
    </row>
    <row r="284" ht="25.5" customHeight="1">
      <c r="A284" t="inlineStr">
        <is>
          <t>5b1cafe5e8ac2b705a2b6e61</t>
        </is>
      </c>
      <c r="B284" s="2" t="str">
        <f>=HYPERLINK("https://www.xiaohongshu.com/user/profile/5b1cafe5e8ac2b705a2b6e61", "https://www.xiaohongshu.com/user/profile/5b1cafe5e8ac2b705a2b6e61")</f>
        <v>https://www.xiaohongshu.com/user/profile/5b1cafe5e8ac2b705a2b6e61</v>
      </c>
      <c r="C284" s="2" t="str">
        <f>=HYPERLINK("https://pgy.xiaohongshu.com/solar/pre-trade/blogger-detail/5b1cafe5e8ac2b705a2b6e61", "https://pgy.xiaohongshu.com/solar/pre-trade/blogger-detail/5b1cafe5e8ac2b705a2b6e61")</f>
        <v>https://pgy.xiaohongshu.com/solar/pre-trade/blogger-detail/5b1cafe5e8ac2b705a2b6e61</v>
      </c>
      <c r="D284" t="inlineStr">
        <is>
          <t>女</t>
        </is>
      </c>
      <c r="E284" t="inlineStr">
        <is>
          <t>RosieChennn</t>
        </is>
      </c>
      <c r="F284" t="inlineStr">
        <is>
          <t>RosieChen</t>
        </is>
      </c>
      <c r="G284" t="inlineStr">
        <is>
          <t>上海</t>
        </is>
      </c>
      <c r="H284" t="inlineStr">
        <is>
          <t>独居人群, 学生</t>
        </is>
      </c>
      <c r="I284" t="inlineStr">
        <is>
          <t>生活记录</t>
        </is>
      </c>
      <c r="J284">
        <v>18745</v>
      </c>
      <c r="K284" t="inlineStr">
        <is>
          <t>1.9</t>
        </is>
      </c>
      <c r="L284">
        <v>21716</v>
      </c>
      <c r="M284">
        <v>5207</v>
      </c>
      <c r="N284">
        <v>324</v>
      </c>
      <c r="O284">
        <v>3000</v>
      </c>
      <c r="P284">
        <v>0</v>
      </c>
      <c r="Q284">
        <v>1</v>
      </c>
      <c r="R284">
        <v>0</v>
      </c>
      <c r="S284">
        <v>0</v>
      </c>
      <c r="T284">
        <v>0</v>
      </c>
      <c r="U284">
        <v>0</v>
      </c>
      <c r="V284">
        <v>3000</v>
      </c>
      <c r="W284">
        <v>0</v>
      </c>
      <c r="X284">
        <v>0</v>
      </c>
      <c r="Y284">
        <v>0</v>
      </c>
      <c r="Z284">
        <v>0</v>
      </c>
      <c r="AA284">
        <v>21716</v>
      </c>
      <c r="AB284">
        <v>5207</v>
      </c>
      <c r="AC284">
        <v>300</v>
      </c>
      <c r="AD284">
        <v>2.18</v>
      </c>
      <c r="AE284">
        <v>3500</v>
      </c>
      <c r="AF284">
        <v>1</v>
      </c>
      <c r="AG284">
        <v>0</v>
      </c>
      <c r="AH284">
        <v>0.186</v>
      </c>
      <c r="AI284">
        <v>161.83</v>
      </c>
      <c r="AJ284">
        <v>10.84</v>
      </c>
      <c r="AK284">
        <v>9005</v>
      </c>
      <c r="AL284">
        <v>2016</v>
      </c>
      <c r="AM284">
        <v>85</v>
      </c>
      <c r="AN284">
        <v>67</v>
      </c>
      <c r="AO284">
        <v>57.71</v>
      </c>
      <c r="AP284">
        <v>0.875</v>
      </c>
      <c r="AQ284">
        <v>0.094</v>
      </c>
      <c r="AR284">
        <v>0.031</v>
      </c>
      <c r="AS284" s="3">
        <v>46107.76846064815</v>
      </c>
    </row>
    <row r="285" ht="25.5" customHeight="1">
      <c r="A285" t="inlineStr">
        <is>
          <t>5f9d57c6000000000100a445</t>
        </is>
      </c>
      <c r="B285" s="2" t="str">
        <f>=HYPERLINK("https://www.xiaohongshu.com/user/profile/5f9d57c6000000000100a445", "https://www.xiaohongshu.com/user/profile/5f9d57c6000000000100a445")</f>
        <v>https://www.xiaohongshu.com/user/profile/5f9d57c6000000000100a445</v>
      </c>
      <c r="C285" s="2" t="str">
        <f>=HYPERLINK("https://pgy.xiaohongshu.com/solar/pre-trade/blogger-detail/5f9d57c6000000000100a445", "https://pgy.xiaohongshu.com/solar/pre-trade/blogger-detail/5f9d57c6000000000100a445")</f>
        <v>https://pgy.xiaohongshu.com/solar/pre-trade/blogger-detail/5f9d57c6000000000100a445</v>
      </c>
      <c r="D285" t="inlineStr">
        <is>
          <t>女</t>
        </is>
      </c>
      <c r="E285" t="inlineStr">
        <is>
          <t>1015698764</t>
        </is>
      </c>
      <c r="F285" t="inlineStr">
        <is>
          <t>利是</t>
        </is>
      </c>
      <c r="G285" t="inlineStr">
        <is>
          <t>湖南 长沙 岳麓区</t>
        </is>
      </c>
      <c r="H285" t="inlineStr">
        <is>
          <t>学生</t>
        </is>
      </c>
      <c r="I285" t="inlineStr">
        <is>
          <t>职场, 教育</t>
        </is>
      </c>
      <c r="J285">
        <v>3411</v>
      </c>
      <c r="K285" t="inlineStr">
        <is>
          <t>0.3</t>
        </is>
      </c>
      <c r="L285">
        <v>19970</v>
      </c>
      <c r="M285">
        <v>2055</v>
      </c>
      <c r="N285">
        <v>374</v>
      </c>
      <c r="O285">
        <v>240</v>
      </c>
      <c r="P285">
        <v>0.25</v>
      </c>
      <c r="Q285">
        <v>0.75</v>
      </c>
      <c r="R285">
        <v>0</v>
      </c>
      <c r="S285">
        <v>0</v>
      </c>
      <c r="T285">
        <v>0</v>
      </c>
      <c r="U285">
        <v>0</v>
      </c>
      <c r="V285">
        <v>240</v>
      </c>
      <c r="W285">
        <v>0</v>
      </c>
      <c r="X285">
        <v>0</v>
      </c>
      <c r="Y285">
        <v>0</v>
      </c>
      <c r="Z285">
        <v>0</v>
      </c>
      <c r="AA285">
        <v>19970</v>
      </c>
      <c r="AB285">
        <v>2055</v>
      </c>
      <c r="AC285">
        <v>346</v>
      </c>
      <c r="AD285">
        <v>1.91</v>
      </c>
      <c r="AE285">
        <v>600</v>
      </c>
      <c r="AF285">
        <v>0.75</v>
      </c>
      <c r="AG285">
        <v>0.25</v>
      </c>
      <c r="AH285">
        <v>0.138</v>
      </c>
      <c r="AI285">
        <v>66.6</v>
      </c>
      <c r="AJ285">
        <v>2.38</v>
      </c>
      <c r="AK285">
        <v>5794</v>
      </c>
      <c r="AL285">
        <v>1022</v>
      </c>
      <c r="AM285">
        <v>236</v>
      </c>
      <c r="AN285">
        <v>0</v>
      </c>
      <c r="AO285">
        <v>0</v>
      </c>
      <c r="AP285">
        <v>0.862</v>
      </c>
      <c r="AQ285">
        <v>0.036</v>
      </c>
      <c r="AR285">
        <v>0.02</v>
      </c>
      <c r="AS285" s="3">
        <v>46107.76846064815</v>
      </c>
    </row>
    <row r="286" ht="25.5" customHeight="1">
      <c r="A286" t="inlineStr">
        <is>
          <t>6103b2f90000000001007df2</t>
        </is>
      </c>
      <c r="B286" s="2" t="str">
        <f>=HYPERLINK("https://www.xiaohongshu.com/user/profile/6103b2f90000000001007df2", "https://www.xiaohongshu.com/user/profile/6103b2f90000000001007df2")</f>
        <v>https://www.xiaohongshu.com/user/profile/6103b2f90000000001007df2</v>
      </c>
      <c r="C286" s="2" t="str">
        <f>=HYPERLINK("https://pgy.xiaohongshu.com/solar/pre-trade/blogger-detail/6103b2f90000000001007df2", "https://pgy.xiaohongshu.com/solar/pre-trade/blogger-detail/6103b2f90000000001007df2")</f>
        <v>https://pgy.xiaohongshu.com/solar/pre-trade/blogger-detail/6103b2f90000000001007df2</v>
      </c>
      <c r="D286" t="inlineStr">
        <is>
          <t>女</t>
        </is>
      </c>
      <c r="E286" t="inlineStr">
        <is>
          <t>2616150609</t>
        </is>
      </c>
      <c r="F286" t="inlineStr">
        <is>
          <t>usee</t>
        </is>
      </c>
      <c r="G286" t="inlineStr">
        <is>
          <t>湖北 武汉 武昌区</t>
        </is>
      </c>
      <c r="H286" t="inlineStr">
        <is>
          <t>学生</t>
        </is>
      </c>
      <c r="I286" t="inlineStr">
        <is>
          <t>教育</t>
        </is>
      </c>
      <c r="J286">
        <v>11410</v>
      </c>
      <c r="K286" t="inlineStr">
        <is>
          <t>1.1</t>
        </is>
      </c>
      <c r="L286">
        <v>9618</v>
      </c>
      <c r="M286">
        <v>1072</v>
      </c>
      <c r="N286">
        <v>544</v>
      </c>
      <c r="O286">
        <v>600</v>
      </c>
      <c r="P286">
        <v>0</v>
      </c>
      <c r="Q286">
        <v>1</v>
      </c>
      <c r="R286">
        <v>9618</v>
      </c>
      <c r="S286">
        <v>1072</v>
      </c>
      <c r="T286">
        <v>535</v>
      </c>
      <c r="U286">
        <v>0.91</v>
      </c>
      <c r="V286">
        <v>600</v>
      </c>
      <c r="W286">
        <v>1</v>
      </c>
      <c r="X286">
        <v>0</v>
      </c>
      <c r="Y286">
        <v>113.55</v>
      </c>
      <c r="Z286">
        <v>4.32</v>
      </c>
      <c r="AA286">
        <v>0</v>
      </c>
      <c r="AB286">
        <v>0</v>
      </c>
      <c r="AC286">
        <v>0</v>
      </c>
      <c r="AD286">
        <v>1.62</v>
      </c>
      <c r="AE286">
        <v>1000</v>
      </c>
      <c r="AF286">
        <v>0</v>
      </c>
      <c r="AG286">
        <v>0</v>
      </c>
      <c r="AH286">
        <v>0</v>
      </c>
      <c r="AI286">
        <v>116.33</v>
      </c>
      <c r="AJ286">
        <v>0.87</v>
      </c>
      <c r="AK286">
        <v>17499</v>
      </c>
      <c r="AL286">
        <v>2040</v>
      </c>
      <c r="AM286">
        <v>198</v>
      </c>
      <c r="AN286">
        <v>0</v>
      </c>
      <c r="AO286">
        <v>52.01</v>
      </c>
      <c r="AP286">
        <v>0.845</v>
      </c>
      <c r="AQ286">
        <v>0.086</v>
      </c>
      <c r="AR286">
        <v>0.038</v>
      </c>
      <c r="AS286" s="3">
        <v>46107.76846064815</v>
      </c>
    </row>
    <row r="287" ht="25.5" customHeight="1">
      <c r="A287" t="inlineStr">
        <is>
          <t>58c3fe3a6a6a690cd2408718</t>
        </is>
      </c>
      <c r="B287" s="2" t="str">
        <f>=HYPERLINK("https://www.xiaohongshu.com/user/profile/58c3fe3a6a6a690cd2408718", "https://www.xiaohongshu.com/user/profile/58c3fe3a6a6a690cd2408718")</f>
        <v>https://www.xiaohongshu.com/user/profile/58c3fe3a6a6a690cd2408718</v>
      </c>
      <c r="C287" s="2" t="str">
        <f>=HYPERLINK("https://pgy.xiaohongshu.com/solar/pre-trade/blogger-detail/58c3fe3a6a6a690cd2408718", "https://pgy.xiaohongshu.com/solar/pre-trade/blogger-detail/58c3fe3a6a6a690cd2408718")</f>
        <v>https://pgy.xiaohongshu.com/solar/pre-trade/blogger-detail/58c3fe3a6a6a690cd2408718</v>
      </c>
      <c r="D287" t="inlineStr">
        <is>
          <t>女</t>
        </is>
      </c>
      <c r="E287" t="inlineStr">
        <is>
          <t>607640652</t>
        </is>
      </c>
      <c r="F287" t="inlineStr">
        <is>
          <t>叫我羊同学</t>
        </is>
      </c>
      <c r="G287" t="inlineStr">
        <is>
          <t>江苏 南京 浦口区</t>
        </is>
      </c>
      <c r="H287" t="inlineStr">
        <is>
          <t>学生</t>
        </is>
      </c>
      <c r="I287" t="inlineStr">
        <is>
          <t>生活记录</t>
        </is>
      </c>
      <c r="J287">
        <v>94122</v>
      </c>
      <c r="K287" t="inlineStr">
        <is>
          <t>9.4</t>
        </is>
      </c>
      <c r="L287">
        <v>30617</v>
      </c>
      <c r="M287">
        <v>7934</v>
      </c>
      <c r="N287">
        <v>818</v>
      </c>
      <c r="O287">
        <v>7000</v>
      </c>
      <c r="P287">
        <v>0.13</v>
      </c>
      <c r="Q287">
        <v>0.957</v>
      </c>
      <c r="R287">
        <v>61264</v>
      </c>
      <c r="S287">
        <v>6139</v>
      </c>
      <c r="T287">
        <v>352</v>
      </c>
      <c r="U287">
        <v>1.44</v>
      </c>
      <c r="V287">
        <v>7000</v>
      </c>
      <c r="W287">
        <v>1</v>
      </c>
      <c r="X287">
        <v>0</v>
      </c>
      <c r="Y287">
        <v>114.26</v>
      </c>
      <c r="Z287">
        <v>19.07</v>
      </c>
      <c r="AA287">
        <v>30617</v>
      </c>
      <c r="AB287">
        <v>7934</v>
      </c>
      <c r="AC287">
        <v>745</v>
      </c>
      <c r="AD287">
        <v>3.01</v>
      </c>
      <c r="AE287">
        <v>12000</v>
      </c>
      <c r="AF287">
        <v>0.952</v>
      </c>
      <c r="AG287">
        <v>0.143</v>
      </c>
      <c r="AH287">
        <v>0.066</v>
      </c>
      <c r="AI287">
        <v>391.94</v>
      </c>
      <c r="AJ287">
        <v>13.9</v>
      </c>
      <c r="AK287">
        <v>0</v>
      </c>
      <c r="AL287">
        <v>0</v>
      </c>
      <c r="AM287">
        <v>0</v>
      </c>
      <c r="AN287">
        <v>0</v>
      </c>
      <c r="AO287">
        <v>0</v>
      </c>
      <c r="AP287">
        <v>0.691</v>
      </c>
      <c r="AQ287">
        <v>0.062</v>
      </c>
      <c r="AR287">
        <v>0.011</v>
      </c>
      <c r="AS287" s="3">
        <v>46107.76846064815</v>
      </c>
    </row>
    <row r="288" ht="25.5" customHeight="1">
      <c r="A288" t="inlineStr">
        <is>
          <t>6097aebe000000000100435e</t>
        </is>
      </c>
      <c r="B288" s="2" t="str">
        <f>=HYPERLINK("https://www.xiaohongshu.com/user/profile/6097aebe000000000100435e", "https://www.xiaohongshu.com/user/profile/6097aebe000000000100435e")</f>
        <v>https://www.xiaohongshu.com/user/profile/6097aebe000000000100435e</v>
      </c>
      <c r="C288" s="2" t="str">
        <f>=HYPERLINK("https://pgy.xiaohongshu.com/solar/pre-trade/blogger-detail/6097aebe000000000100435e", "https://pgy.xiaohongshu.com/solar/pre-trade/blogger-detail/6097aebe000000000100435e")</f>
        <v>https://pgy.xiaohongshu.com/solar/pre-trade/blogger-detail/6097aebe000000000100435e</v>
      </c>
      <c r="D288" t="inlineStr">
        <is>
          <t>女</t>
        </is>
      </c>
      <c r="E288" t="inlineStr">
        <is>
          <t>pipppi0831</t>
        </is>
      </c>
      <c r="F288" t="inlineStr">
        <is>
          <t>_pipppi</t>
        </is>
      </c>
      <c r="G288" t="inlineStr">
        <is>
          <t>广东 深圳 福田区</t>
        </is>
      </c>
      <c r="H288" t="inlineStr">
        <is>
          <t>留学背景, 学生</t>
        </is>
      </c>
      <c r="I288" t="inlineStr">
        <is>
          <t>教育, 生活记录</t>
        </is>
      </c>
      <c r="J288">
        <v>8963</v>
      </c>
      <c r="K288" t="inlineStr">
        <is>
          <t>0.9</t>
        </is>
      </c>
      <c r="L288">
        <v>4838</v>
      </c>
      <c r="M288">
        <v>1003</v>
      </c>
      <c r="N288">
        <v>126</v>
      </c>
      <c r="O288">
        <v>1000</v>
      </c>
      <c r="P288">
        <v>0</v>
      </c>
      <c r="Q288">
        <v>0.5</v>
      </c>
      <c r="R288">
        <v>2932</v>
      </c>
      <c r="S288">
        <v>519</v>
      </c>
      <c r="T288">
        <v>62</v>
      </c>
      <c r="U288">
        <v>2.22</v>
      </c>
      <c r="V288">
        <v>1000</v>
      </c>
      <c r="W288">
        <v>0</v>
      </c>
      <c r="X288">
        <v>0</v>
      </c>
      <c r="Y288">
        <v>341.01</v>
      </c>
      <c r="Z288">
        <v>15.38</v>
      </c>
      <c r="AA288">
        <v>5352</v>
      </c>
      <c r="AB288">
        <v>1136</v>
      </c>
      <c r="AC288">
        <v>138</v>
      </c>
      <c r="AD288">
        <v>2.7</v>
      </c>
      <c r="AE288">
        <v>1366</v>
      </c>
      <c r="AF288">
        <v>0.6</v>
      </c>
      <c r="AG288">
        <v>0</v>
      </c>
      <c r="AH288">
        <v>0.087</v>
      </c>
      <c r="AI288">
        <v>255.23</v>
      </c>
      <c r="AJ288">
        <v>9.45</v>
      </c>
      <c r="AK288">
        <v>0</v>
      </c>
      <c r="AL288">
        <v>0</v>
      </c>
      <c r="AM288">
        <v>0</v>
      </c>
      <c r="AN288">
        <v>0</v>
      </c>
      <c r="AO288">
        <v>0</v>
      </c>
      <c r="AP288">
        <v>0.605</v>
      </c>
      <c r="AQ288">
        <v>0.0409999999999999</v>
      </c>
      <c r="AR288">
        <v>0.017</v>
      </c>
      <c r="AS288" s="3">
        <v>46107.76846064815</v>
      </c>
    </row>
    <row r="289" ht="25.5" customHeight="1">
      <c r="A289" t="inlineStr">
        <is>
          <t>6114d09d000000000100a3b7</t>
        </is>
      </c>
      <c r="B289" s="2" t="str">
        <f>=HYPERLINK("https://www.xiaohongshu.com/user/profile/6114d09d000000000100a3b7", "https://www.xiaohongshu.com/user/profile/6114d09d000000000100a3b7")</f>
        <v>https://www.xiaohongshu.com/user/profile/6114d09d000000000100a3b7</v>
      </c>
      <c r="C289" s="2" t="str">
        <f>=HYPERLINK("https://pgy.xiaohongshu.com/solar/pre-trade/blogger-detail/6114d09d000000000100a3b7", "https://pgy.xiaohongshu.com/solar/pre-trade/blogger-detail/6114d09d000000000100a3b7")</f>
        <v>https://pgy.xiaohongshu.com/solar/pre-trade/blogger-detail/6114d09d000000000100a3b7</v>
      </c>
      <c r="D289" t="inlineStr">
        <is>
          <t>女</t>
        </is>
      </c>
      <c r="E289" t="inlineStr">
        <is>
          <t>4964525517</t>
        </is>
      </c>
      <c r="F289" t="inlineStr">
        <is>
          <t>T.T .O.</t>
        </is>
      </c>
      <c r="G289" t="inlineStr">
        <is>
          <t>海南 海口 美兰区</t>
        </is>
      </c>
      <c r="H289" t="inlineStr">
        <is>
          <t>学生</t>
        </is>
      </c>
      <c r="I289" t="inlineStr">
        <is>
          <t>教育</t>
        </is>
      </c>
      <c r="J289">
        <v>1624</v>
      </c>
      <c r="K289" t="inlineStr">
        <is>
          <t>0.2</t>
        </is>
      </c>
      <c r="L289">
        <v>8365</v>
      </c>
      <c r="M289">
        <v>1586</v>
      </c>
      <c r="N289">
        <v>140</v>
      </c>
      <c r="O289">
        <v>125</v>
      </c>
      <c r="P289">
        <v>0</v>
      </c>
      <c r="Q289">
        <v>0.286</v>
      </c>
      <c r="R289">
        <v>8365</v>
      </c>
      <c r="S289">
        <v>1586</v>
      </c>
      <c r="T289">
        <v>132</v>
      </c>
      <c r="U289">
        <v>0.37</v>
      </c>
      <c r="V289">
        <v>125</v>
      </c>
      <c r="W289">
        <v>0.286</v>
      </c>
      <c r="X289">
        <v>0</v>
      </c>
      <c r="Y289">
        <v>13.17</v>
      </c>
      <c r="Z289">
        <v>0.83</v>
      </c>
      <c r="AA289">
        <v>0</v>
      </c>
      <c r="AB289">
        <v>0</v>
      </c>
      <c r="AC289">
        <v>0</v>
      </c>
      <c r="AD289">
        <v>0</v>
      </c>
      <c r="AE289">
        <v>0</v>
      </c>
      <c r="AF289">
        <v>0</v>
      </c>
      <c r="AG289">
        <v>0</v>
      </c>
      <c r="AH289">
        <v>0</v>
      </c>
      <c r="AI289">
        <v>0</v>
      </c>
      <c r="AJ289">
        <v>0</v>
      </c>
      <c r="AK289">
        <v>142190</v>
      </c>
      <c r="AL289">
        <v>29590</v>
      </c>
      <c r="AM289">
        <v>6716</v>
      </c>
      <c r="AN289">
        <v>187</v>
      </c>
      <c r="AO289">
        <v>2.16</v>
      </c>
      <c r="AP289">
        <v>0.935</v>
      </c>
      <c r="AQ289">
        <v>0.2</v>
      </c>
      <c r="AR289">
        <v>0.085</v>
      </c>
      <c r="AS289" s="3">
        <v>46107.76846064815</v>
      </c>
    </row>
    <row r="290" ht="25.5" customHeight="1">
      <c r="A290" t="inlineStr">
        <is>
          <t>61d58671000000002102730b</t>
        </is>
      </c>
      <c r="B290" s="2" t="str">
        <f>=HYPERLINK("https://www.xiaohongshu.com/user/profile/61d58671000000002102730b", "https://www.xiaohongshu.com/user/profile/61d58671000000002102730b")</f>
        <v>https://www.xiaohongshu.com/user/profile/61d58671000000002102730b</v>
      </c>
      <c r="C290" s="2" t="str">
        <f>=HYPERLINK("https://pgy.xiaohongshu.com/solar/pre-trade/blogger-detail/61d58671000000002102730b", "https://pgy.xiaohongshu.com/solar/pre-trade/blogger-detail/61d58671000000002102730b")</f>
        <v>https://pgy.xiaohongshu.com/solar/pre-trade/blogger-detail/61d58671000000002102730b</v>
      </c>
      <c r="D290" t="inlineStr">
        <is>
          <t>女</t>
        </is>
      </c>
      <c r="E290" t="inlineStr">
        <is>
          <t>2145715923</t>
        </is>
      </c>
      <c r="F290" t="inlineStr">
        <is>
          <t>零0零0</t>
        </is>
      </c>
      <c r="G290" t="inlineStr">
        <is>
          <t>广东 湛江 麻章区</t>
        </is>
      </c>
      <c r="H290" t="inlineStr">
        <is>
          <t>学生, 主持人</t>
        </is>
      </c>
      <c r="I290" t="inlineStr">
        <is>
          <t>生活记录</t>
        </is>
      </c>
      <c r="J290">
        <v>7112</v>
      </c>
      <c r="K290" t="inlineStr">
        <is>
          <t>0.7</t>
        </is>
      </c>
      <c r="L290">
        <v>6776</v>
      </c>
      <c r="M290">
        <v>813</v>
      </c>
      <c r="N290">
        <v>126</v>
      </c>
      <c r="O290">
        <v>500</v>
      </c>
      <c r="P290">
        <v>0</v>
      </c>
      <c r="Q290">
        <v>0.467</v>
      </c>
      <c r="R290">
        <v>6807</v>
      </c>
      <c r="S290">
        <v>769</v>
      </c>
      <c r="T290">
        <v>87</v>
      </c>
      <c r="U290">
        <v>0.93</v>
      </c>
      <c r="V290">
        <v>500</v>
      </c>
      <c r="W290">
        <v>0</v>
      </c>
      <c r="X290">
        <v>0</v>
      </c>
      <c r="Y290">
        <v>73.12</v>
      </c>
      <c r="Z290">
        <v>5.15</v>
      </c>
      <c r="AA290">
        <v>6709</v>
      </c>
      <c r="AB290">
        <v>1002</v>
      </c>
      <c r="AC290">
        <v>173</v>
      </c>
      <c r="AD290">
        <v>2.5</v>
      </c>
      <c r="AE290">
        <v>1000</v>
      </c>
      <c r="AF290">
        <v>1</v>
      </c>
      <c r="AG290">
        <v>0</v>
      </c>
      <c r="AH290">
        <v>0.044</v>
      </c>
      <c r="AI290">
        <v>151.79</v>
      </c>
      <c r="AJ290">
        <v>5.38</v>
      </c>
      <c r="AK290">
        <v>294921</v>
      </c>
      <c r="AL290">
        <v>35499</v>
      </c>
      <c r="AM290">
        <v>3112</v>
      </c>
      <c r="AN290">
        <v>319</v>
      </c>
      <c r="AO290">
        <v>40.2</v>
      </c>
      <c r="AP290">
        <v>0.672</v>
      </c>
      <c r="AQ290">
        <v>0.044</v>
      </c>
      <c r="AR290">
        <v>0.0289999999999999</v>
      </c>
      <c r="AS290" s="3">
        <v>46107.76846064815</v>
      </c>
    </row>
    <row r="291" ht="25.5" customHeight="1">
      <c r="A291" t="inlineStr">
        <is>
          <t>56beb6b94775a77804231aaa</t>
        </is>
      </c>
      <c r="B291" s="2" t="str">
        <f>=HYPERLINK("https://www.xiaohongshu.com/user/profile/56beb6b94775a77804231aaa", "https://www.xiaohongshu.com/user/profile/56beb6b94775a77804231aaa")</f>
        <v>https://www.xiaohongshu.com/user/profile/56beb6b94775a77804231aaa</v>
      </c>
      <c r="C291" s="2" t="str">
        <f>=HYPERLINK("https://pgy.xiaohongshu.com/solar/pre-trade/blogger-detail/56beb6b94775a77804231aaa", "https://pgy.xiaohongshu.com/solar/pre-trade/blogger-detail/56beb6b94775a77804231aaa")</f>
        <v>https://pgy.xiaohongshu.com/solar/pre-trade/blogger-detail/56beb6b94775a77804231aaa</v>
      </c>
      <c r="D291" t="inlineStr">
        <is>
          <t>女</t>
        </is>
      </c>
      <c r="E291" t="inlineStr">
        <is>
          <t>606465806</t>
        </is>
      </c>
      <c r="F291" t="inlineStr">
        <is>
          <t>暖阳博士</t>
        </is>
      </c>
      <c r="G291" t="inlineStr">
        <is>
          <t>北京</t>
        </is>
      </c>
      <c r="H291"/>
      <c r="I291" t="inlineStr">
        <is>
          <t>教育</t>
        </is>
      </c>
      <c r="J291">
        <v>36563</v>
      </c>
      <c r="K291" t="inlineStr">
        <is>
          <t>3.7</t>
        </is>
      </c>
      <c r="L291">
        <v>18075</v>
      </c>
      <c r="M291">
        <v>2098</v>
      </c>
      <c r="N291">
        <v>312</v>
      </c>
      <c r="O291">
        <v>1700</v>
      </c>
      <c r="P291">
        <v>0</v>
      </c>
      <c r="Q291">
        <v>0.75</v>
      </c>
      <c r="R291">
        <v>18075</v>
      </c>
      <c r="S291">
        <v>2098</v>
      </c>
      <c r="T291">
        <v>307</v>
      </c>
      <c r="U291">
        <v>1.25</v>
      </c>
      <c r="V291">
        <v>1700</v>
      </c>
      <c r="W291">
        <v>0.75</v>
      </c>
      <c r="X291">
        <v>0</v>
      </c>
      <c r="Y291">
        <v>88.21</v>
      </c>
      <c r="Z291">
        <v>8.29</v>
      </c>
      <c r="AA291">
        <v>0</v>
      </c>
      <c r="AB291">
        <v>0</v>
      </c>
      <c r="AC291">
        <v>0</v>
      </c>
      <c r="AD291">
        <v>0</v>
      </c>
      <c r="AE291">
        <v>2444</v>
      </c>
      <c r="AF291">
        <v>0</v>
      </c>
      <c r="AG291">
        <v>0</v>
      </c>
      <c r="AH291">
        <v>0</v>
      </c>
      <c r="AI291">
        <v>0</v>
      </c>
      <c r="AJ291">
        <v>0</v>
      </c>
      <c r="AK291">
        <v>19272</v>
      </c>
      <c r="AL291">
        <v>1678</v>
      </c>
      <c r="AM291">
        <v>189</v>
      </c>
      <c r="AN291">
        <v>0</v>
      </c>
      <c r="AO291">
        <v>0</v>
      </c>
      <c r="AP291">
        <v>0.932999999999999</v>
      </c>
      <c r="AQ291">
        <v>0.027</v>
      </c>
      <c r="AR291">
        <v>0.013</v>
      </c>
      <c r="AS291" s="3">
        <v>46107.76846064815</v>
      </c>
    </row>
    <row r="292" ht="25.5" customHeight="1">
      <c r="A292" t="inlineStr">
        <is>
          <t>5c8475940000000011037d09</t>
        </is>
      </c>
      <c r="B292" s="2" t="str">
        <f>=HYPERLINK("https://www.xiaohongshu.com/user/profile/5c8475940000000011037d09", "https://www.xiaohongshu.com/user/profile/5c8475940000000011037d09")</f>
        <v>https://www.xiaohongshu.com/user/profile/5c8475940000000011037d09</v>
      </c>
      <c r="C292" s="2" t="str">
        <f>=HYPERLINK("https://pgy.xiaohongshu.com/solar/pre-trade/blogger-detail/5c8475940000000011037d09", "https://pgy.xiaohongshu.com/solar/pre-trade/blogger-detail/5c8475940000000011037d09")</f>
        <v>https://pgy.xiaohongshu.com/solar/pre-trade/blogger-detail/5c8475940000000011037d09</v>
      </c>
      <c r="D292" t="inlineStr">
        <is>
          <t>女</t>
        </is>
      </c>
      <c r="E292" t="inlineStr">
        <is>
          <t>687396461</t>
        </is>
      </c>
      <c r="F292" t="inlineStr">
        <is>
          <t>小十一和他的妈妈</t>
        </is>
      </c>
      <c r="G292" t="inlineStr">
        <is>
          <t>广东 佛山 顺德区</t>
        </is>
      </c>
      <c r="H292" t="inlineStr">
        <is>
          <t>3-6岁, 妈妈, 户外爱好者, 海外华人</t>
        </is>
      </c>
      <c r="I292" t="inlineStr">
        <is>
          <t>教育, 出行旅游, 母婴</t>
        </is>
      </c>
      <c r="J292">
        <v>3868</v>
      </c>
      <c r="K292" t="inlineStr">
        <is>
          <t>0.4</t>
        </is>
      </c>
      <c r="L292">
        <v>5202</v>
      </c>
      <c r="M292">
        <v>974</v>
      </c>
      <c r="N292">
        <v>121</v>
      </c>
      <c r="O292">
        <v>1000</v>
      </c>
      <c r="P292">
        <v>0</v>
      </c>
      <c r="Q292">
        <v>0</v>
      </c>
      <c r="R292">
        <v>5202</v>
      </c>
      <c r="S292">
        <v>974</v>
      </c>
      <c r="T292">
        <v>109</v>
      </c>
      <c r="U292">
        <v>1.33</v>
      </c>
      <c r="V292">
        <v>1000</v>
      </c>
      <c r="W292">
        <v>0</v>
      </c>
      <c r="X292">
        <v>0</v>
      </c>
      <c r="Y292">
        <v>192.23</v>
      </c>
      <c r="Z292">
        <v>8.26</v>
      </c>
      <c r="AA292">
        <v>0</v>
      </c>
      <c r="AB292">
        <v>0</v>
      </c>
      <c r="AC292">
        <v>0</v>
      </c>
      <c r="AD292">
        <v>0</v>
      </c>
      <c r="AE292">
        <v>1000</v>
      </c>
      <c r="AF292">
        <v>0</v>
      </c>
      <c r="AG292">
        <v>0</v>
      </c>
      <c r="AH292">
        <v>0</v>
      </c>
      <c r="AI292">
        <v>0</v>
      </c>
      <c r="AJ292">
        <v>0</v>
      </c>
      <c r="AK292">
        <v>0</v>
      </c>
      <c r="AL292">
        <v>0</v>
      </c>
      <c r="AM292">
        <v>0</v>
      </c>
      <c r="AN292">
        <v>0</v>
      </c>
      <c r="AO292">
        <v>0</v>
      </c>
      <c r="AP292">
        <v>0.965</v>
      </c>
      <c r="AQ292">
        <v>0.044</v>
      </c>
      <c r="AR292">
        <v>0.063</v>
      </c>
      <c r="AS292" s="3">
        <v>46107.76846064815</v>
      </c>
    </row>
    <row r="293" ht="25.5" customHeight="1">
      <c r="A293" t="inlineStr">
        <is>
          <t>6230c1870000000010009615</t>
        </is>
      </c>
      <c r="B293" s="2" t="str">
        <f>=HYPERLINK("https://www.xiaohongshu.com/user/profile/6230c1870000000010009615", "https://www.xiaohongshu.com/user/profile/6230c1870000000010009615")</f>
        <v>https://www.xiaohongshu.com/user/profile/6230c1870000000010009615</v>
      </c>
      <c r="C293" s="2" t="str">
        <f>=HYPERLINK("https://pgy.xiaohongshu.com/solar/pre-trade/blogger-detail/6230c1870000000010009615", "https://pgy.xiaohongshu.com/solar/pre-trade/blogger-detail/6230c1870000000010009615")</f>
        <v>https://pgy.xiaohongshu.com/solar/pre-trade/blogger-detail/6230c1870000000010009615</v>
      </c>
      <c r="D293" t="inlineStr">
        <is>
          <t>男</t>
        </is>
      </c>
      <c r="E293" t="inlineStr">
        <is>
          <t>4755641521</t>
        </is>
      </c>
      <c r="F293" t="inlineStr">
        <is>
          <t>准静止锋QF</t>
        </is>
      </c>
      <c r="G293" t="inlineStr">
        <is>
          <t>广东 深圳 宝安区</t>
        </is>
      </c>
      <c r="H293" t="inlineStr">
        <is>
          <t>学生, 产品经理</t>
        </is>
      </c>
      <c r="I293" t="inlineStr">
        <is>
          <t>职场, 教育</t>
        </is>
      </c>
      <c r="J293">
        <v>21132</v>
      </c>
      <c r="K293" t="inlineStr">
        <is>
          <t>2.1</t>
        </is>
      </c>
      <c r="L293">
        <v>12914</v>
      </c>
      <c r="M293">
        <v>1899</v>
      </c>
      <c r="N293">
        <v>243</v>
      </c>
      <c r="O293">
        <v>2000</v>
      </c>
      <c r="P293">
        <v>0</v>
      </c>
      <c r="Q293">
        <v>0.667</v>
      </c>
      <c r="R293">
        <v>10966</v>
      </c>
      <c r="S293">
        <v>1263</v>
      </c>
      <c r="T293">
        <v>154</v>
      </c>
      <c r="U293">
        <v>1.35</v>
      </c>
      <c r="V293">
        <v>2000</v>
      </c>
      <c r="W293">
        <v>0.6</v>
      </c>
      <c r="X293">
        <v>0</v>
      </c>
      <c r="Y293">
        <v>259.94</v>
      </c>
      <c r="Z293">
        <v>10.78</v>
      </c>
      <c r="AA293">
        <v>40529</v>
      </c>
      <c r="AB293">
        <v>8095</v>
      </c>
      <c r="AC293">
        <v>873</v>
      </c>
      <c r="AD293">
        <v>1.87</v>
      </c>
      <c r="AE293">
        <v>3000</v>
      </c>
      <c r="AF293">
        <v>1</v>
      </c>
      <c r="AG293">
        <v>0</v>
      </c>
      <c r="AH293">
        <v>0.012</v>
      </c>
      <c r="AI293">
        <v>74.02</v>
      </c>
      <c r="AJ293">
        <v>2.87</v>
      </c>
      <c r="AK293">
        <v>28048</v>
      </c>
      <c r="AL293">
        <v>2551</v>
      </c>
      <c r="AM293">
        <v>163</v>
      </c>
      <c r="AN293">
        <v>0</v>
      </c>
      <c r="AO293">
        <v>0</v>
      </c>
      <c r="AP293">
        <v>0.874</v>
      </c>
      <c r="AQ293">
        <v>0.042</v>
      </c>
      <c r="AR293">
        <v>0.016</v>
      </c>
      <c r="AS293" s="3">
        <v>46107.76846064815</v>
      </c>
    </row>
    <row r="294" ht="25.5" customHeight="1">
      <c r="A294" t="inlineStr">
        <is>
          <t>5a76e412e8ac2b2b060b9030</t>
        </is>
      </c>
      <c r="B294" s="2" t="str">
        <f>=HYPERLINK("https://www.xiaohongshu.com/user/profile/5a76e412e8ac2b2b060b9030", "https://www.xiaohongshu.com/user/profile/5a76e412e8ac2b2b060b9030")</f>
        <v>https://www.xiaohongshu.com/user/profile/5a76e412e8ac2b2b060b9030</v>
      </c>
      <c r="C294" s="2" t="str">
        <f>=HYPERLINK("https://pgy.xiaohongshu.com/solar/pre-trade/blogger-detail/5a76e412e8ac2b2b060b9030", "https://pgy.xiaohongshu.com/solar/pre-trade/blogger-detail/5a76e412e8ac2b2b060b9030")</f>
        <v>https://pgy.xiaohongshu.com/solar/pre-trade/blogger-detail/5a76e412e8ac2b2b060b9030</v>
      </c>
      <c r="D294" t="inlineStr">
        <is>
          <t>男</t>
        </is>
      </c>
      <c r="E294" t="inlineStr">
        <is>
          <t>499803400</t>
        </is>
      </c>
      <c r="F294" t="inlineStr">
        <is>
          <t>Nancyy</t>
        </is>
      </c>
      <c r="G294" t="inlineStr">
        <is>
          <t>北京</t>
        </is>
      </c>
      <c r="H294" t="inlineStr">
        <is>
          <t>学生, 留学背景</t>
        </is>
      </c>
      <c r="I294" t="inlineStr">
        <is>
          <t>教育, 生活记录</t>
        </is>
      </c>
      <c r="J294">
        <v>2896</v>
      </c>
      <c r="K294" t="inlineStr">
        <is>
          <t>0.3</t>
        </is>
      </c>
      <c r="L294">
        <v>8210</v>
      </c>
      <c r="M294">
        <v>1468</v>
      </c>
      <c r="N294">
        <v>242</v>
      </c>
      <c r="O294">
        <v>600</v>
      </c>
      <c r="P294">
        <v>0</v>
      </c>
      <c r="Q294">
        <v>0.727</v>
      </c>
      <c r="R294">
        <v>9418</v>
      </c>
      <c r="S294">
        <v>1617</v>
      </c>
      <c r="T294">
        <v>215</v>
      </c>
      <c r="U294">
        <v>0.72</v>
      </c>
      <c r="V294">
        <v>600</v>
      </c>
      <c r="W294">
        <v>0.7</v>
      </c>
      <c r="X294">
        <v>0</v>
      </c>
      <c r="Y294">
        <v>78.92</v>
      </c>
      <c r="Z294">
        <v>2.5</v>
      </c>
      <c r="AA294">
        <v>3091</v>
      </c>
      <c r="AB294">
        <v>508</v>
      </c>
      <c r="AC294">
        <v>228</v>
      </c>
      <c r="AD294">
        <v>3.47</v>
      </c>
      <c r="AE294">
        <v>1000</v>
      </c>
      <c r="AF294">
        <v>1</v>
      </c>
      <c r="AG294">
        <v>0</v>
      </c>
      <c r="AH294">
        <v>0.044</v>
      </c>
      <c r="AI294">
        <v>323.52</v>
      </c>
      <c r="AJ294">
        <v>4.13</v>
      </c>
      <c r="AK294">
        <v>12531</v>
      </c>
      <c r="AL294">
        <v>1132</v>
      </c>
      <c r="AM294">
        <v>253</v>
      </c>
      <c r="AN294">
        <v>0</v>
      </c>
      <c r="AO294">
        <v>0</v>
      </c>
      <c r="AP294">
        <v>0.856</v>
      </c>
      <c r="AQ294">
        <v>0.098</v>
      </c>
      <c r="AR294">
        <v>0.074</v>
      </c>
      <c r="AS294" s="3">
        <v>46107.76846064815</v>
      </c>
    </row>
    <row r="295" ht="25.5" customHeight="1">
      <c r="A295" t="inlineStr">
        <is>
          <t>62d19302000000000e00dab4</t>
        </is>
      </c>
      <c r="B295" s="2" t="str">
        <f>=HYPERLINK("https://www.xiaohongshu.com/user/profile/62d19302000000000e00dab4", "https://www.xiaohongshu.com/user/profile/62d19302000000000e00dab4")</f>
        <v>https://www.xiaohongshu.com/user/profile/62d19302000000000e00dab4</v>
      </c>
      <c r="C295" s="2" t="str">
        <f>=HYPERLINK("https://pgy.xiaohongshu.com/solar/pre-trade/blogger-detail/62d19302000000000e00dab4", "https://pgy.xiaohongshu.com/solar/pre-trade/blogger-detail/62d19302000000000e00dab4")</f>
        <v>https://pgy.xiaohongshu.com/solar/pre-trade/blogger-detail/62d19302000000000e00dab4</v>
      </c>
      <c r="D295" t="inlineStr">
        <is>
          <t>女</t>
        </is>
      </c>
      <c r="E295" t="inlineStr">
        <is>
          <t>3893920851</t>
        </is>
      </c>
      <c r="F295" t="inlineStr">
        <is>
          <t>玩具卡52122</t>
        </is>
      </c>
      <c r="G295" t="inlineStr">
        <is>
          <t>江苏 淮安 淮阴区</t>
        </is>
      </c>
      <c r="H295" t="inlineStr">
        <is>
          <t>考公过来人, 学生</t>
        </is>
      </c>
      <c r="I295" t="inlineStr">
        <is>
          <t>职场, 教育</t>
        </is>
      </c>
      <c r="J295">
        <v>8411</v>
      </c>
      <c r="K295" t="inlineStr">
        <is>
          <t>0.8</t>
        </is>
      </c>
      <c r="L295">
        <v>49659</v>
      </c>
      <c r="M295">
        <v>8930</v>
      </c>
      <c r="N295">
        <v>1026</v>
      </c>
      <c r="O295">
        <v>200</v>
      </c>
      <c r="P295">
        <v>0.332999999999999</v>
      </c>
      <c r="Q295">
        <v>0.787999999999999</v>
      </c>
      <c r="R295">
        <v>28409</v>
      </c>
      <c r="S295">
        <v>6301</v>
      </c>
      <c r="T295">
        <v>399</v>
      </c>
      <c r="U295">
        <v>0.33</v>
      </c>
      <c r="V295">
        <v>200</v>
      </c>
      <c r="W295">
        <v>0.667</v>
      </c>
      <c r="X295">
        <v>0.2</v>
      </c>
      <c r="Y295">
        <v>7.14</v>
      </c>
      <c r="Z295">
        <v>0.57</v>
      </c>
      <c r="AA295">
        <v>59914</v>
      </c>
      <c r="AB295">
        <v>12153</v>
      </c>
      <c r="AC295">
        <v>1236</v>
      </c>
      <c r="AD295">
        <v>1.52</v>
      </c>
      <c r="AE295">
        <v>300</v>
      </c>
      <c r="AF295">
        <v>0.889</v>
      </c>
      <c r="AG295">
        <v>0.444</v>
      </c>
      <c r="AH295">
        <v>0.044</v>
      </c>
      <c r="AI295">
        <v>5.01</v>
      </c>
      <c r="AJ295">
        <v>0.22</v>
      </c>
      <c r="AK295">
        <v>108352</v>
      </c>
      <c r="AL295">
        <v>21137</v>
      </c>
      <c r="AM295">
        <v>143</v>
      </c>
      <c r="AN295">
        <v>0</v>
      </c>
      <c r="AO295">
        <v>0</v>
      </c>
      <c r="AP295">
        <v>0.999</v>
      </c>
      <c r="AQ295">
        <v>0.775</v>
      </c>
      <c r="AR295">
        <v>0</v>
      </c>
      <c r="AS295" s="3">
        <v>46107.76846064815</v>
      </c>
    </row>
    <row r="296" ht="25.5" customHeight="1">
      <c r="A296" t="inlineStr">
        <is>
          <t>60881e42000000000100726f</t>
        </is>
      </c>
      <c r="B296" s="2" t="str">
        <f>=HYPERLINK("https://www.xiaohongshu.com/user/profile/60881e42000000000100726f", "https://www.xiaohongshu.com/user/profile/60881e42000000000100726f")</f>
        <v>https://www.xiaohongshu.com/user/profile/60881e42000000000100726f</v>
      </c>
      <c r="C296" s="2" t="str">
        <f>=HYPERLINK("https://pgy.xiaohongshu.com/solar/pre-trade/blogger-detail/60881e42000000000100726f", "https://pgy.xiaohongshu.com/solar/pre-trade/blogger-detail/60881e42000000000100726f")</f>
        <v>https://pgy.xiaohongshu.com/solar/pre-trade/blogger-detail/60881e42000000000100726f</v>
      </c>
      <c r="D296" t="inlineStr">
        <is>
          <t>女</t>
        </is>
      </c>
      <c r="E296" t="inlineStr">
        <is>
          <t>4212997309</t>
        </is>
      </c>
      <c r="F296" t="inlineStr">
        <is>
          <t>小易动画英语</t>
        </is>
      </c>
      <c r="G296" t="inlineStr">
        <is>
          <t>浙江 台州 椒江区</t>
        </is>
      </c>
      <c r="H296"/>
      <c r="I296" t="inlineStr">
        <is>
          <t>教育</t>
        </is>
      </c>
      <c r="J296">
        <v>48290</v>
      </c>
      <c r="K296" t="inlineStr">
        <is>
          <t>4.8</t>
        </is>
      </c>
      <c r="L296">
        <v>179326</v>
      </c>
      <c r="M296">
        <v>15521</v>
      </c>
      <c r="N296">
        <v>3183</v>
      </c>
      <c r="O296">
        <v>1200</v>
      </c>
      <c r="P296">
        <v>0.5</v>
      </c>
      <c r="Q296">
        <v>0.75</v>
      </c>
      <c r="R296">
        <v>421</v>
      </c>
      <c r="S296">
        <v>57</v>
      </c>
      <c r="T296">
        <v>6</v>
      </c>
      <c r="U296">
        <v>21.35</v>
      </c>
      <c r="V296">
        <v>1200</v>
      </c>
      <c r="W296">
        <v>0</v>
      </c>
      <c r="X296">
        <v>0</v>
      </c>
      <c r="Y296">
        <v>2850.36</v>
      </c>
      <c r="Z296">
        <v>150</v>
      </c>
      <c r="AA296">
        <v>327820</v>
      </c>
      <c r="AB296">
        <v>23776</v>
      </c>
      <c r="AC296">
        <v>3854</v>
      </c>
      <c r="AD296">
        <v>1.58</v>
      </c>
      <c r="AE296">
        <v>2000</v>
      </c>
      <c r="AF296">
        <v>1</v>
      </c>
      <c r="AG296">
        <v>0.667</v>
      </c>
      <c r="AH296">
        <v>0.031</v>
      </c>
      <c r="AI296">
        <v>6.1</v>
      </c>
      <c r="AJ296">
        <v>0.35</v>
      </c>
      <c r="AK296">
        <v>0</v>
      </c>
      <c r="AL296">
        <v>0</v>
      </c>
      <c r="AM296">
        <v>0</v>
      </c>
      <c r="AN296">
        <v>0</v>
      </c>
      <c r="AO296">
        <v>0</v>
      </c>
      <c r="AP296">
        <v>1</v>
      </c>
      <c r="AQ296">
        <v>0.412</v>
      </c>
      <c r="AR296">
        <v>0</v>
      </c>
      <c r="AS296" s="3">
        <v>46107.76846064815</v>
      </c>
    </row>
    <row r="297" ht="25.5" customHeight="1">
      <c r="A297" t="inlineStr">
        <is>
          <t>5ee498470000000001007f12</t>
        </is>
      </c>
      <c r="B297" s="2" t="str">
        <f>=HYPERLINK("https://www.xiaohongshu.com/user/profile/5ee498470000000001007f12", "https://www.xiaohongshu.com/user/profile/5ee498470000000001007f12")</f>
        <v>https://www.xiaohongshu.com/user/profile/5ee498470000000001007f12</v>
      </c>
      <c r="C297" s="2" t="str">
        <f>=HYPERLINK("https://pgy.xiaohongshu.com/solar/pre-trade/blogger-detail/5ee498470000000001007f12", "https://pgy.xiaohongshu.com/solar/pre-trade/blogger-detail/5ee498470000000001007f12")</f>
        <v>https://pgy.xiaohongshu.com/solar/pre-trade/blogger-detail/5ee498470000000001007f12</v>
      </c>
      <c r="D297" t="inlineStr">
        <is>
          <t>女</t>
        </is>
      </c>
      <c r="E297" t="inlineStr">
        <is>
          <t>175751482</t>
        </is>
      </c>
      <c r="F297" t="inlineStr">
        <is>
          <t>Good Evelyn</t>
        </is>
      </c>
      <c r="G297" t="inlineStr">
        <is>
          <t>英国</t>
        </is>
      </c>
      <c r="H297" t="inlineStr">
        <is>
          <t>户外爱好者, 留学背景</t>
        </is>
      </c>
      <c r="I297" t="inlineStr">
        <is>
          <t>兴趣爱好</t>
        </is>
      </c>
      <c r="J297">
        <v>5418</v>
      </c>
      <c r="K297" t="inlineStr">
        <is>
          <t>0.5</t>
        </is>
      </c>
      <c r="L297">
        <v>6236</v>
      </c>
      <c r="M297">
        <v>654</v>
      </c>
      <c r="N297">
        <v>100</v>
      </c>
      <c r="O297">
        <v>700</v>
      </c>
      <c r="P297">
        <v>0</v>
      </c>
      <c r="Q297">
        <v>0.409</v>
      </c>
      <c r="R297">
        <v>6236</v>
      </c>
      <c r="S297">
        <v>654</v>
      </c>
      <c r="T297">
        <v>90</v>
      </c>
      <c r="U297">
        <v>1.3</v>
      </c>
      <c r="V297">
        <v>700</v>
      </c>
      <c r="W297">
        <v>0.375</v>
      </c>
      <c r="X297">
        <v>0</v>
      </c>
      <c r="Y297">
        <v>111.08</v>
      </c>
      <c r="Z297">
        <v>6.25</v>
      </c>
      <c r="AA297">
        <v>8678</v>
      </c>
      <c r="AB297">
        <v>1168</v>
      </c>
      <c r="AC297">
        <v>192</v>
      </c>
      <c r="AD297">
        <v>2.1</v>
      </c>
      <c r="AE297">
        <v>700</v>
      </c>
      <c r="AF297">
        <v>0.5</v>
      </c>
      <c r="AG297">
        <v>0</v>
      </c>
      <c r="AH297">
        <v>0.054</v>
      </c>
      <c r="AI297">
        <v>80.66</v>
      </c>
      <c r="AJ297">
        <v>3.04</v>
      </c>
      <c r="AK297">
        <v>11471</v>
      </c>
      <c r="AL297">
        <v>1142</v>
      </c>
      <c r="AM297">
        <v>229</v>
      </c>
      <c r="AN297">
        <v>0</v>
      </c>
      <c r="AO297">
        <v>0</v>
      </c>
      <c r="AP297">
        <v>0.938</v>
      </c>
      <c r="AQ297">
        <v>0.161</v>
      </c>
      <c r="AR297">
        <v>0.111999999999999</v>
      </c>
      <c r="AS297" s="3">
        <v>46107.76846064815</v>
      </c>
    </row>
    <row r="298" ht="25.5" customHeight="1">
      <c r="A298" t="inlineStr">
        <is>
          <t>6332c6dd000000002303d80b</t>
        </is>
      </c>
      <c r="B298" s="2" t="str">
        <f>=HYPERLINK("https://www.xiaohongshu.com/user/profile/6332c6dd000000002303d80b", "https://www.xiaohongshu.com/user/profile/6332c6dd000000002303d80b")</f>
        <v>https://www.xiaohongshu.com/user/profile/6332c6dd000000002303d80b</v>
      </c>
      <c r="C298" s="2" t="str">
        <f>=HYPERLINK("https://pgy.xiaohongshu.com/solar/pre-trade/blogger-detail/6332c6dd000000002303d80b", "https://pgy.xiaohongshu.com/solar/pre-trade/blogger-detail/6332c6dd000000002303d80b")</f>
        <v>https://pgy.xiaohongshu.com/solar/pre-trade/blogger-detail/6332c6dd000000002303d80b</v>
      </c>
      <c r="D298" t="inlineStr">
        <is>
          <t>女</t>
        </is>
      </c>
      <c r="E298" t="inlineStr">
        <is>
          <t>jennie07173</t>
        </is>
      </c>
      <c r="F298" t="inlineStr">
        <is>
          <t>三春早纪</t>
        </is>
      </c>
      <c r="G298" t="inlineStr">
        <is>
          <t>上海</t>
        </is>
      </c>
      <c r="H298" t="inlineStr">
        <is>
          <t>留学背景, 学生</t>
        </is>
      </c>
      <c r="I298" t="inlineStr">
        <is>
          <t>教育</t>
        </is>
      </c>
      <c r="J298">
        <v>94969</v>
      </c>
      <c r="K298" t="inlineStr">
        <is>
          <t>9.5</t>
        </is>
      </c>
      <c r="L298">
        <v>139506</v>
      </c>
      <c r="M298">
        <v>32794</v>
      </c>
      <c r="N298">
        <v>6008</v>
      </c>
      <c r="O298">
        <v>5000</v>
      </c>
      <c r="P298">
        <v>1</v>
      </c>
      <c r="Q298">
        <v>1</v>
      </c>
      <c r="R298">
        <v>0</v>
      </c>
      <c r="S298">
        <v>0</v>
      </c>
      <c r="T298">
        <v>0</v>
      </c>
      <c r="U298">
        <v>0</v>
      </c>
      <c r="V298">
        <v>4000</v>
      </c>
      <c r="W298">
        <v>0</v>
      </c>
      <c r="X298">
        <v>0</v>
      </c>
      <c r="Y298">
        <v>0</v>
      </c>
      <c r="Z298">
        <v>0</v>
      </c>
      <c r="AA298">
        <v>139506</v>
      </c>
      <c r="AB298">
        <v>32794</v>
      </c>
      <c r="AC298">
        <v>5188</v>
      </c>
      <c r="AD298">
        <v>1.7</v>
      </c>
      <c r="AE298">
        <v>5000</v>
      </c>
      <c r="AF298">
        <v>1</v>
      </c>
      <c r="AG298">
        <v>1</v>
      </c>
      <c r="AH298">
        <v>0.212</v>
      </c>
      <c r="AI298">
        <v>52.31</v>
      </c>
      <c r="AJ298">
        <v>1.25</v>
      </c>
      <c r="AK298">
        <v>10086</v>
      </c>
      <c r="AL298">
        <v>2530</v>
      </c>
      <c r="AM298">
        <v>485</v>
      </c>
      <c r="AN298">
        <v>0</v>
      </c>
      <c r="AO298">
        <v>0</v>
      </c>
      <c r="AP298">
        <v>0.790999999999999</v>
      </c>
      <c r="AQ298">
        <v>0.079</v>
      </c>
      <c r="AR298">
        <v>0.026</v>
      </c>
      <c r="AS298" s="3">
        <v>46107.76846064815</v>
      </c>
    </row>
    <row r="299" ht="25.5" customHeight="1">
      <c r="A299" t="inlineStr">
        <is>
          <t>5ae7fe1311be1033529c8dc5</t>
        </is>
      </c>
      <c r="B299" s="2" t="str">
        <f>=HYPERLINK("https://www.xiaohongshu.com/user/profile/5ae7fe1311be1033529c8dc5", "https://www.xiaohongshu.com/user/profile/5ae7fe1311be1033529c8dc5")</f>
        <v>https://www.xiaohongshu.com/user/profile/5ae7fe1311be1033529c8dc5</v>
      </c>
      <c r="C299" s="2" t="str">
        <f>=HYPERLINK("https://pgy.xiaohongshu.com/solar/pre-trade/blogger-detail/5ae7fe1311be1033529c8dc5", "https://pgy.xiaohongshu.com/solar/pre-trade/blogger-detail/5ae7fe1311be1033529c8dc5")</f>
        <v>https://pgy.xiaohongshu.com/solar/pre-trade/blogger-detail/5ae7fe1311be1033529c8dc5</v>
      </c>
      <c r="D299" t="inlineStr">
        <is>
          <t>女</t>
        </is>
      </c>
      <c r="E299" t="inlineStr">
        <is>
          <t>275072983</t>
        </is>
      </c>
      <c r="F299" t="inlineStr">
        <is>
          <t>小翁同学好</t>
        </is>
      </c>
      <c r="G299" t="inlineStr">
        <is>
          <t>北京</t>
        </is>
      </c>
      <c r="H299"/>
      <c r="I299" t="inlineStr">
        <is>
          <t>教育</t>
        </is>
      </c>
      <c r="J299">
        <v>28318</v>
      </c>
      <c r="K299" t="inlineStr">
        <is>
          <t>2.8</t>
        </is>
      </c>
      <c r="L299">
        <v>17576</v>
      </c>
      <c r="M299">
        <v>3536</v>
      </c>
      <c r="N299">
        <v>202</v>
      </c>
      <c r="O299">
        <v>3100</v>
      </c>
      <c r="P299">
        <v>0</v>
      </c>
      <c r="Q299">
        <v>0.5</v>
      </c>
      <c r="R299">
        <v>26242</v>
      </c>
      <c r="S299">
        <v>4494</v>
      </c>
      <c r="T299">
        <v>216</v>
      </c>
      <c r="U299">
        <v>0.99</v>
      </c>
      <c r="V299">
        <v>3100</v>
      </c>
      <c r="W299">
        <v>1</v>
      </c>
      <c r="X299">
        <v>0</v>
      </c>
      <c r="Y299">
        <v>118.13</v>
      </c>
      <c r="Z299">
        <v>11.88</v>
      </c>
      <c r="AA299">
        <v>8911</v>
      </c>
      <c r="AB299">
        <v>2579</v>
      </c>
      <c r="AC299">
        <v>127</v>
      </c>
      <c r="AD299">
        <v>3.01</v>
      </c>
      <c r="AE299">
        <v>3900</v>
      </c>
      <c r="AF299">
        <v>0</v>
      </c>
      <c r="AG299">
        <v>0</v>
      </c>
      <c r="AH299">
        <v>0.055</v>
      </c>
      <c r="AI299">
        <v>437.66</v>
      </c>
      <c r="AJ299">
        <v>27.27</v>
      </c>
      <c r="AK299">
        <v>0</v>
      </c>
      <c r="AL299">
        <v>0</v>
      </c>
      <c r="AM299">
        <v>0</v>
      </c>
      <c r="AN299">
        <v>0</v>
      </c>
      <c r="AO299">
        <v>0</v>
      </c>
      <c r="AP299">
        <v>0.859</v>
      </c>
      <c r="AQ299">
        <v>0.018</v>
      </c>
      <c r="AR299">
        <v>0.006</v>
      </c>
      <c r="AS299" s="3">
        <v>46107.76846064815</v>
      </c>
    </row>
    <row r="300" ht="25.5" customHeight="1">
      <c r="A300" t="inlineStr">
        <is>
          <t>5a21234411be100852eae3dd</t>
        </is>
      </c>
      <c r="B300" s="2" t="str">
        <f>=HYPERLINK("https://www.xiaohongshu.com/user/profile/5a21234411be100852eae3dd", "https://www.xiaohongshu.com/user/profile/5a21234411be100852eae3dd")</f>
        <v>https://www.xiaohongshu.com/user/profile/5a21234411be100852eae3dd</v>
      </c>
      <c r="C300" s="2" t="str">
        <f>=HYPERLINK("https://pgy.xiaohongshu.com/solar/pre-trade/blogger-detail/5a21234411be100852eae3dd", "https://pgy.xiaohongshu.com/solar/pre-trade/blogger-detail/5a21234411be100852eae3dd")</f>
        <v>https://pgy.xiaohongshu.com/solar/pre-trade/blogger-detail/5a21234411be100852eae3dd</v>
      </c>
      <c r="D300" t="inlineStr">
        <is>
          <t>女</t>
        </is>
      </c>
      <c r="E300" t="inlineStr">
        <is>
          <t>497645498</t>
        </is>
      </c>
      <c r="F300" t="inlineStr">
        <is>
          <t>嘉嘉的科研记录本🎓</t>
        </is>
      </c>
      <c r="G300" t="inlineStr">
        <is>
          <t>湖北 武汉 洪山区</t>
        </is>
      </c>
      <c r="H300" t="inlineStr">
        <is>
          <t>留学背景, 学生</t>
        </is>
      </c>
      <c r="I300" t="inlineStr">
        <is>
          <t>教育</t>
        </is>
      </c>
      <c r="J300">
        <v>17744</v>
      </c>
      <c r="K300" t="inlineStr">
        <is>
          <t>1.8</t>
        </is>
      </c>
      <c r="L300">
        <v>8391</v>
      </c>
      <c r="M300">
        <v>1793</v>
      </c>
      <c r="N300">
        <v>308</v>
      </c>
      <c r="O300">
        <v>949</v>
      </c>
      <c r="P300">
        <v>0</v>
      </c>
      <c r="Q300">
        <v>0.5</v>
      </c>
      <c r="R300">
        <v>8391</v>
      </c>
      <c r="S300">
        <v>1793</v>
      </c>
      <c r="T300">
        <v>280</v>
      </c>
      <c r="U300">
        <v>0.5</v>
      </c>
      <c r="V300">
        <v>949</v>
      </c>
      <c r="W300">
        <v>0.5</v>
      </c>
      <c r="X300">
        <v>0</v>
      </c>
      <c r="Y300">
        <v>46.34</v>
      </c>
      <c r="Z300">
        <v>1.35</v>
      </c>
      <c r="AA300">
        <v>0</v>
      </c>
      <c r="AB300">
        <v>0</v>
      </c>
      <c r="AC300">
        <v>0</v>
      </c>
      <c r="AD300">
        <v>0</v>
      </c>
      <c r="AE300">
        <v>1600</v>
      </c>
      <c r="AF300">
        <v>0</v>
      </c>
      <c r="AG300">
        <v>0</v>
      </c>
      <c r="AH300">
        <v>0</v>
      </c>
      <c r="AI300">
        <v>0</v>
      </c>
      <c r="AJ300">
        <v>0</v>
      </c>
      <c r="AK300">
        <v>35467</v>
      </c>
      <c r="AL300">
        <v>6274</v>
      </c>
      <c r="AM300">
        <v>817</v>
      </c>
      <c r="AN300">
        <v>0</v>
      </c>
      <c r="AO300">
        <v>0</v>
      </c>
      <c r="AP300">
        <v>0.844</v>
      </c>
      <c r="AQ300">
        <v>0.04</v>
      </c>
      <c r="AR300">
        <v>0.016</v>
      </c>
      <c r="AS300" s="3">
        <v>46107.76846064815</v>
      </c>
    </row>
    <row r="301" ht="25.5" customHeight="1">
      <c r="A301" t="inlineStr">
        <is>
          <t>666d6f2f000000000d027e15</t>
        </is>
      </c>
      <c r="B301" s="2" t="str">
        <f>=HYPERLINK("https://www.xiaohongshu.com/user/profile/666d6f2f000000000d027e15", "https://www.xiaohongshu.com/user/profile/666d6f2f000000000d027e15")</f>
        <v>https://www.xiaohongshu.com/user/profile/666d6f2f000000000d027e15</v>
      </c>
      <c r="C301" s="2" t="str">
        <f>=HYPERLINK("https://pgy.xiaohongshu.com/solar/pre-trade/blogger-detail/666d6f2f000000000d027e15", "https://pgy.xiaohongshu.com/solar/pre-trade/blogger-detail/666d6f2f000000000d027e15")</f>
        <v>https://pgy.xiaohongshu.com/solar/pre-trade/blogger-detail/666d6f2f000000000d027e15</v>
      </c>
      <c r="D301" t="inlineStr">
        <is>
          <t>女</t>
        </is>
      </c>
      <c r="E301" t="inlineStr">
        <is>
          <t>26503733694</t>
        </is>
      </c>
      <c r="F301" t="inlineStr">
        <is>
          <t>洋葱学长🧐</t>
        </is>
      </c>
      <c r="G301" t="inlineStr">
        <is>
          <t>山西 晋中 榆次区</t>
        </is>
      </c>
      <c r="H301" t="inlineStr">
        <is>
          <t>学生</t>
        </is>
      </c>
      <c r="I301" t="inlineStr">
        <is>
          <t>职场, 教育</t>
        </is>
      </c>
      <c r="J301">
        <v>15349</v>
      </c>
      <c r="K301" t="inlineStr">
        <is>
          <t>1.5</t>
        </is>
      </c>
      <c r="L301">
        <v>16416</v>
      </c>
      <c r="M301">
        <v>10852</v>
      </c>
      <c r="N301">
        <v>1534</v>
      </c>
      <c r="O301">
        <v>250</v>
      </c>
      <c r="P301">
        <v>0.5</v>
      </c>
      <c r="Q301">
        <v>0.813</v>
      </c>
      <c r="R301">
        <v>0</v>
      </c>
      <c r="S301">
        <v>0</v>
      </c>
      <c r="T301">
        <v>0</v>
      </c>
      <c r="U301">
        <v>0</v>
      </c>
      <c r="V301">
        <v>250</v>
      </c>
      <c r="W301">
        <v>0</v>
      </c>
      <c r="X301">
        <v>0</v>
      </c>
      <c r="Y301">
        <v>0</v>
      </c>
      <c r="Z301">
        <v>0</v>
      </c>
      <c r="AA301">
        <v>16416</v>
      </c>
      <c r="AB301">
        <v>10852</v>
      </c>
      <c r="AC301">
        <v>1462</v>
      </c>
      <c r="AD301">
        <v>1.66</v>
      </c>
      <c r="AE301">
        <v>1000</v>
      </c>
      <c r="AF301">
        <v>0.813</v>
      </c>
      <c r="AG301">
        <v>0.5</v>
      </c>
      <c r="AH301">
        <v>0.152</v>
      </c>
      <c r="AI301">
        <v>76.21</v>
      </c>
      <c r="AJ301">
        <v>1.44</v>
      </c>
      <c r="AK301">
        <v>10176</v>
      </c>
      <c r="AL301">
        <v>2587</v>
      </c>
      <c r="AM301">
        <v>76</v>
      </c>
      <c r="AN301">
        <v>0</v>
      </c>
      <c r="AO301">
        <v>0</v>
      </c>
      <c r="AP301">
        <v>0.973</v>
      </c>
      <c r="AQ301">
        <v>0.563</v>
      </c>
      <c r="AR301">
        <v>3.545</v>
      </c>
      <c r="AS301" s="3">
        <v>46107.76846064815</v>
      </c>
    </row>
    <row r="302" ht="25.5" customHeight="1">
      <c r="A302" t="inlineStr">
        <is>
          <t>5b61d65811be1033fcb1a6db</t>
        </is>
      </c>
      <c r="B302" s="2" t="str">
        <f>=HYPERLINK("https://www.xiaohongshu.com/user/profile/5b61d65811be1033fcb1a6db", "https://www.xiaohongshu.com/user/profile/5b61d65811be1033fcb1a6db")</f>
        <v>https://www.xiaohongshu.com/user/profile/5b61d65811be1033fcb1a6db</v>
      </c>
      <c r="C302" s="2" t="str">
        <f>=HYPERLINK("https://pgy.xiaohongshu.com/solar/pre-trade/blogger-detail/5b61d65811be1033fcb1a6db", "https://pgy.xiaohongshu.com/solar/pre-trade/blogger-detail/5b61d65811be1033fcb1a6db")</f>
        <v>https://pgy.xiaohongshu.com/solar/pre-trade/blogger-detail/5b61d65811be1033fcb1a6db</v>
      </c>
      <c r="D302" t="inlineStr">
        <is>
          <t>女</t>
        </is>
      </c>
      <c r="E302" t="inlineStr">
        <is>
          <t>806343933</t>
        </is>
      </c>
      <c r="F302" t="inlineStr">
        <is>
          <t>不当软脚虾</t>
        </is>
      </c>
      <c r="G302" t="inlineStr">
        <is>
          <t>英国</t>
        </is>
      </c>
      <c r="H302" t="inlineStr">
        <is>
          <t>学生, 留学背景</t>
        </is>
      </c>
      <c r="I302" t="inlineStr">
        <is>
          <t>教育, 运动健身</t>
        </is>
      </c>
      <c r="J302">
        <v>9719</v>
      </c>
      <c r="K302" t="inlineStr">
        <is>
          <t>1.0</t>
        </is>
      </c>
      <c r="L302">
        <v>10254</v>
      </c>
      <c r="M302">
        <v>3339</v>
      </c>
      <c r="N302">
        <v>149</v>
      </c>
      <c r="O302">
        <v>900</v>
      </c>
      <c r="P302">
        <v>0.083</v>
      </c>
      <c r="Q302">
        <v>0.5</v>
      </c>
      <c r="R302">
        <v>5553</v>
      </c>
      <c r="S302">
        <v>720</v>
      </c>
      <c r="T302">
        <v>65</v>
      </c>
      <c r="U302">
        <v>1.55</v>
      </c>
      <c r="V302">
        <v>900</v>
      </c>
      <c r="W302">
        <v>0.332999999999999</v>
      </c>
      <c r="X302">
        <v>0</v>
      </c>
      <c r="Y302">
        <v>162.07</v>
      </c>
      <c r="Z302">
        <v>12.68</v>
      </c>
      <c r="AA302">
        <v>11074</v>
      </c>
      <c r="AB302">
        <v>4037</v>
      </c>
      <c r="AC302">
        <v>160</v>
      </c>
      <c r="AD302">
        <v>1.82</v>
      </c>
      <c r="AE302">
        <v>1300</v>
      </c>
      <c r="AF302">
        <v>0.556</v>
      </c>
      <c r="AG302">
        <v>0.111</v>
      </c>
      <c r="AH302">
        <v>0.392</v>
      </c>
      <c r="AI302">
        <v>117.39</v>
      </c>
      <c r="AJ302">
        <v>6.91</v>
      </c>
      <c r="AK302">
        <v>6495</v>
      </c>
      <c r="AL302">
        <v>1112</v>
      </c>
      <c r="AM302">
        <v>88</v>
      </c>
      <c r="AN302">
        <v>0</v>
      </c>
      <c r="AO302">
        <v>0</v>
      </c>
      <c r="AP302">
        <v>0.805999999999999</v>
      </c>
      <c r="AQ302">
        <v>0.043</v>
      </c>
      <c r="AR302">
        <v>0.039</v>
      </c>
      <c r="AS302" s="3">
        <v>46107.76855324074</v>
      </c>
    </row>
    <row r="303" ht="25.5" customHeight="1">
      <c r="A303" t="inlineStr">
        <is>
          <t>60057fea0000000001007fb9</t>
        </is>
      </c>
      <c r="B303" s="2" t="str">
        <f>=HYPERLINK("https://www.xiaohongshu.com/user/profile/60057fea0000000001007fb9", "https://www.xiaohongshu.com/user/profile/60057fea0000000001007fb9")</f>
        <v>https://www.xiaohongshu.com/user/profile/60057fea0000000001007fb9</v>
      </c>
      <c r="C303" s="2" t="str">
        <f>=HYPERLINK("https://pgy.xiaohongshu.com/solar/pre-trade/blogger-detail/60057fea0000000001007fb9", "https://pgy.xiaohongshu.com/solar/pre-trade/blogger-detail/60057fea0000000001007fb9")</f>
        <v>https://pgy.xiaohongshu.com/solar/pre-trade/blogger-detail/60057fea0000000001007fb9</v>
      </c>
      <c r="D303" t="inlineStr">
        <is>
          <t>男</t>
        </is>
      </c>
      <c r="E303" t="inlineStr">
        <is>
          <t>1115134597</t>
        </is>
      </c>
      <c r="F303" t="inlineStr">
        <is>
          <t>z先生的隐居森林</t>
        </is>
      </c>
      <c r="G303" t="inlineStr">
        <is>
          <t>北京</t>
        </is>
      </c>
      <c r="H303" t="inlineStr">
        <is>
          <t>考研过来人, 学生</t>
        </is>
      </c>
      <c r="I303" t="inlineStr">
        <is>
          <t>教育</t>
        </is>
      </c>
      <c r="J303">
        <v>59582</v>
      </c>
      <c r="K303" t="inlineStr">
        <is>
          <t>6.0</t>
        </is>
      </c>
      <c r="L303">
        <v>14456</v>
      </c>
      <c r="M303">
        <v>5335</v>
      </c>
      <c r="N303">
        <v>592</v>
      </c>
      <c r="O303">
        <v>9000</v>
      </c>
      <c r="P303">
        <v>0.25</v>
      </c>
      <c r="Q303">
        <v>1</v>
      </c>
      <c r="R303">
        <v>0</v>
      </c>
      <c r="S303">
        <v>0</v>
      </c>
      <c r="T303">
        <v>0</v>
      </c>
      <c r="U303">
        <v>0</v>
      </c>
      <c r="V303">
        <v>9000</v>
      </c>
      <c r="W303">
        <v>0</v>
      </c>
      <c r="X303">
        <v>0</v>
      </c>
      <c r="Y303">
        <v>0</v>
      </c>
      <c r="Z303">
        <v>0</v>
      </c>
      <c r="AA303">
        <v>14456</v>
      </c>
      <c r="AB303">
        <v>5335</v>
      </c>
      <c r="AC303">
        <v>537</v>
      </c>
      <c r="AD303">
        <v>4.87</v>
      </c>
      <c r="AE303">
        <v>18000</v>
      </c>
      <c r="AF303">
        <v>1</v>
      </c>
      <c r="AG303">
        <v>0.25</v>
      </c>
      <c r="AH303">
        <v>0.033</v>
      </c>
      <c r="AI303">
        <v>1245.11</v>
      </c>
      <c r="AJ303">
        <v>30.41</v>
      </c>
      <c r="AK303">
        <v>0</v>
      </c>
      <c r="AL303">
        <v>0</v>
      </c>
      <c r="AM303">
        <v>0</v>
      </c>
      <c r="AN303">
        <v>0</v>
      </c>
      <c r="AO303">
        <v>0</v>
      </c>
      <c r="AP303">
        <v>0.855</v>
      </c>
      <c r="AQ303">
        <v>0.018</v>
      </c>
      <c r="AR303">
        <v>0.001</v>
      </c>
      <c r="AS303" s="3">
        <v>46107.76855324074</v>
      </c>
    </row>
    <row r="304" ht="25.5" customHeight="1">
      <c r="A304" t="inlineStr">
        <is>
          <t>688f3b75000000002802d1ad</t>
        </is>
      </c>
      <c r="B304" s="2" t="str">
        <f>=HYPERLINK("https://www.xiaohongshu.com/user/profile/688f3b75000000002802d1ad", "https://www.xiaohongshu.com/user/profile/688f3b75000000002802d1ad")</f>
        <v>https://www.xiaohongshu.com/user/profile/688f3b75000000002802d1ad</v>
      </c>
      <c r="C304" s="2" t="str">
        <f>=HYPERLINK("https://pgy.xiaohongshu.com/solar/pre-trade/blogger-detail/688f3b75000000002802d1ad", "https://pgy.xiaohongshu.com/solar/pre-trade/blogger-detail/688f3b75000000002802d1ad")</f>
        <v>https://pgy.xiaohongshu.com/solar/pre-trade/blogger-detail/688f3b75000000002802d1ad</v>
      </c>
      <c r="D304" t="inlineStr">
        <is>
          <t>女</t>
        </is>
      </c>
      <c r="E304" t="inlineStr">
        <is>
          <t>JasonZhang_0221</t>
        </is>
      </c>
      <c r="F304" t="inlineStr">
        <is>
          <t>酱香饼饼</t>
        </is>
      </c>
      <c r="G304" t="inlineStr">
        <is>
          <t>福建 漳州 芗城区</t>
        </is>
      </c>
      <c r="H304"/>
      <c r="I304" t="inlineStr">
        <is>
          <t>教育</t>
        </is>
      </c>
      <c r="J304">
        <v>2294</v>
      </c>
      <c r="K304" t="inlineStr">
        <is>
          <t>0.2</t>
        </is>
      </c>
      <c r="L304">
        <v>2247</v>
      </c>
      <c r="M304">
        <v>1160</v>
      </c>
      <c r="N304">
        <v>130</v>
      </c>
      <c r="O304">
        <v>600</v>
      </c>
      <c r="P304">
        <v>0</v>
      </c>
      <c r="Q304">
        <v>0.273</v>
      </c>
      <c r="R304">
        <v>652</v>
      </c>
      <c r="S304">
        <v>61</v>
      </c>
      <c r="T304">
        <v>6</v>
      </c>
      <c r="U304">
        <v>10.14</v>
      </c>
      <c r="V304">
        <v>600</v>
      </c>
      <c r="W304">
        <v>0</v>
      </c>
      <c r="X304">
        <v>0</v>
      </c>
      <c r="Y304">
        <v>920.25</v>
      </c>
      <c r="Z304">
        <v>100</v>
      </c>
      <c r="AA304">
        <v>2360</v>
      </c>
      <c r="AB304">
        <v>1208</v>
      </c>
      <c r="AC304">
        <v>129</v>
      </c>
      <c r="AD304">
        <v>2</v>
      </c>
      <c r="AE304">
        <v>600</v>
      </c>
      <c r="AF304">
        <v>0.286</v>
      </c>
      <c r="AG304">
        <v>0</v>
      </c>
      <c r="AH304">
        <v>0.011</v>
      </c>
      <c r="AI304">
        <v>254.24</v>
      </c>
      <c r="AJ304">
        <v>4.29</v>
      </c>
      <c r="AK304">
        <v>0</v>
      </c>
      <c r="AL304">
        <v>0</v>
      </c>
      <c r="AM304">
        <v>0</v>
      </c>
      <c r="AN304">
        <v>0</v>
      </c>
      <c r="AO304">
        <v>0</v>
      </c>
      <c r="AP304">
        <v>0.975</v>
      </c>
      <c r="AQ304">
        <v>0.141</v>
      </c>
      <c r="AR304">
        <v>0.053</v>
      </c>
      <c r="AS304" s="3">
        <v>46107.76855324074</v>
      </c>
    </row>
    <row r="305" ht="25.5" customHeight="1">
      <c r="A305" t="inlineStr">
        <is>
          <t>6849296e000000001b022264</t>
        </is>
      </c>
      <c r="B305" s="2" t="str">
        <f>=HYPERLINK("https://www.xiaohongshu.com/user/profile/6849296e000000001b022264", "https://www.xiaohongshu.com/user/profile/6849296e000000001b022264")</f>
        <v>https://www.xiaohongshu.com/user/profile/6849296e000000001b022264</v>
      </c>
      <c r="C305" s="2" t="str">
        <f>=HYPERLINK("https://pgy.xiaohongshu.com/solar/pre-trade/blogger-detail/6849296e000000001b022264", "https://pgy.xiaohongshu.com/solar/pre-trade/blogger-detail/6849296e000000001b022264")</f>
        <v>https://pgy.xiaohongshu.com/solar/pre-trade/blogger-detail/6849296e000000001b022264</v>
      </c>
      <c r="D305" t="inlineStr">
        <is>
          <t>女</t>
        </is>
      </c>
      <c r="E305" t="inlineStr">
        <is>
          <t>49634396791</t>
        </is>
      </c>
      <c r="F305" t="inlineStr">
        <is>
          <t>梨子泡泡猫</t>
        </is>
      </c>
      <c r="G305" t="inlineStr">
        <is>
          <t>安徽 芜湖 镜湖区</t>
        </is>
      </c>
      <c r="H305" t="inlineStr">
        <is>
          <t>学生</t>
        </is>
      </c>
      <c r="I305" t="inlineStr">
        <is>
          <t>教育</t>
        </is>
      </c>
      <c r="J305">
        <v>3548</v>
      </c>
      <c r="K305" t="inlineStr">
        <is>
          <t>0.4</t>
        </is>
      </c>
      <c r="L305">
        <v>1220</v>
      </c>
      <c r="M305">
        <v>178</v>
      </c>
      <c r="N305">
        <v>122</v>
      </c>
      <c r="O305">
        <v>340</v>
      </c>
      <c r="P305">
        <v>0</v>
      </c>
      <c r="Q305">
        <v>0</v>
      </c>
      <c r="R305">
        <v>1183</v>
      </c>
      <c r="S305">
        <v>169</v>
      </c>
      <c r="T305">
        <v>110</v>
      </c>
      <c r="U305">
        <v>2.2</v>
      </c>
      <c r="V305">
        <v>340</v>
      </c>
      <c r="W305">
        <v>0</v>
      </c>
      <c r="X305">
        <v>0</v>
      </c>
      <c r="Y305">
        <v>346.06</v>
      </c>
      <c r="Z305">
        <v>3.58</v>
      </c>
      <c r="AA305">
        <v>1334</v>
      </c>
      <c r="AB305">
        <v>295</v>
      </c>
      <c r="AC305">
        <v>125</v>
      </c>
      <c r="AD305">
        <v>2.99</v>
      </c>
      <c r="AE305">
        <v>440</v>
      </c>
      <c r="AF305">
        <v>0</v>
      </c>
      <c r="AG305">
        <v>0</v>
      </c>
      <c r="AH305">
        <v>0.218999999999999</v>
      </c>
      <c r="AI305">
        <v>329.84</v>
      </c>
      <c r="AJ305">
        <v>3.49</v>
      </c>
      <c r="AK305">
        <v>2042</v>
      </c>
      <c r="AL305">
        <v>217</v>
      </c>
      <c r="AM305">
        <v>67</v>
      </c>
      <c r="AN305">
        <v>0</v>
      </c>
      <c r="AO305">
        <v>14.54</v>
      </c>
      <c r="AP305">
        <v>0.875</v>
      </c>
      <c r="AQ305">
        <v>0.05</v>
      </c>
      <c r="AR305">
        <v>0.484</v>
      </c>
      <c r="AS305" s="3">
        <v>46107.76855324074</v>
      </c>
    </row>
    <row r="306" ht="25.5" customHeight="1">
      <c r="A306" t="inlineStr">
        <is>
          <t>63710ab9000000001f01741e</t>
        </is>
      </c>
      <c r="B306" s="2" t="str">
        <f>=HYPERLINK("https://www.xiaohongshu.com/user/profile/63710ab9000000001f01741e", "https://www.xiaohongshu.com/user/profile/63710ab9000000001f01741e")</f>
        <v>https://www.xiaohongshu.com/user/profile/63710ab9000000001f01741e</v>
      </c>
      <c r="C306" s="2" t="str">
        <f>=HYPERLINK("https://pgy.xiaohongshu.com/solar/pre-trade/blogger-detail/63710ab9000000001f01741e", "https://pgy.xiaohongshu.com/solar/pre-trade/blogger-detail/63710ab9000000001f01741e")</f>
        <v>https://pgy.xiaohongshu.com/solar/pre-trade/blogger-detail/63710ab9000000001f01741e</v>
      </c>
      <c r="D306" t="inlineStr">
        <is>
          <t>女</t>
        </is>
      </c>
      <c r="E306" t="inlineStr">
        <is>
          <t>5409580226</t>
        </is>
      </c>
      <c r="F306" t="inlineStr">
        <is>
          <t>一只佳佳怪</t>
        </is>
      </c>
      <c r="G306" t="inlineStr">
        <is>
          <t>江苏 徐州 泉山区</t>
        </is>
      </c>
      <c r="H306" t="inlineStr">
        <is>
          <t>学生</t>
        </is>
      </c>
      <c r="I306" t="inlineStr">
        <is>
          <t>教育</t>
        </is>
      </c>
      <c r="J306">
        <v>19866</v>
      </c>
      <c r="K306" t="inlineStr">
        <is>
          <t>2.0</t>
        </is>
      </c>
      <c r="L306">
        <v>14367</v>
      </c>
      <c r="M306">
        <v>2129</v>
      </c>
      <c r="N306">
        <v>194</v>
      </c>
      <c r="O306">
        <v>1125</v>
      </c>
      <c r="P306">
        <v>0.05</v>
      </c>
      <c r="Q306">
        <v>0.35</v>
      </c>
      <c r="R306">
        <v>14367</v>
      </c>
      <c r="S306">
        <v>2129</v>
      </c>
      <c r="T306">
        <v>169</v>
      </c>
      <c r="U306">
        <v>0.9</v>
      </c>
      <c r="V306">
        <v>1125</v>
      </c>
      <c r="W306">
        <v>0.35</v>
      </c>
      <c r="X306">
        <v>0.05</v>
      </c>
      <c r="Y306">
        <v>75.04</v>
      </c>
      <c r="Z306">
        <v>5.8</v>
      </c>
      <c r="AA306">
        <v>0</v>
      </c>
      <c r="AB306">
        <v>0</v>
      </c>
      <c r="AC306">
        <v>0</v>
      </c>
      <c r="AD306">
        <v>0</v>
      </c>
      <c r="AE306">
        <v>2814</v>
      </c>
      <c r="AF306">
        <v>0</v>
      </c>
      <c r="AG306">
        <v>0</v>
      </c>
      <c r="AH306">
        <v>0</v>
      </c>
      <c r="AI306">
        <v>0</v>
      </c>
      <c r="AJ306">
        <v>0</v>
      </c>
      <c r="AK306">
        <v>19521</v>
      </c>
      <c r="AL306">
        <v>1622</v>
      </c>
      <c r="AM306">
        <v>393</v>
      </c>
      <c r="AN306">
        <v>0</v>
      </c>
      <c r="AO306">
        <v>0</v>
      </c>
      <c r="AP306">
        <v>0.954</v>
      </c>
      <c r="AQ306">
        <v>0.066</v>
      </c>
      <c r="AR306">
        <v>0.044</v>
      </c>
      <c r="AS306" s="3">
        <v>46107.76855324074</v>
      </c>
    </row>
    <row r="307" ht="25.5" customHeight="1">
      <c r="A307" t="inlineStr">
        <is>
          <t>5d083e6c000000001203b73b</t>
        </is>
      </c>
      <c r="B307" s="2" t="str">
        <f>=HYPERLINK("https://www.xiaohongshu.com/user/profile/5d083e6c000000001203b73b", "https://www.xiaohongshu.com/user/profile/5d083e6c000000001203b73b")</f>
        <v>https://www.xiaohongshu.com/user/profile/5d083e6c000000001203b73b</v>
      </c>
      <c r="C307" s="2" t="str">
        <f>=HYPERLINK("https://pgy.xiaohongshu.com/solar/pre-trade/blogger-detail/5d083e6c000000001203b73b", "https://pgy.xiaohongshu.com/solar/pre-trade/blogger-detail/5d083e6c000000001203b73b")</f>
        <v>https://pgy.xiaohongshu.com/solar/pre-trade/blogger-detail/5d083e6c000000001203b73b</v>
      </c>
      <c r="D307" t="inlineStr">
        <is>
          <t>女</t>
        </is>
      </c>
      <c r="E307" t="inlineStr">
        <is>
          <t>866312247</t>
        </is>
      </c>
      <c r="F307" t="inlineStr">
        <is>
          <t>心事儿（搞笑女）</t>
        </is>
      </c>
      <c r="G307" t="inlineStr">
        <is>
          <t>北京</t>
        </is>
      </c>
      <c r="H307"/>
      <c r="I307" t="inlineStr">
        <is>
          <t>教育</t>
        </is>
      </c>
      <c r="J307">
        <v>2638</v>
      </c>
      <c r="K307" t="inlineStr">
        <is>
          <t>0.3</t>
        </is>
      </c>
      <c r="L307">
        <v>2969</v>
      </c>
      <c r="M307">
        <v>2017</v>
      </c>
      <c r="N307">
        <v>130</v>
      </c>
      <c r="O307">
        <v>1500</v>
      </c>
      <c r="P307">
        <v>0.111</v>
      </c>
      <c r="Q307">
        <v>0.332999999999999</v>
      </c>
      <c r="R307">
        <v>0</v>
      </c>
      <c r="S307">
        <v>0</v>
      </c>
      <c r="T307">
        <v>0</v>
      </c>
      <c r="U307">
        <v>0</v>
      </c>
      <c r="V307">
        <v>1500</v>
      </c>
      <c r="W307">
        <v>0</v>
      </c>
      <c r="X307">
        <v>0</v>
      </c>
      <c r="Y307">
        <v>0</v>
      </c>
      <c r="Z307">
        <v>0</v>
      </c>
      <c r="AA307">
        <v>2969</v>
      </c>
      <c r="AB307">
        <v>2017</v>
      </c>
      <c r="AC307">
        <v>169</v>
      </c>
      <c r="AD307">
        <v>2.62</v>
      </c>
      <c r="AE307">
        <v>2000</v>
      </c>
      <c r="AF307">
        <v>0.332999999999999</v>
      </c>
      <c r="AG307">
        <v>0.111</v>
      </c>
      <c r="AH307">
        <v>0.107</v>
      </c>
      <c r="AI307">
        <v>699.06</v>
      </c>
      <c r="AJ307">
        <v>15.38</v>
      </c>
      <c r="AK307">
        <v>1822</v>
      </c>
      <c r="AL307">
        <v>252</v>
      </c>
      <c r="AM307">
        <v>14</v>
      </c>
      <c r="AN307">
        <v>0</v>
      </c>
      <c r="AO307">
        <v>0</v>
      </c>
      <c r="AP307">
        <v>0.953</v>
      </c>
      <c r="AQ307">
        <v>0.074</v>
      </c>
      <c r="AR307">
        <v>0.0559999999999999</v>
      </c>
      <c r="AS307" s="3">
        <v>46107.76855324074</v>
      </c>
    </row>
    <row r="308" ht="25.5" customHeight="1">
      <c r="A308" t="inlineStr">
        <is>
          <t>620921ee000000002102a7e0</t>
        </is>
      </c>
      <c r="B308" s="2" t="str">
        <f>=HYPERLINK("https://www.xiaohongshu.com/user/profile/620921ee000000002102a7e0", "https://www.xiaohongshu.com/user/profile/620921ee000000002102a7e0")</f>
        <v>https://www.xiaohongshu.com/user/profile/620921ee000000002102a7e0</v>
      </c>
      <c r="C308" s="2" t="str">
        <f>=HYPERLINK("https://pgy.xiaohongshu.com/solar/pre-trade/blogger-detail/620921ee000000002102a7e0", "https://pgy.xiaohongshu.com/solar/pre-trade/blogger-detail/620921ee000000002102a7e0")</f>
        <v>https://pgy.xiaohongshu.com/solar/pre-trade/blogger-detail/620921ee000000002102a7e0</v>
      </c>
      <c r="D308" t="inlineStr">
        <is>
          <t>女</t>
        </is>
      </c>
      <c r="E308" t="inlineStr">
        <is>
          <t>5203484941</t>
        </is>
      </c>
      <c r="F308" t="inlineStr">
        <is>
          <t>Blazinglvl</t>
        </is>
      </c>
      <c r="G308" t="inlineStr">
        <is>
          <t>浙江 宁波 余姚市</t>
        </is>
      </c>
      <c r="H308" t="inlineStr">
        <is>
          <t>考研过来人, 学生, 翻译</t>
        </is>
      </c>
      <c r="I308" t="inlineStr">
        <is>
          <t>教育</t>
        </is>
      </c>
      <c r="J308">
        <v>4344</v>
      </c>
      <c r="K308" t="inlineStr">
        <is>
          <t>0.4</t>
        </is>
      </c>
      <c r="L308">
        <v>9735</v>
      </c>
      <c r="M308">
        <v>1316</v>
      </c>
      <c r="N308">
        <v>218</v>
      </c>
      <c r="O308">
        <v>215</v>
      </c>
      <c r="P308">
        <v>0.115</v>
      </c>
      <c r="Q308">
        <v>0.5</v>
      </c>
      <c r="R308">
        <v>9735</v>
      </c>
      <c r="S308">
        <v>1316</v>
      </c>
      <c r="T308">
        <v>194</v>
      </c>
      <c r="U308">
        <v>0.48</v>
      </c>
      <c r="V308">
        <v>215</v>
      </c>
      <c r="W308">
        <v>0.5</v>
      </c>
      <c r="X308">
        <v>0.115</v>
      </c>
      <c r="Y308">
        <v>23.27</v>
      </c>
      <c r="Z308">
        <v>1.27</v>
      </c>
      <c r="AA308">
        <v>0</v>
      </c>
      <c r="AB308">
        <v>0</v>
      </c>
      <c r="AC308">
        <v>0</v>
      </c>
      <c r="AD308">
        <v>0</v>
      </c>
      <c r="AE308">
        <v>400</v>
      </c>
      <c r="AF308">
        <v>0</v>
      </c>
      <c r="AG308">
        <v>0</v>
      </c>
      <c r="AH308">
        <v>0</v>
      </c>
      <c r="AI308">
        <v>0</v>
      </c>
      <c r="AJ308">
        <v>0</v>
      </c>
      <c r="AK308">
        <v>5050</v>
      </c>
      <c r="AL308">
        <v>307</v>
      </c>
      <c r="AM308">
        <v>43</v>
      </c>
      <c r="AN308">
        <v>0</v>
      </c>
      <c r="AO308">
        <v>0</v>
      </c>
      <c r="AP308">
        <v>0.943</v>
      </c>
      <c r="AQ308">
        <v>0.288</v>
      </c>
      <c r="AR308">
        <v>0.265</v>
      </c>
      <c r="AS308" s="3">
        <v>46107.76855324074</v>
      </c>
    </row>
    <row r="309" ht="25.5" customHeight="1">
      <c r="A309" t="inlineStr">
        <is>
          <t>636c384f000000001f01553a</t>
        </is>
      </c>
      <c r="B309" s="2" t="str">
        <f>=HYPERLINK("https://www.xiaohongshu.com/user/profile/636c384f000000001f01553a", "https://www.xiaohongshu.com/user/profile/636c384f000000001f01553a")</f>
        <v>https://www.xiaohongshu.com/user/profile/636c384f000000001f01553a</v>
      </c>
      <c r="C309" s="2" t="str">
        <f>=HYPERLINK("https://pgy.xiaohongshu.com/solar/pre-trade/blogger-detail/636c384f000000001f01553a", "https://pgy.xiaohongshu.com/solar/pre-trade/blogger-detail/636c384f000000001f01553a")</f>
        <v>https://pgy.xiaohongshu.com/solar/pre-trade/blogger-detail/636c384f000000001f01553a</v>
      </c>
      <c r="D309" t="inlineStr">
        <is>
          <t>女</t>
        </is>
      </c>
      <c r="E309" t="inlineStr">
        <is>
          <t>5339335098</t>
        </is>
      </c>
      <c r="F309" t="inlineStr">
        <is>
          <t>小咸鱼的口袋</t>
        </is>
      </c>
      <c r="G309" t="inlineStr">
        <is>
          <t>福建 漳州 龙海区</t>
        </is>
      </c>
      <c r="H309"/>
      <c r="I309" t="inlineStr">
        <is>
          <t>教育</t>
        </is>
      </c>
      <c r="J309">
        <v>23482</v>
      </c>
      <c r="K309" t="inlineStr">
        <is>
          <t>2.3</t>
        </is>
      </c>
      <c r="L309">
        <v>9681</v>
      </c>
      <c r="M309">
        <v>1468</v>
      </c>
      <c r="N309">
        <v>114</v>
      </c>
      <c r="O309">
        <v>900</v>
      </c>
      <c r="P309">
        <v>0.125</v>
      </c>
      <c r="Q309">
        <v>0.5</v>
      </c>
      <c r="R309">
        <v>9681</v>
      </c>
      <c r="S309">
        <v>1468</v>
      </c>
      <c r="T309">
        <v>102</v>
      </c>
      <c r="U309">
        <v>0.83</v>
      </c>
      <c r="V309">
        <v>900</v>
      </c>
      <c r="W309">
        <v>0.5</v>
      </c>
      <c r="X309">
        <v>0.125</v>
      </c>
      <c r="Y309">
        <v>88.4</v>
      </c>
      <c r="Z309">
        <v>4.25</v>
      </c>
      <c r="AA309">
        <v>0</v>
      </c>
      <c r="AB309">
        <v>0</v>
      </c>
      <c r="AC309">
        <v>0</v>
      </c>
      <c r="AD309">
        <v>0</v>
      </c>
      <c r="AE309">
        <v>2000</v>
      </c>
      <c r="AF309">
        <v>0</v>
      </c>
      <c r="AG309">
        <v>0</v>
      </c>
      <c r="AH309">
        <v>0</v>
      </c>
      <c r="AI309">
        <v>0</v>
      </c>
      <c r="AJ309">
        <v>0</v>
      </c>
      <c r="AK309">
        <v>141412</v>
      </c>
      <c r="AL309">
        <v>40709</v>
      </c>
      <c r="AM309">
        <v>6640</v>
      </c>
      <c r="AN309">
        <v>0</v>
      </c>
      <c r="AO309">
        <v>0</v>
      </c>
      <c r="AP309">
        <v>0.774</v>
      </c>
      <c r="AQ309">
        <v>0.013</v>
      </c>
      <c r="AR309">
        <v>0</v>
      </c>
      <c r="AS309" s="3">
        <v>46107.76855324074</v>
      </c>
    </row>
    <row r="310" ht="25.5" customHeight="1">
      <c r="A310" t="inlineStr">
        <is>
          <t>6598501d0000000022015b59</t>
        </is>
      </c>
      <c r="B310" s="2" t="str">
        <f>=HYPERLINK("https://www.xiaohongshu.com/user/profile/6598501d0000000022015b59", "https://www.xiaohongshu.com/user/profile/6598501d0000000022015b59")</f>
        <v>https://www.xiaohongshu.com/user/profile/6598501d0000000022015b59</v>
      </c>
      <c r="C310" s="2" t="str">
        <f>=HYPERLINK("https://pgy.xiaohongshu.com/solar/pre-trade/blogger-detail/6598501d0000000022015b59", "https://pgy.xiaohongshu.com/solar/pre-trade/blogger-detail/6598501d0000000022015b59")</f>
        <v>https://pgy.xiaohongshu.com/solar/pre-trade/blogger-detail/6598501d0000000022015b59</v>
      </c>
      <c r="D310" t="inlineStr">
        <is>
          <t>男</t>
        </is>
      </c>
      <c r="E310" t="inlineStr">
        <is>
          <t>1946185879</t>
        </is>
      </c>
      <c r="F310" t="inlineStr">
        <is>
          <t>永毅</t>
        </is>
      </c>
      <c r="G310" t="inlineStr">
        <is>
          <t>北京</t>
        </is>
      </c>
      <c r="H310"/>
      <c r="I310" t="inlineStr">
        <is>
          <t>教育</t>
        </is>
      </c>
      <c r="J310">
        <v>41341</v>
      </c>
      <c r="K310" t="inlineStr">
        <is>
          <t>4.1</t>
        </is>
      </c>
      <c r="L310">
        <v>19918</v>
      </c>
      <c r="M310">
        <v>1957</v>
      </c>
      <c r="N310">
        <v>114</v>
      </c>
      <c r="O310">
        <v>1988</v>
      </c>
      <c r="P310">
        <v>0.071</v>
      </c>
      <c r="Q310">
        <v>0.429</v>
      </c>
      <c r="R310">
        <v>19918</v>
      </c>
      <c r="S310">
        <v>1957</v>
      </c>
      <c r="T310">
        <v>92</v>
      </c>
      <c r="U310">
        <v>1.32</v>
      </c>
      <c r="V310">
        <v>1988</v>
      </c>
      <c r="W310">
        <v>0.429</v>
      </c>
      <c r="X310">
        <v>0.071</v>
      </c>
      <c r="Y310">
        <v>111.77</v>
      </c>
      <c r="Z310">
        <v>19.88</v>
      </c>
      <c r="AA310">
        <v>0</v>
      </c>
      <c r="AB310">
        <v>0</v>
      </c>
      <c r="AC310">
        <v>0</v>
      </c>
      <c r="AD310">
        <v>0</v>
      </c>
      <c r="AE310">
        <v>3988</v>
      </c>
      <c r="AF310">
        <v>0</v>
      </c>
      <c r="AG310">
        <v>0</v>
      </c>
      <c r="AH310">
        <v>0</v>
      </c>
      <c r="AI310">
        <v>0</v>
      </c>
      <c r="AJ310">
        <v>0</v>
      </c>
      <c r="AK310">
        <v>13061</v>
      </c>
      <c r="AL310">
        <v>1531</v>
      </c>
      <c r="AM310">
        <v>72</v>
      </c>
      <c r="AN310">
        <v>0</v>
      </c>
      <c r="AO310">
        <v>0</v>
      </c>
      <c r="AP310">
        <v>0.804</v>
      </c>
      <c r="AQ310">
        <v>0.046</v>
      </c>
      <c r="AR310">
        <v>0.011</v>
      </c>
      <c r="AS310" s="3">
        <v>46107.76855324074</v>
      </c>
    </row>
    <row r="311" ht="25.5" customHeight="1">
      <c r="A311" t="inlineStr">
        <is>
          <t>61de6e85000000001000f7d6</t>
        </is>
      </c>
      <c r="B311" s="2" t="str">
        <f>=HYPERLINK("https://www.xiaohongshu.com/user/profile/61de6e85000000001000f7d6", "https://www.xiaohongshu.com/user/profile/61de6e85000000001000f7d6")</f>
        <v>https://www.xiaohongshu.com/user/profile/61de6e85000000001000f7d6</v>
      </c>
      <c r="C311" s="2" t="str">
        <f>=HYPERLINK("https://pgy.xiaohongshu.com/solar/pre-trade/blogger-detail/61de6e85000000001000f7d6", "https://pgy.xiaohongshu.com/solar/pre-trade/blogger-detail/61de6e85000000001000f7d6")</f>
        <v>https://pgy.xiaohongshu.com/solar/pre-trade/blogger-detail/61de6e85000000001000f7d6</v>
      </c>
      <c r="D311" t="inlineStr">
        <is>
          <t>女</t>
        </is>
      </c>
      <c r="E311" t="inlineStr">
        <is>
          <t>1606412544</t>
        </is>
      </c>
      <c r="F311" t="inlineStr">
        <is>
          <t>麻瓜的读研日记</t>
        </is>
      </c>
      <c r="G311" t="inlineStr">
        <is>
          <t>安徽 合肥 蜀山区</t>
        </is>
      </c>
      <c r="H311" t="inlineStr">
        <is>
          <t>考研过来人, 学生</t>
        </is>
      </c>
      <c r="I311" t="inlineStr">
        <is>
          <t>教育</t>
        </is>
      </c>
      <c r="J311">
        <v>10642</v>
      </c>
      <c r="K311" t="inlineStr">
        <is>
          <t>1.1</t>
        </is>
      </c>
      <c r="L311">
        <v>3270</v>
      </c>
      <c r="M311">
        <v>669</v>
      </c>
      <c r="N311">
        <v>283</v>
      </c>
      <c r="O311">
        <v>1000</v>
      </c>
      <c r="P311">
        <v>0</v>
      </c>
      <c r="Q311">
        <v>0.8</v>
      </c>
      <c r="R311">
        <v>915</v>
      </c>
      <c r="S311">
        <v>114</v>
      </c>
      <c r="T311">
        <v>43</v>
      </c>
      <c r="U311">
        <v>9.07</v>
      </c>
      <c r="V311">
        <v>1000</v>
      </c>
      <c r="W311">
        <v>0</v>
      </c>
      <c r="X311">
        <v>0</v>
      </c>
      <c r="Y311">
        <v>1092.9</v>
      </c>
      <c r="Z311">
        <v>22.22</v>
      </c>
      <c r="AA311">
        <v>3456</v>
      </c>
      <c r="AB311">
        <v>792</v>
      </c>
      <c r="AC311">
        <v>292</v>
      </c>
      <c r="AD311">
        <v>4.66</v>
      </c>
      <c r="AE311">
        <v>2500</v>
      </c>
      <c r="AF311">
        <v>0.889</v>
      </c>
      <c r="AG311">
        <v>0</v>
      </c>
      <c r="AH311">
        <v>0.064</v>
      </c>
      <c r="AI311">
        <v>302.66</v>
      </c>
      <c r="AJ311">
        <v>8.47</v>
      </c>
      <c r="AK311">
        <v>10914</v>
      </c>
      <c r="AL311">
        <v>989</v>
      </c>
      <c r="AM311">
        <v>299</v>
      </c>
      <c r="AN311">
        <v>0</v>
      </c>
      <c r="AO311">
        <v>56.1</v>
      </c>
      <c r="AP311">
        <v>0.904</v>
      </c>
      <c r="AQ311">
        <v>0.0139999999999999</v>
      </c>
      <c r="AR311">
        <v>-0.006</v>
      </c>
      <c r="AS311" s="3">
        <v>46107.76855324074</v>
      </c>
    </row>
    <row r="312" ht="25.5" customHeight="1">
      <c r="A312" t="inlineStr">
        <is>
          <t>62a1041f0000000021021da3</t>
        </is>
      </c>
      <c r="B312" s="2" t="str">
        <f>=HYPERLINK("https://www.xiaohongshu.com/user/profile/62a1041f0000000021021da3", "https://www.xiaohongshu.com/user/profile/62a1041f0000000021021da3")</f>
        <v>https://www.xiaohongshu.com/user/profile/62a1041f0000000021021da3</v>
      </c>
      <c r="C312" s="2" t="str">
        <f>=HYPERLINK("https://pgy.xiaohongshu.com/solar/pre-trade/blogger-detail/62a1041f0000000021021da3", "https://pgy.xiaohongshu.com/solar/pre-trade/blogger-detail/62a1041f0000000021021da3")</f>
        <v>https://pgy.xiaohongshu.com/solar/pre-trade/blogger-detail/62a1041f0000000021021da3</v>
      </c>
      <c r="D312" t="inlineStr">
        <is>
          <t>女</t>
        </is>
      </c>
      <c r="E312" t="inlineStr">
        <is>
          <t>1549553921</t>
        </is>
      </c>
      <c r="F312" t="inlineStr">
        <is>
          <t>双双爱学习</t>
        </is>
      </c>
      <c r="G312" t="inlineStr">
        <is>
          <t>黑龙江 牡丹江 爱民区</t>
        </is>
      </c>
      <c r="H312"/>
      <c r="I312" t="inlineStr">
        <is>
          <t>教育</t>
        </is>
      </c>
      <c r="J312">
        <v>6429</v>
      </c>
      <c r="K312" t="inlineStr">
        <is>
          <t>0.6</t>
        </is>
      </c>
      <c r="L312">
        <v>8049</v>
      </c>
      <c r="M312">
        <v>717</v>
      </c>
      <c r="N312">
        <v>211</v>
      </c>
      <c r="O312">
        <v>300</v>
      </c>
      <c r="P312">
        <v>0</v>
      </c>
      <c r="Q312">
        <v>0.5</v>
      </c>
      <c r="R312">
        <v>8049</v>
      </c>
      <c r="S312">
        <v>717</v>
      </c>
      <c r="T312">
        <v>105</v>
      </c>
      <c r="U312">
        <v>0.72</v>
      </c>
      <c r="V312">
        <v>300</v>
      </c>
      <c r="W312">
        <v>0.5</v>
      </c>
      <c r="X312">
        <v>0</v>
      </c>
      <c r="Y312">
        <v>37.27</v>
      </c>
      <c r="Z312">
        <v>1.42</v>
      </c>
      <c r="AA312">
        <v>0</v>
      </c>
      <c r="AB312">
        <v>0</v>
      </c>
      <c r="AC312">
        <v>0</v>
      </c>
      <c r="AD312">
        <v>0</v>
      </c>
      <c r="AE312">
        <v>349</v>
      </c>
      <c r="AF312">
        <v>0</v>
      </c>
      <c r="AG312">
        <v>0</v>
      </c>
      <c r="AH312">
        <v>0</v>
      </c>
      <c r="AI312">
        <v>0</v>
      </c>
      <c r="AJ312">
        <v>0</v>
      </c>
      <c r="AK312">
        <v>0</v>
      </c>
      <c r="AL312">
        <v>0</v>
      </c>
      <c r="AM312">
        <v>0</v>
      </c>
      <c r="AN312">
        <v>0</v>
      </c>
      <c r="AO312">
        <v>0</v>
      </c>
      <c r="AP312">
        <v>0.962</v>
      </c>
      <c r="AQ312">
        <v>0.0279999999999999</v>
      </c>
      <c r="AR312">
        <v>0.0559999999999999</v>
      </c>
      <c r="AS312" s="3">
        <v>46107.76855324074</v>
      </c>
    </row>
    <row r="313" ht="25.5" customHeight="1">
      <c r="A313" t="inlineStr">
        <is>
          <t>64ded8f4000000000100e6d8</t>
        </is>
      </c>
      <c r="B313" s="2" t="str">
        <f>=HYPERLINK("https://www.xiaohongshu.com/user/profile/64ded8f4000000000100e6d8", "https://www.xiaohongshu.com/user/profile/64ded8f4000000000100e6d8")</f>
        <v>https://www.xiaohongshu.com/user/profile/64ded8f4000000000100e6d8</v>
      </c>
      <c r="C313" s="2" t="str">
        <f>=HYPERLINK("https://pgy.xiaohongshu.com/solar/pre-trade/blogger-detail/64ded8f4000000000100e6d8", "https://pgy.xiaohongshu.com/solar/pre-trade/blogger-detail/64ded8f4000000000100e6d8")</f>
        <v>https://pgy.xiaohongshu.com/solar/pre-trade/blogger-detail/64ded8f4000000000100e6d8</v>
      </c>
      <c r="D313" t="inlineStr">
        <is>
          <t>女</t>
        </is>
      </c>
      <c r="E313" t="inlineStr">
        <is>
          <t>xwjindodo</t>
        </is>
      </c>
      <c r="F313" t="inlineStr">
        <is>
          <t>蟹味金豆豆</t>
        </is>
      </c>
      <c r="G313" t="inlineStr">
        <is>
          <t>上海</t>
        </is>
      </c>
      <c r="H313" t="inlineStr">
        <is>
          <t>学生, 情侣</t>
        </is>
      </c>
      <c r="I313" t="inlineStr">
        <is>
          <t>职场, 情感</t>
        </is>
      </c>
      <c r="J313">
        <v>17768</v>
      </c>
      <c r="K313" t="inlineStr">
        <is>
          <t>1.8</t>
        </is>
      </c>
      <c r="L313">
        <v>11523</v>
      </c>
      <c r="M313">
        <v>3536</v>
      </c>
      <c r="N313">
        <v>162</v>
      </c>
      <c r="O313">
        <v>2200</v>
      </c>
      <c r="P313">
        <v>0</v>
      </c>
      <c r="Q313">
        <v>0.714</v>
      </c>
      <c r="R313">
        <v>0</v>
      </c>
      <c r="S313">
        <v>0</v>
      </c>
      <c r="T313">
        <v>0</v>
      </c>
      <c r="U313">
        <v>0</v>
      </c>
      <c r="V313">
        <v>2200</v>
      </c>
      <c r="W313">
        <v>0</v>
      </c>
      <c r="X313">
        <v>0</v>
      </c>
      <c r="Y313">
        <v>0</v>
      </c>
      <c r="Z313">
        <v>0</v>
      </c>
      <c r="AA313">
        <v>11523</v>
      </c>
      <c r="AB313">
        <v>3536</v>
      </c>
      <c r="AC313">
        <v>153</v>
      </c>
      <c r="AD313">
        <v>2.35</v>
      </c>
      <c r="AE313">
        <v>3000</v>
      </c>
      <c r="AF313">
        <v>0.714</v>
      </c>
      <c r="AG313">
        <v>0</v>
      </c>
      <c r="AH313">
        <v>0.192</v>
      </c>
      <c r="AI313">
        <v>260.35</v>
      </c>
      <c r="AJ313">
        <v>18.52</v>
      </c>
      <c r="AK313">
        <v>0</v>
      </c>
      <c r="AL313">
        <v>0</v>
      </c>
      <c r="AM313">
        <v>0</v>
      </c>
      <c r="AN313">
        <v>0</v>
      </c>
      <c r="AO313">
        <v>0</v>
      </c>
      <c r="AP313">
        <v>0.867</v>
      </c>
      <c r="AQ313">
        <v>0.031</v>
      </c>
      <c r="AR313">
        <v>0.005</v>
      </c>
      <c r="AS313" s="3">
        <v>46107.76855324074</v>
      </c>
    </row>
    <row r="314" ht="25.5" customHeight="1">
      <c r="A314" t="inlineStr">
        <is>
          <t>610236690000000020028d89</t>
        </is>
      </c>
      <c r="B314" s="2" t="str">
        <f>=HYPERLINK("https://www.xiaohongshu.com/user/profile/610236690000000020028d89", "https://www.xiaohongshu.com/user/profile/610236690000000020028d89")</f>
        <v>https://www.xiaohongshu.com/user/profile/610236690000000020028d89</v>
      </c>
      <c r="C314" s="2" t="str">
        <f>=HYPERLINK("https://pgy.xiaohongshu.com/solar/pre-trade/blogger-detail/610236690000000020028d89", "https://pgy.xiaohongshu.com/solar/pre-trade/blogger-detail/610236690000000020028d89")</f>
        <v>https://pgy.xiaohongshu.com/solar/pre-trade/blogger-detail/610236690000000020028d89</v>
      </c>
      <c r="D314" t="inlineStr">
        <is>
          <t>女</t>
        </is>
      </c>
      <c r="E314" t="inlineStr">
        <is>
          <t>520c1108</t>
        </is>
      </c>
      <c r="F314" t="inlineStr">
        <is>
          <t>芥末饭团ff</t>
        </is>
      </c>
      <c r="G314" t="inlineStr">
        <is>
          <t>江苏 苏州 姑苏区</t>
        </is>
      </c>
      <c r="H314" t="inlineStr">
        <is>
          <t>学生</t>
        </is>
      </c>
      <c r="I314" t="inlineStr">
        <is>
          <t>教育</t>
        </is>
      </c>
      <c r="J314">
        <v>11703</v>
      </c>
      <c r="K314" t="inlineStr">
        <is>
          <t>1.2</t>
        </is>
      </c>
      <c r="L314">
        <v>12925</v>
      </c>
      <c r="M314">
        <v>2670</v>
      </c>
      <c r="N314">
        <v>437</v>
      </c>
      <c r="O314">
        <v>1000</v>
      </c>
      <c r="P314">
        <v>0</v>
      </c>
      <c r="Q314">
        <v>0.6</v>
      </c>
      <c r="R314">
        <v>13945</v>
      </c>
      <c r="S314">
        <v>2716</v>
      </c>
      <c r="T314">
        <v>443</v>
      </c>
      <c r="U314">
        <v>0.66</v>
      </c>
      <c r="V314">
        <v>1000</v>
      </c>
      <c r="W314">
        <v>0.667</v>
      </c>
      <c r="X314">
        <v>0</v>
      </c>
      <c r="Y314">
        <v>76.54</v>
      </c>
      <c r="Z314">
        <v>2.29</v>
      </c>
      <c r="AA314">
        <v>9195</v>
      </c>
      <c r="AB314">
        <v>2387</v>
      </c>
      <c r="AC314">
        <v>138</v>
      </c>
      <c r="AD314">
        <v>2.17</v>
      </c>
      <c r="AE314">
        <v>1600</v>
      </c>
      <c r="AF314">
        <v>0</v>
      </c>
      <c r="AG314">
        <v>0</v>
      </c>
      <c r="AH314">
        <v>0.045</v>
      </c>
      <c r="AI314">
        <v>174.01</v>
      </c>
      <c r="AJ314">
        <v>10.74</v>
      </c>
      <c r="AK314">
        <v>25530</v>
      </c>
      <c r="AL314">
        <v>2816</v>
      </c>
      <c r="AM314">
        <v>157</v>
      </c>
      <c r="AN314">
        <v>0</v>
      </c>
      <c r="AO314">
        <v>0</v>
      </c>
      <c r="AP314">
        <v>0.667</v>
      </c>
      <c r="AQ314">
        <v>0.023</v>
      </c>
      <c r="AR314">
        <v>0.008</v>
      </c>
      <c r="AS314" s="3">
        <v>46107.76855324074</v>
      </c>
    </row>
    <row r="315" ht="25.5" customHeight="1">
      <c r="A315" t="inlineStr">
        <is>
          <t>62a995f1000000001b000bb3</t>
        </is>
      </c>
      <c r="B315" s="2" t="str">
        <f>=HYPERLINK("https://www.xiaohongshu.com/user/profile/62a995f1000000001b000bb3", "https://www.xiaohongshu.com/user/profile/62a995f1000000001b000bb3")</f>
        <v>https://www.xiaohongshu.com/user/profile/62a995f1000000001b000bb3</v>
      </c>
      <c r="C315" s="2" t="str">
        <f>=HYPERLINK("https://pgy.xiaohongshu.com/solar/pre-trade/blogger-detail/62a995f1000000001b000bb3", "https://pgy.xiaohongshu.com/solar/pre-trade/blogger-detail/62a995f1000000001b000bb3")</f>
        <v>https://pgy.xiaohongshu.com/solar/pre-trade/blogger-detail/62a995f1000000001b000bb3</v>
      </c>
      <c r="D315" t="inlineStr">
        <is>
          <t>女</t>
        </is>
      </c>
      <c r="E315" t="inlineStr">
        <is>
          <t>1569120692</t>
        </is>
      </c>
      <c r="F315" t="inlineStr">
        <is>
          <t>手语星球的闪电超人</t>
        </is>
      </c>
      <c r="G315" t="inlineStr">
        <is>
          <t>广东 广州 越秀区</t>
        </is>
      </c>
      <c r="H315" t="inlineStr">
        <is>
          <t>学生</t>
        </is>
      </c>
      <c r="I315" t="inlineStr">
        <is>
          <t>教育</t>
        </is>
      </c>
      <c r="J315">
        <v>221154</v>
      </c>
      <c r="K315" t="inlineStr">
        <is>
          <t>22.1</t>
        </is>
      </c>
      <c r="L315">
        <v>203415</v>
      </c>
      <c r="M315">
        <v>90164</v>
      </c>
      <c r="N315">
        <v>8719</v>
      </c>
      <c r="O315">
        <v>6666</v>
      </c>
      <c r="P315">
        <v>0.75</v>
      </c>
      <c r="Q315">
        <v>1</v>
      </c>
      <c r="R315">
        <v>107969</v>
      </c>
      <c r="S315">
        <v>4159</v>
      </c>
      <c r="T315">
        <v>288</v>
      </c>
      <c r="U315">
        <v>1.9</v>
      </c>
      <c r="V315">
        <v>6666</v>
      </c>
      <c r="W315">
        <v>1</v>
      </c>
      <c r="X315">
        <v>0</v>
      </c>
      <c r="Y315">
        <v>61.74</v>
      </c>
      <c r="Z315">
        <v>21.96</v>
      </c>
      <c r="AA315">
        <v>320274</v>
      </c>
      <c r="AB315">
        <v>112070</v>
      </c>
      <c r="AC315">
        <v>11073</v>
      </c>
      <c r="AD315">
        <v>1.61</v>
      </c>
      <c r="AE315">
        <v>12666</v>
      </c>
      <c r="AF315">
        <v>1</v>
      </c>
      <c r="AG315">
        <v>1</v>
      </c>
      <c r="AH315">
        <v>0.05</v>
      </c>
      <c r="AI315">
        <v>39.55</v>
      </c>
      <c r="AJ315">
        <v>0.94</v>
      </c>
      <c r="AK315">
        <v>0</v>
      </c>
      <c r="AL315">
        <v>0</v>
      </c>
      <c r="AM315">
        <v>0</v>
      </c>
      <c r="AN315">
        <v>0</v>
      </c>
      <c r="AO315">
        <v>0</v>
      </c>
      <c r="AP315">
        <v>0.962</v>
      </c>
      <c r="AQ315">
        <v>0.196</v>
      </c>
      <c r="AR315">
        <v>0.233</v>
      </c>
      <c r="AS315" s="3">
        <v>46107.76855324074</v>
      </c>
    </row>
    <row r="316" ht="25.5" customHeight="1">
      <c r="A316" t="inlineStr">
        <is>
          <t>5f23f8aa000000000100359c</t>
        </is>
      </c>
      <c r="B316" s="2" t="str">
        <f>=HYPERLINK("https://www.xiaohongshu.com/user/profile/5f23f8aa000000000100359c", "https://www.xiaohongshu.com/user/profile/5f23f8aa000000000100359c")</f>
        <v>https://www.xiaohongshu.com/user/profile/5f23f8aa000000000100359c</v>
      </c>
      <c r="C316" s="2" t="str">
        <f>=HYPERLINK("https://pgy.xiaohongshu.com/solar/pre-trade/blogger-detail/5f23f8aa000000000100359c", "https://pgy.xiaohongshu.com/solar/pre-trade/blogger-detail/5f23f8aa000000000100359c")</f>
        <v>https://pgy.xiaohongshu.com/solar/pre-trade/blogger-detail/5f23f8aa000000000100359c</v>
      </c>
      <c r="D316" t="inlineStr">
        <is>
          <t>女</t>
        </is>
      </c>
      <c r="E316" t="inlineStr">
        <is>
          <t>328007628</t>
        </is>
      </c>
      <c r="F316" t="inlineStr">
        <is>
          <t>鸡蛋蘸酱油</t>
        </is>
      </c>
      <c r="G316" t="inlineStr">
        <is>
          <t>广东 深圳 龙岗区</t>
        </is>
      </c>
      <c r="H316"/>
      <c r="I316" t="inlineStr">
        <is>
          <t>教育</t>
        </is>
      </c>
      <c r="J316">
        <v>59061</v>
      </c>
      <c r="K316" t="inlineStr">
        <is>
          <t>5.9</t>
        </is>
      </c>
      <c r="L316">
        <v>43355</v>
      </c>
      <c r="M316">
        <v>9633</v>
      </c>
      <c r="N316">
        <v>1170</v>
      </c>
      <c r="O316">
        <v>1860</v>
      </c>
      <c r="P316">
        <v>0.308</v>
      </c>
      <c r="Q316">
        <v>1</v>
      </c>
      <c r="R316">
        <v>43355</v>
      </c>
      <c r="S316">
        <v>9633</v>
      </c>
      <c r="T316">
        <v>892</v>
      </c>
      <c r="U316">
        <v>0.49</v>
      </c>
      <c r="V316">
        <v>1860</v>
      </c>
      <c r="W316">
        <v>1</v>
      </c>
      <c r="X316">
        <v>0.308</v>
      </c>
      <c r="Y316">
        <v>41.78</v>
      </c>
      <c r="Z316">
        <v>1.73</v>
      </c>
      <c r="AA316">
        <v>0</v>
      </c>
      <c r="AB316">
        <v>0</v>
      </c>
      <c r="AC316">
        <v>0</v>
      </c>
      <c r="AD316">
        <v>0</v>
      </c>
      <c r="AE316">
        <v>8803</v>
      </c>
      <c r="AF316">
        <v>0</v>
      </c>
      <c r="AG316">
        <v>0</v>
      </c>
      <c r="AH316">
        <v>0</v>
      </c>
      <c r="AI316">
        <v>0</v>
      </c>
      <c r="AJ316">
        <v>0</v>
      </c>
      <c r="AK316">
        <v>166141</v>
      </c>
      <c r="AL316">
        <v>24796</v>
      </c>
      <c r="AM316">
        <v>887</v>
      </c>
      <c r="AN316">
        <v>0</v>
      </c>
      <c r="AO316">
        <v>0</v>
      </c>
      <c r="AP316">
        <v>0.883</v>
      </c>
      <c r="AQ316">
        <v>0.104</v>
      </c>
      <c r="AR316">
        <v>0.005</v>
      </c>
      <c r="AS316" s="3">
        <v>46107.76855324074</v>
      </c>
    </row>
    <row r="317" ht="25.5" customHeight="1">
      <c r="A317" t="inlineStr">
        <is>
          <t>61765701000000000201dca1</t>
        </is>
      </c>
      <c r="B317" s="2" t="str">
        <f>=HYPERLINK("https://www.xiaohongshu.com/user/profile/61765701000000000201dca1", "https://www.xiaohongshu.com/user/profile/61765701000000000201dca1")</f>
        <v>https://www.xiaohongshu.com/user/profile/61765701000000000201dca1</v>
      </c>
      <c r="C317" s="2" t="str">
        <f>=HYPERLINK("https://pgy.xiaohongshu.com/solar/pre-trade/blogger-detail/61765701000000000201dca1", "https://pgy.xiaohongshu.com/solar/pre-trade/blogger-detail/61765701000000000201dca1")</f>
        <v>https://pgy.xiaohongshu.com/solar/pre-trade/blogger-detail/61765701000000000201dca1</v>
      </c>
      <c r="D317" t="inlineStr">
        <is>
          <t>男</t>
        </is>
      </c>
      <c r="E317" t="inlineStr">
        <is>
          <t>A13349119771</t>
        </is>
      </c>
      <c r="F317" t="inlineStr">
        <is>
          <t>六六吃个啥</t>
        </is>
      </c>
      <c r="G317" t="inlineStr">
        <is>
          <t>四川 成都 武侯区</t>
        </is>
      </c>
      <c r="H317" t="inlineStr">
        <is>
          <t>考研过来人, 户外爱好者, 学生</t>
        </is>
      </c>
      <c r="I317" t="inlineStr">
        <is>
          <t>教育</t>
        </is>
      </c>
      <c r="J317">
        <v>6322</v>
      </c>
      <c r="K317" t="inlineStr">
        <is>
          <t>0.6</t>
        </is>
      </c>
      <c r="L317">
        <v>17692</v>
      </c>
      <c r="M317">
        <v>3897</v>
      </c>
      <c r="N317">
        <v>182</v>
      </c>
      <c r="O317">
        <v>300</v>
      </c>
      <c r="P317">
        <v>0.067</v>
      </c>
      <c r="Q317">
        <v>0.4</v>
      </c>
      <c r="R317">
        <v>17692</v>
      </c>
      <c r="S317">
        <v>3897</v>
      </c>
      <c r="T317">
        <v>150</v>
      </c>
      <c r="U317">
        <v>0.38</v>
      </c>
      <c r="V317">
        <v>300</v>
      </c>
      <c r="W317">
        <v>0.4</v>
      </c>
      <c r="X317">
        <v>0.067</v>
      </c>
      <c r="Y317">
        <v>17.16</v>
      </c>
      <c r="Z317">
        <v>1.68</v>
      </c>
      <c r="AA317">
        <v>0</v>
      </c>
      <c r="AB317">
        <v>0</v>
      </c>
      <c r="AC317">
        <v>0</v>
      </c>
      <c r="AD317">
        <v>0</v>
      </c>
      <c r="AE317">
        <v>300</v>
      </c>
      <c r="AF317">
        <v>0</v>
      </c>
      <c r="AG317">
        <v>0</v>
      </c>
      <c r="AH317">
        <v>0</v>
      </c>
      <c r="AI317">
        <v>0</v>
      </c>
      <c r="AJ317">
        <v>0</v>
      </c>
      <c r="AK317">
        <v>10361</v>
      </c>
      <c r="AL317">
        <v>647</v>
      </c>
      <c r="AM317">
        <v>41</v>
      </c>
      <c r="AN317">
        <v>40</v>
      </c>
      <c r="AO317">
        <v>7.7</v>
      </c>
      <c r="AP317">
        <v>0.961</v>
      </c>
      <c r="AQ317">
        <v>0.264</v>
      </c>
      <c r="AR317">
        <v>0.283</v>
      </c>
      <c r="AS317" s="3">
        <v>46107.76855324074</v>
      </c>
    </row>
    <row r="318" ht="25.5" customHeight="1">
      <c r="A318" t="inlineStr">
        <is>
          <t>59a22abc50c4b440dcedd878</t>
        </is>
      </c>
      <c r="B318" s="2" t="str">
        <f>=HYPERLINK("https://www.xiaohongshu.com/user/profile/59a22abc50c4b440dcedd878", "https://www.xiaohongshu.com/user/profile/59a22abc50c4b440dcedd878")</f>
        <v>https://www.xiaohongshu.com/user/profile/59a22abc50c4b440dcedd878</v>
      </c>
      <c r="C318" s="2" t="str">
        <f>=HYPERLINK("https://pgy.xiaohongshu.com/solar/pre-trade/blogger-detail/59a22abc50c4b440dcedd878", "https://pgy.xiaohongshu.com/solar/pre-trade/blogger-detail/59a22abc50c4b440dcedd878")</f>
        <v>https://pgy.xiaohongshu.com/solar/pre-trade/blogger-detail/59a22abc50c4b440dcedd878</v>
      </c>
      <c r="D318" t="inlineStr">
        <is>
          <t>女</t>
        </is>
      </c>
      <c r="E318" t="inlineStr">
        <is>
          <t>Joilsuzy_Cheung</t>
        </is>
      </c>
      <c r="F318" t="inlineStr">
        <is>
          <t>酷盖拽姐</t>
        </is>
      </c>
      <c r="G318" t="inlineStr">
        <is>
          <t>美国</t>
        </is>
      </c>
      <c r="H318" t="inlineStr">
        <is>
          <t>学生, 留学背景, 海外华人, 建筑设计师</t>
        </is>
      </c>
      <c r="I318" t="inlineStr">
        <is>
          <t>教育, 家居家装</t>
        </is>
      </c>
      <c r="J318">
        <v>8926</v>
      </c>
      <c r="K318" t="inlineStr">
        <is>
          <t>0.9</t>
        </is>
      </c>
      <c r="L318">
        <v>7173</v>
      </c>
      <c r="M318">
        <v>1281</v>
      </c>
      <c r="N318">
        <v>146</v>
      </c>
      <c r="O318">
        <v>600</v>
      </c>
      <c r="P318">
        <v>0</v>
      </c>
      <c r="Q318">
        <v>0.429</v>
      </c>
      <c r="R318">
        <v>7185</v>
      </c>
      <c r="S318">
        <v>1110</v>
      </c>
      <c r="T318">
        <v>160</v>
      </c>
      <c r="U318">
        <v>0.88</v>
      </c>
      <c r="V318">
        <v>600</v>
      </c>
      <c r="W318">
        <v>0.563</v>
      </c>
      <c r="X318">
        <v>0</v>
      </c>
      <c r="Y318">
        <v>85.76</v>
      </c>
      <c r="Z318">
        <v>3.93</v>
      </c>
      <c r="AA318">
        <v>7173</v>
      </c>
      <c r="AB318">
        <v>1305</v>
      </c>
      <c r="AC318">
        <v>85</v>
      </c>
      <c r="AD318">
        <v>2.11</v>
      </c>
      <c r="AE318">
        <v>800</v>
      </c>
      <c r="AF318">
        <v>0</v>
      </c>
      <c r="AG318">
        <v>0</v>
      </c>
      <c r="AH318">
        <v>0.211</v>
      </c>
      <c r="AI318">
        <v>108.25</v>
      </c>
      <c r="AJ318">
        <v>8</v>
      </c>
      <c r="AK318">
        <v>7250</v>
      </c>
      <c r="AL318">
        <v>1050</v>
      </c>
      <c r="AM318">
        <v>86</v>
      </c>
      <c r="AN318">
        <v>0</v>
      </c>
      <c r="AO318">
        <v>0</v>
      </c>
      <c r="AP318">
        <v>0.884</v>
      </c>
      <c r="AQ318">
        <v>0.086</v>
      </c>
      <c r="AR318">
        <v>0.033</v>
      </c>
      <c r="AS318" s="3">
        <v>46107.76855324074</v>
      </c>
    </row>
    <row r="319" ht="25.5" customHeight="1">
      <c r="A319" t="inlineStr">
        <is>
          <t>5c6ac630000000001201a9b3</t>
        </is>
      </c>
      <c r="B319" s="2" t="str">
        <f>=HYPERLINK("https://www.xiaohongshu.com/user/profile/5c6ac630000000001201a9b3", "https://www.xiaohongshu.com/user/profile/5c6ac630000000001201a9b3")</f>
        <v>https://www.xiaohongshu.com/user/profile/5c6ac630000000001201a9b3</v>
      </c>
      <c r="C319" s="2" t="str">
        <f>=HYPERLINK("https://pgy.xiaohongshu.com/solar/pre-trade/blogger-detail/5c6ac630000000001201a9b3", "https://pgy.xiaohongshu.com/solar/pre-trade/blogger-detail/5c6ac630000000001201a9b3")</f>
        <v>https://pgy.xiaohongshu.com/solar/pre-trade/blogger-detail/5c6ac630000000001201a9b3</v>
      </c>
      <c r="D319" t="inlineStr">
        <is>
          <t>女</t>
        </is>
      </c>
      <c r="E319" t="inlineStr">
        <is>
          <t>689834225</t>
        </is>
      </c>
      <c r="F319" t="inlineStr">
        <is>
          <t>小佳在读研</t>
        </is>
      </c>
      <c r="G319" t="inlineStr">
        <is>
          <t>天津</t>
        </is>
      </c>
      <c r="H319" t="inlineStr">
        <is>
          <t>考研过来人, 学生</t>
        </is>
      </c>
      <c r="I319" t="inlineStr">
        <is>
          <t>教育</t>
        </is>
      </c>
      <c r="J319">
        <v>6031</v>
      </c>
      <c r="K319" t="inlineStr">
        <is>
          <t>0.6</t>
        </is>
      </c>
      <c r="L319">
        <v>2803</v>
      </c>
      <c r="M319">
        <v>605</v>
      </c>
      <c r="N319">
        <v>178</v>
      </c>
      <c r="O319">
        <v>452</v>
      </c>
      <c r="P319">
        <v>0</v>
      </c>
      <c r="Q319">
        <v>0.667</v>
      </c>
      <c r="R319">
        <v>2756</v>
      </c>
      <c r="S319">
        <v>582</v>
      </c>
      <c r="T319">
        <v>170</v>
      </c>
      <c r="U319">
        <v>0.99</v>
      </c>
      <c r="V319">
        <v>452</v>
      </c>
      <c r="W319">
        <v>0.667</v>
      </c>
      <c r="X319">
        <v>0</v>
      </c>
      <c r="Y319">
        <v>145.99</v>
      </c>
      <c r="Z319">
        <v>2.68</v>
      </c>
      <c r="AA319">
        <v>3222</v>
      </c>
      <c r="AB319">
        <v>605</v>
      </c>
      <c r="AC319">
        <v>181</v>
      </c>
      <c r="AD319">
        <v>2.72</v>
      </c>
      <c r="AE319">
        <v>835</v>
      </c>
      <c r="AF319">
        <v>0.667</v>
      </c>
      <c r="AG319">
        <v>0</v>
      </c>
      <c r="AH319">
        <v>0.111999999999999</v>
      </c>
      <c r="AI319">
        <v>282.09</v>
      </c>
      <c r="AJ319">
        <v>5.42</v>
      </c>
      <c r="AK319">
        <v>5055</v>
      </c>
      <c r="AL319">
        <v>800</v>
      </c>
      <c r="AM319">
        <v>151</v>
      </c>
      <c r="AN319">
        <v>0</v>
      </c>
      <c r="AO319">
        <v>307.02</v>
      </c>
      <c r="AP319">
        <v>0.905</v>
      </c>
      <c r="AQ319">
        <v>0.065</v>
      </c>
      <c r="AR319">
        <v>0.0289999999999999</v>
      </c>
      <c r="AS319" s="3">
        <v>46107.76855324074</v>
      </c>
    </row>
    <row r="320" ht="25.5" customHeight="1">
      <c r="A320" t="inlineStr">
        <is>
          <t>62b45bc3000000001b02a587</t>
        </is>
      </c>
      <c r="B320" s="2" t="str">
        <f>=HYPERLINK("https://www.xiaohongshu.com/user/profile/62b45bc3000000001b02a587", "https://www.xiaohongshu.com/user/profile/62b45bc3000000001b02a587")</f>
        <v>https://www.xiaohongshu.com/user/profile/62b45bc3000000001b02a587</v>
      </c>
      <c r="C320" s="2" t="str">
        <f>=HYPERLINK("https://pgy.xiaohongshu.com/solar/pre-trade/blogger-detail/62b45bc3000000001b02a587", "https://pgy.xiaohongshu.com/solar/pre-trade/blogger-detail/62b45bc3000000001b02a587")</f>
        <v>https://pgy.xiaohongshu.com/solar/pre-trade/blogger-detail/62b45bc3000000001b02a587</v>
      </c>
      <c r="D320" t="inlineStr">
        <is>
          <t>女</t>
        </is>
      </c>
      <c r="E320" t="inlineStr">
        <is>
          <t>5672754816</t>
        </is>
      </c>
      <c r="F320" t="inlineStr">
        <is>
          <t>熙熙要努力</t>
        </is>
      </c>
      <c r="G320" t="inlineStr">
        <is>
          <t>内蒙古 呼和浩特 玉泉区</t>
        </is>
      </c>
      <c r="H320" t="inlineStr">
        <is>
          <t>学生</t>
        </is>
      </c>
      <c r="I320" t="inlineStr">
        <is>
          <t>生活记录</t>
        </is>
      </c>
      <c r="J320">
        <v>4897</v>
      </c>
      <c r="K320" t="inlineStr">
        <is>
          <t>0.5</t>
        </is>
      </c>
      <c r="L320">
        <v>2371</v>
      </c>
      <c r="M320">
        <v>980</v>
      </c>
      <c r="N320">
        <v>126</v>
      </c>
      <c r="O320">
        <v>500</v>
      </c>
      <c r="P320">
        <v>0</v>
      </c>
      <c r="Q320">
        <v>0.5</v>
      </c>
      <c r="R320">
        <v>0</v>
      </c>
      <c r="S320">
        <v>0</v>
      </c>
      <c r="T320">
        <v>0</v>
      </c>
      <c r="U320">
        <v>0</v>
      </c>
      <c r="V320">
        <v>500</v>
      </c>
      <c r="W320">
        <v>0</v>
      </c>
      <c r="X320">
        <v>0</v>
      </c>
      <c r="Y320">
        <v>0</v>
      </c>
      <c r="Z320">
        <v>0</v>
      </c>
      <c r="AA320">
        <v>2371</v>
      </c>
      <c r="AB320">
        <v>980</v>
      </c>
      <c r="AC320">
        <v>121</v>
      </c>
      <c r="AD320">
        <v>2.21</v>
      </c>
      <c r="AE320">
        <v>700</v>
      </c>
      <c r="AF320">
        <v>0.5</v>
      </c>
      <c r="AG320">
        <v>0</v>
      </c>
      <c r="AH320">
        <v>0.304</v>
      </c>
      <c r="AI320">
        <v>295.23</v>
      </c>
      <c r="AJ320">
        <v>5.53</v>
      </c>
      <c r="AK320">
        <v>0</v>
      </c>
      <c r="AL320">
        <v>0</v>
      </c>
      <c r="AM320">
        <v>0</v>
      </c>
      <c r="AN320">
        <v>0</v>
      </c>
      <c r="AO320">
        <v>0</v>
      </c>
      <c r="AP320">
        <v>0.677</v>
      </c>
      <c r="AQ320">
        <v>0.012</v>
      </c>
      <c r="AR320">
        <v>-0.00699999999999999</v>
      </c>
      <c r="AS320" s="3">
        <v>46107.76855324074</v>
      </c>
    </row>
    <row r="321" ht="25.5" customHeight="1">
      <c r="A321" t="inlineStr">
        <is>
          <t>633cdc4a000000001901caa7</t>
        </is>
      </c>
      <c r="B321" s="2" t="str">
        <f>=HYPERLINK("https://www.xiaohongshu.com/user/profile/633cdc4a000000001901caa7", "https://www.xiaohongshu.com/user/profile/633cdc4a000000001901caa7")</f>
        <v>https://www.xiaohongshu.com/user/profile/633cdc4a000000001901caa7</v>
      </c>
      <c r="C321" s="2" t="str">
        <f>=HYPERLINK("https://pgy.xiaohongshu.com/solar/pre-trade/blogger-detail/633cdc4a000000001901caa7", "https://pgy.xiaohongshu.com/solar/pre-trade/blogger-detail/633cdc4a000000001901caa7")</f>
        <v>https://pgy.xiaohongshu.com/solar/pre-trade/blogger-detail/633cdc4a000000001901caa7</v>
      </c>
      <c r="D321" t="inlineStr">
        <is>
          <t>女</t>
        </is>
      </c>
      <c r="E321" t="inlineStr">
        <is>
          <t>3833998509</t>
        </is>
      </c>
      <c r="F321" t="inlineStr">
        <is>
          <t>刘大雷子（考研ing~）</t>
        </is>
      </c>
      <c r="G321" t="inlineStr">
        <is>
          <t>陕西 西安 雁塔区</t>
        </is>
      </c>
      <c r="H321" t="inlineStr">
        <is>
          <t>学生</t>
        </is>
      </c>
      <c r="I321" t="inlineStr">
        <is>
          <t>教育, 生活记录</t>
        </is>
      </c>
      <c r="J321">
        <v>10821</v>
      </c>
      <c r="K321" t="inlineStr">
        <is>
          <t>1.1</t>
        </is>
      </c>
      <c r="L321">
        <v>67454</v>
      </c>
      <c r="M321">
        <v>7987</v>
      </c>
      <c r="N321">
        <v>862</v>
      </c>
      <c r="O321">
        <v>699</v>
      </c>
      <c r="P321">
        <v>0</v>
      </c>
      <c r="Q321">
        <v>1</v>
      </c>
      <c r="R321">
        <v>0</v>
      </c>
      <c r="S321">
        <v>0</v>
      </c>
      <c r="T321">
        <v>0</v>
      </c>
      <c r="U321">
        <v>0</v>
      </c>
      <c r="V321">
        <v>699</v>
      </c>
      <c r="W321">
        <v>0</v>
      </c>
      <c r="X321">
        <v>0</v>
      </c>
      <c r="Y321">
        <v>0</v>
      </c>
      <c r="Z321">
        <v>0</v>
      </c>
      <c r="AA321">
        <v>67454</v>
      </c>
      <c r="AB321">
        <v>7987</v>
      </c>
      <c r="AC321">
        <v>711</v>
      </c>
      <c r="AD321">
        <v>1.7</v>
      </c>
      <c r="AE321">
        <v>1618</v>
      </c>
      <c r="AF321">
        <v>1</v>
      </c>
      <c r="AG321">
        <v>0</v>
      </c>
      <c r="AH321">
        <v>0.05</v>
      </c>
      <c r="AI321">
        <v>23.99</v>
      </c>
      <c r="AJ321">
        <v>1.88</v>
      </c>
      <c r="AK321">
        <v>0</v>
      </c>
      <c r="AL321">
        <v>0</v>
      </c>
      <c r="AM321">
        <v>0</v>
      </c>
      <c r="AN321">
        <v>0</v>
      </c>
      <c r="AO321">
        <v>0</v>
      </c>
      <c r="AP321">
        <v>0.777</v>
      </c>
      <c r="AQ321">
        <v>0.035</v>
      </c>
      <c r="AR321">
        <v>0.052</v>
      </c>
      <c r="AS321" s="3">
        <v>46107.76855324074</v>
      </c>
    </row>
    <row r="322" ht="25.5" customHeight="1">
      <c r="A322" t="inlineStr">
        <is>
          <t>60e41611000000000101c78c</t>
        </is>
      </c>
      <c r="B322" s="2" t="str">
        <f>=HYPERLINK("https://www.xiaohongshu.com/user/profile/60e41611000000000101c78c", "https://www.xiaohongshu.com/user/profile/60e41611000000000101c78c")</f>
        <v>https://www.xiaohongshu.com/user/profile/60e41611000000000101c78c</v>
      </c>
      <c r="C322" s="2" t="str">
        <f>=HYPERLINK("https://pgy.xiaohongshu.com/solar/pre-trade/blogger-detail/60e41611000000000101c78c", "https://pgy.xiaohongshu.com/solar/pre-trade/blogger-detail/60e41611000000000101c78c")</f>
        <v>https://pgy.xiaohongshu.com/solar/pre-trade/blogger-detail/60e41611000000000101c78c</v>
      </c>
      <c r="D322" t="inlineStr">
        <is>
          <t>女</t>
        </is>
      </c>
      <c r="E322" t="inlineStr">
        <is>
          <t>9544341938</t>
        </is>
      </c>
      <c r="F322" t="inlineStr">
        <is>
          <t>爱抄公式的李喵喵</t>
        </is>
      </c>
      <c r="G322" t="inlineStr">
        <is>
          <t>江苏 南京 浦口区</t>
        </is>
      </c>
      <c r="H322"/>
      <c r="I322" t="inlineStr">
        <is>
          <t>教育</t>
        </is>
      </c>
      <c r="J322">
        <v>12102</v>
      </c>
      <c r="K322" t="inlineStr">
        <is>
          <t>1.2</t>
        </is>
      </c>
      <c r="L322">
        <v>10735</v>
      </c>
      <c r="M322">
        <v>2040</v>
      </c>
      <c r="N322">
        <v>1034</v>
      </c>
      <c r="O322">
        <v>718</v>
      </c>
      <c r="P322">
        <v>0.286</v>
      </c>
      <c r="Q322">
        <v>0.857</v>
      </c>
      <c r="R322">
        <v>10735</v>
      </c>
      <c r="S322">
        <v>2040</v>
      </c>
      <c r="T322">
        <v>1024</v>
      </c>
      <c r="U322">
        <v>0.65</v>
      </c>
      <c r="V322">
        <v>718</v>
      </c>
      <c r="W322">
        <v>0.857</v>
      </c>
      <c r="X322">
        <v>0.286</v>
      </c>
      <c r="Y322">
        <v>66.88</v>
      </c>
      <c r="Z322">
        <v>0.69</v>
      </c>
      <c r="AA322">
        <v>0</v>
      </c>
      <c r="AB322">
        <v>0</v>
      </c>
      <c r="AC322">
        <v>0</v>
      </c>
      <c r="AD322">
        <v>0</v>
      </c>
      <c r="AE322">
        <v>1050</v>
      </c>
      <c r="AF322">
        <v>0</v>
      </c>
      <c r="AG322">
        <v>0</v>
      </c>
      <c r="AH322">
        <v>0</v>
      </c>
      <c r="AI322">
        <v>0</v>
      </c>
      <c r="AJ322">
        <v>0</v>
      </c>
      <c r="AK322">
        <v>0</v>
      </c>
      <c r="AL322">
        <v>0</v>
      </c>
      <c r="AM322">
        <v>0</v>
      </c>
      <c r="AN322">
        <v>0</v>
      </c>
      <c r="AO322">
        <v>0</v>
      </c>
      <c r="AP322">
        <v>0.875</v>
      </c>
      <c r="AQ322">
        <v>0.038</v>
      </c>
      <c r="AR322">
        <v>0.021</v>
      </c>
      <c r="AS322" s="3">
        <v>46107.768692129626</v>
      </c>
    </row>
    <row r="323" ht="25.5" customHeight="1">
      <c r="A323" t="inlineStr">
        <is>
          <t>604b290600000000010004b1</t>
        </is>
      </c>
      <c r="B323" s="2" t="str">
        <f>=HYPERLINK("https://www.xiaohongshu.com/user/profile/604b290600000000010004b1", "https://www.xiaohongshu.com/user/profile/604b290600000000010004b1")</f>
        <v>https://www.xiaohongshu.com/user/profile/604b290600000000010004b1</v>
      </c>
      <c r="C323" s="2" t="str">
        <f>=HYPERLINK("https://pgy.xiaohongshu.com/solar/pre-trade/blogger-detail/604b290600000000010004b1", "https://pgy.xiaohongshu.com/solar/pre-trade/blogger-detail/604b290600000000010004b1")</f>
        <v>https://pgy.xiaohongshu.com/solar/pre-trade/blogger-detail/604b290600000000010004b1</v>
      </c>
      <c r="D323" t="inlineStr">
        <is>
          <t>女</t>
        </is>
      </c>
      <c r="E323" t="inlineStr">
        <is>
          <t>1149011927</t>
        </is>
      </c>
      <c r="F323" t="inlineStr">
        <is>
          <t>LEO原版英语</t>
        </is>
      </c>
      <c r="G323" t="inlineStr">
        <is>
          <t>山东 青岛 黄岛区</t>
        </is>
      </c>
      <c r="H323"/>
      <c r="I323" t="inlineStr">
        <is>
          <t>教育</t>
        </is>
      </c>
      <c r="J323">
        <v>7733</v>
      </c>
      <c r="K323" t="inlineStr">
        <is>
          <t>0.8</t>
        </is>
      </c>
      <c r="L323">
        <v>70894</v>
      </c>
      <c r="M323">
        <v>9090</v>
      </c>
      <c r="N323">
        <v>1145</v>
      </c>
      <c r="O323">
        <v>600</v>
      </c>
      <c r="P323">
        <v>0</v>
      </c>
      <c r="Q323">
        <v>1</v>
      </c>
      <c r="R323">
        <v>0</v>
      </c>
      <c r="S323">
        <v>0</v>
      </c>
      <c r="T323">
        <v>0</v>
      </c>
      <c r="U323">
        <v>0</v>
      </c>
      <c r="V323">
        <v>600</v>
      </c>
      <c r="W323">
        <v>0</v>
      </c>
      <c r="X323">
        <v>0</v>
      </c>
      <c r="Y323">
        <v>0</v>
      </c>
      <c r="Z323">
        <v>0</v>
      </c>
      <c r="AA323">
        <v>70894</v>
      </c>
      <c r="AB323">
        <v>9090</v>
      </c>
      <c r="AC323">
        <v>721</v>
      </c>
      <c r="AD323">
        <v>1.61</v>
      </c>
      <c r="AE323">
        <v>1000</v>
      </c>
      <c r="AF323">
        <v>1</v>
      </c>
      <c r="AG323">
        <v>0</v>
      </c>
      <c r="AH323">
        <v>0.019</v>
      </c>
      <c r="AI323">
        <v>14.11</v>
      </c>
      <c r="AJ323">
        <v>0.87</v>
      </c>
      <c r="AK323">
        <v>0</v>
      </c>
      <c r="AL323">
        <v>0</v>
      </c>
      <c r="AM323">
        <v>0</v>
      </c>
      <c r="AN323">
        <v>0</v>
      </c>
      <c r="AO323">
        <v>0</v>
      </c>
      <c r="AP323">
        <v>0.939</v>
      </c>
      <c r="AQ323">
        <v>0.05</v>
      </c>
      <c r="AR323">
        <v>0.124</v>
      </c>
      <c r="AS323" s="3">
        <v>46107.768692129626</v>
      </c>
    </row>
    <row r="324" ht="25.5" customHeight="1">
      <c r="A324" t="inlineStr">
        <is>
          <t>617d06750000000002019a64</t>
        </is>
      </c>
      <c r="B324" s="2" t="str">
        <f>=HYPERLINK("https://www.xiaohongshu.com/user/profile/617d06750000000002019a64", "https://www.xiaohongshu.com/user/profile/617d06750000000002019a64")</f>
        <v>https://www.xiaohongshu.com/user/profile/617d06750000000002019a64</v>
      </c>
      <c r="C324" s="2" t="str">
        <f>=HYPERLINK("https://pgy.xiaohongshu.com/solar/pre-trade/blogger-detail/617d06750000000002019a64", "https://pgy.xiaohongshu.com/solar/pre-trade/blogger-detail/617d06750000000002019a64")</f>
        <v>https://pgy.xiaohongshu.com/solar/pre-trade/blogger-detail/617d06750000000002019a64</v>
      </c>
      <c r="D324" t="inlineStr">
        <is>
          <t>男</t>
        </is>
      </c>
      <c r="E324" t="inlineStr">
        <is>
          <t>Jentleman0617</t>
        </is>
      </c>
      <c r="F324" t="inlineStr">
        <is>
          <t>WarriorJi吉子轩</t>
        </is>
      </c>
      <c r="G324" t="inlineStr">
        <is>
          <t>墨西哥</t>
        </is>
      </c>
      <c r="H324" t="inlineStr">
        <is>
          <t>数码爱好者, 户外爱好者, 留学背景, 学生, 摄影师</t>
        </is>
      </c>
      <c r="I324" t="inlineStr">
        <is>
          <t>出行旅游, 教育</t>
        </is>
      </c>
      <c r="J324">
        <v>15403</v>
      </c>
      <c r="K324" t="inlineStr">
        <is>
          <t>1.5</t>
        </is>
      </c>
      <c r="L324">
        <v>66533</v>
      </c>
      <c r="M324">
        <v>15064</v>
      </c>
      <c r="N324">
        <v>725</v>
      </c>
      <c r="O324">
        <v>3000</v>
      </c>
      <c r="P324">
        <v>0.332999999999999</v>
      </c>
      <c r="Q324">
        <v>0.667</v>
      </c>
      <c r="R324">
        <v>5535</v>
      </c>
      <c r="S324">
        <v>694</v>
      </c>
      <c r="T324">
        <v>69</v>
      </c>
      <c r="U324">
        <v>4.62</v>
      </c>
      <c r="V324">
        <v>3000</v>
      </c>
      <c r="W324">
        <v>0.332999999999999</v>
      </c>
      <c r="X324">
        <v>0</v>
      </c>
      <c r="Y324">
        <v>542.01</v>
      </c>
      <c r="Z324">
        <v>38.96</v>
      </c>
      <c r="AA324">
        <v>124479</v>
      </c>
      <c r="AB324">
        <v>89959</v>
      </c>
      <c r="AC324">
        <v>2212</v>
      </c>
      <c r="AD324">
        <v>1.56</v>
      </c>
      <c r="AE324">
        <v>5000</v>
      </c>
      <c r="AF324">
        <v>1</v>
      </c>
      <c r="AG324">
        <v>0.667</v>
      </c>
      <c r="AH324">
        <v>0.142</v>
      </c>
      <c r="AI324">
        <v>40.17</v>
      </c>
      <c r="AJ324">
        <v>1.91</v>
      </c>
      <c r="AK324">
        <v>0</v>
      </c>
      <c r="AL324">
        <v>0</v>
      </c>
      <c r="AM324">
        <v>0</v>
      </c>
      <c r="AN324">
        <v>0</v>
      </c>
      <c r="AO324">
        <v>0</v>
      </c>
      <c r="AP324">
        <v>0.89</v>
      </c>
      <c r="AQ324">
        <v>0.173</v>
      </c>
      <c r="AR324">
        <v>0.447</v>
      </c>
      <c r="AS324" s="3">
        <v>46107.768692129626</v>
      </c>
    </row>
    <row r="325" ht="25.5" customHeight="1">
      <c r="A325" t="inlineStr">
        <is>
          <t>5fb3d9a40000000001006e7e</t>
        </is>
      </c>
      <c r="B325" s="2" t="str">
        <f>=HYPERLINK("https://www.xiaohongshu.com/user/profile/5fb3d9a40000000001006e7e", "https://www.xiaohongshu.com/user/profile/5fb3d9a40000000001006e7e")</f>
        <v>https://www.xiaohongshu.com/user/profile/5fb3d9a40000000001006e7e</v>
      </c>
      <c r="C325" s="2" t="str">
        <f>=HYPERLINK("https://pgy.xiaohongshu.com/solar/pre-trade/blogger-detail/5fb3d9a40000000001006e7e", "https://pgy.xiaohongshu.com/solar/pre-trade/blogger-detail/5fb3d9a40000000001006e7e")</f>
        <v>https://pgy.xiaohongshu.com/solar/pre-trade/blogger-detail/5fb3d9a40000000001006e7e</v>
      </c>
      <c r="D325" t="inlineStr">
        <is>
          <t>男</t>
        </is>
      </c>
      <c r="E325" t="inlineStr">
        <is>
          <t>1072892827</t>
        </is>
      </c>
      <c r="F325" t="inlineStr">
        <is>
          <t>小黑学长考二级</t>
        </is>
      </c>
      <c r="G325" t="inlineStr">
        <is>
          <t>河北 保定 莲池区</t>
        </is>
      </c>
      <c r="H325" t="inlineStr">
        <is>
          <t>学生</t>
        </is>
      </c>
      <c r="I325" t="inlineStr">
        <is>
          <t>教育</t>
        </is>
      </c>
      <c r="J325">
        <v>24135</v>
      </c>
      <c r="K325" t="inlineStr">
        <is>
          <t>2.4</t>
        </is>
      </c>
      <c r="L325">
        <v>9634</v>
      </c>
      <c r="M325">
        <v>1261</v>
      </c>
      <c r="N325">
        <v>133</v>
      </c>
      <c r="O325">
        <v>268</v>
      </c>
      <c r="P325">
        <v>0.037</v>
      </c>
      <c r="Q325">
        <v>0.407</v>
      </c>
      <c r="R325">
        <v>9490</v>
      </c>
      <c r="S325">
        <v>1319</v>
      </c>
      <c r="T325">
        <v>131</v>
      </c>
      <c r="U325">
        <v>0.48</v>
      </c>
      <c r="V325">
        <v>268</v>
      </c>
      <c r="W325">
        <v>0.423</v>
      </c>
      <c r="X325">
        <v>0.038</v>
      </c>
      <c r="Y325">
        <v>27.62</v>
      </c>
      <c r="Z325">
        <v>1.77</v>
      </c>
      <c r="AA325">
        <v>10131</v>
      </c>
      <c r="AB325">
        <v>586</v>
      </c>
      <c r="AC325">
        <v>70</v>
      </c>
      <c r="AD325">
        <v>2.64</v>
      </c>
      <c r="AE325">
        <v>668</v>
      </c>
      <c r="AF325">
        <v>0</v>
      </c>
      <c r="AG325">
        <v>0</v>
      </c>
      <c r="AH325">
        <v>0.026</v>
      </c>
      <c r="AI325">
        <v>65.94</v>
      </c>
      <c r="AJ325">
        <v>9.54</v>
      </c>
      <c r="AK325">
        <v>178485</v>
      </c>
      <c r="AL325">
        <v>46434</v>
      </c>
      <c r="AM325">
        <v>3990</v>
      </c>
      <c r="AN325">
        <v>0</v>
      </c>
      <c r="AO325">
        <v>0</v>
      </c>
      <c r="AP325">
        <v>0.827</v>
      </c>
      <c r="AQ325">
        <v>0.036</v>
      </c>
      <c r="AR325">
        <v>0.04</v>
      </c>
      <c r="AS325" s="3">
        <v>46107.768692129626</v>
      </c>
    </row>
    <row r="326" ht="25.5" customHeight="1">
      <c r="A326" t="inlineStr">
        <is>
          <t>5e9cf57c0000000001003313</t>
        </is>
      </c>
      <c r="B326" s="2" t="str">
        <f>=HYPERLINK("https://www.xiaohongshu.com/user/profile/5e9cf57c0000000001003313", "https://www.xiaohongshu.com/user/profile/5e9cf57c0000000001003313")</f>
        <v>https://www.xiaohongshu.com/user/profile/5e9cf57c0000000001003313</v>
      </c>
      <c r="C326" s="2" t="str">
        <f>=HYPERLINK("https://pgy.xiaohongshu.com/solar/pre-trade/blogger-detail/5e9cf57c0000000001003313", "https://pgy.xiaohongshu.com/solar/pre-trade/blogger-detail/5e9cf57c0000000001003313")</f>
        <v>https://pgy.xiaohongshu.com/solar/pre-trade/blogger-detail/5e9cf57c0000000001003313</v>
      </c>
      <c r="D326" t="inlineStr">
        <is>
          <t>女</t>
        </is>
      </c>
      <c r="E326" t="inlineStr">
        <is>
          <t>252544191</t>
        </is>
      </c>
      <c r="F326" t="inlineStr">
        <is>
          <t>阿法爱学习</t>
        </is>
      </c>
      <c r="G326" t="inlineStr">
        <is>
          <t>河南 郑州 金水区</t>
        </is>
      </c>
      <c r="H326" t="inlineStr">
        <is>
          <t>学生</t>
        </is>
      </c>
      <c r="I326" t="inlineStr">
        <is>
          <t>教育</t>
        </is>
      </c>
      <c r="J326">
        <v>12539</v>
      </c>
      <c r="K326" t="inlineStr">
        <is>
          <t>1.3</t>
        </is>
      </c>
      <c r="L326">
        <v>9945</v>
      </c>
      <c r="M326">
        <v>1467</v>
      </c>
      <c r="N326">
        <v>140</v>
      </c>
      <c r="O326">
        <v>1200</v>
      </c>
      <c r="P326">
        <v>0.083</v>
      </c>
      <c r="Q326">
        <v>0.5</v>
      </c>
      <c r="R326">
        <v>11776</v>
      </c>
      <c r="S326">
        <v>1594</v>
      </c>
      <c r="T326">
        <v>119</v>
      </c>
      <c r="U326">
        <v>0.89</v>
      </c>
      <c r="V326">
        <v>1200</v>
      </c>
      <c r="W326">
        <v>0.5</v>
      </c>
      <c r="X326">
        <v>0.1</v>
      </c>
      <c r="Y326">
        <v>81.56</v>
      </c>
      <c r="Z326">
        <v>7.32</v>
      </c>
      <c r="AA326">
        <v>6528</v>
      </c>
      <c r="AB326">
        <v>1079</v>
      </c>
      <c r="AC326">
        <v>122</v>
      </c>
      <c r="AD326">
        <v>2.7</v>
      </c>
      <c r="AE326">
        <v>1300</v>
      </c>
      <c r="AF326">
        <v>0.5</v>
      </c>
      <c r="AG326">
        <v>0</v>
      </c>
      <c r="AH326">
        <v>0.152</v>
      </c>
      <c r="AI326">
        <v>199.13</v>
      </c>
      <c r="AJ326">
        <v>10.28</v>
      </c>
      <c r="AK326">
        <v>49330</v>
      </c>
      <c r="AL326">
        <v>4818</v>
      </c>
      <c r="AM326">
        <v>282</v>
      </c>
      <c r="AN326">
        <v>1</v>
      </c>
      <c r="AO326">
        <v>39.98</v>
      </c>
      <c r="AP326">
        <v>0.829</v>
      </c>
      <c r="AQ326">
        <v>0.051</v>
      </c>
      <c r="AR326">
        <v>0.037</v>
      </c>
      <c r="AS326" s="3">
        <v>46107.768692129626</v>
      </c>
    </row>
    <row r="327" ht="25.5" customHeight="1">
      <c r="A327" t="inlineStr">
        <is>
          <t>5c9b90b400000000110055d2</t>
        </is>
      </c>
      <c r="B327" s="2" t="str">
        <f>=HYPERLINK("https://www.xiaohongshu.com/user/profile/5c9b90b400000000110055d2", "https://www.xiaohongshu.com/user/profile/5c9b90b400000000110055d2")</f>
        <v>https://www.xiaohongshu.com/user/profile/5c9b90b400000000110055d2</v>
      </c>
      <c r="C327" s="2" t="str">
        <f>=HYPERLINK("https://pgy.xiaohongshu.com/solar/pre-trade/blogger-detail/5c9b90b400000000110055d2", "https://pgy.xiaohongshu.com/solar/pre-trade/blogger-detail/5c9b90b400000000110055d2")</f>
        <v>https://pgy.xiaohongshu.com/solar/pre-trade/blogger-detail/5c9b90b400000000110055d2</v>
      </c>
      <c r="D327" t="inlineStr">
        <is>
          <t>女</t>
        </is>
      </c>
      <c r="E327" t="inlineStr">
        <is>
          <t>handsomeLeJie</t>
        </is>
      </c>
      <c r="F327" t="inlineStr">
        <is>
          <t>乐堡</t>
        </is>
      </c>
      <c r="G327" t="inlineStr">
        <is>
          <t>韩国</t>
        </is>
      </c>
      <c r="H327" t="inlineStr">
        <is>
          <t>学生</t>
        </is>
      </c>
      <c r="I327" t="inlineStr">
        <is>
          <t>出行旅游, 生活记录</t>
        </is>
      </c>
      <c r="J327">
        <v>28999</v>
      </c>
      <c r="K327" t="inlineStr">
        <is>
          <t>2.9</t>
        </is>
      </c>
      <c r="L327">
        <v>26235</v>
      </c>
      <c r="M327">
        <v>3623</v>
      </c>
      <c r="N327">
        <v>386</v>
      </c>
      <c r="O327">
        <v>2000</v>
      </c>
      <c r="P327">
        <v>0</v>
      </c>
      <c r="Q327">
        <v>0.714</v>
      </c>
      <c r="R327">
        <v>59183</v>
      </c>
      <c r="S327">
        <v>10171</v>
      </c>
      <c r="T327">
        <v>545</v>
      </c>
      <c r="U327">
        <v>0.5</v>
      </c>
      <c r="V327">
        <v>2000</v>
      </c>
      <c r="W327">
        <v>1</v>
      </c>
      <c r="X327">
        <v>0</v>
      </c>
      <c r="Y327">
        <v>33.79</v>
      </c>
      <c r="Z327">
        <v>3.35</v>
      </c>
      <c r="AA327">
        <v>18339</v>
      </c>
      <c r="AB327">
        <v>2738</v>
      </c>
      <c r="AC327">
        <v>302</v>
      </c>
      <c r="AD327">
        <v>3.22</v>
      </c>
      <c r="AE327">
        <v>4000</v>
      </c>
      <c r="AF327">
        <v>0.667</v>
      </c>
      <c r="AG327">
        <v>0</v>
      </c>
      <c r="AH327">
        <v>0.091</v>
      </c>
      <c r="AI327">
        <v>287.73</v>
      </c>
      <c r="AJ327">
        <v>14.81</v>
      </c>
      <c r="AK327">
        <v>13902</v>
      </c>
      <c r="AL327">
        <v>2327</v>
      </c>
      <c r="AM327">
        <v>168</v>
      </c>
      <c r="AN327">
        <v>0</v>
      </c>
      <c r="AO327">
        <v>0</v>
      </c>
      <c r="AP327">
        <v>0.665</v>
      </c>
      <c r="AQ327">
        <v>0.015</v>
      </c>
      <c r="AR327">
        <v>0.004</v>
      </c>
      <c r="AS327" s="3">
        <v>46107.768692129626</v>
      </c>
    </row>
    <row r="328" ht="25.5" customHeight="1">
      <c r="A328" t="inlineStr">
        <is>
          <t>5b82db0a6b58b71a9c21854d</t>
        </is>
      </c>
      <c r="B328" s="2" t="str">
        <f>=HYPERLINK("https://www.xiaohongshu.com/user/profile/5b82db0a6b58b71a9c21854d", "https://www.xiaohongshu.com/user/profile/5b82db0a6b58b71a9c21854d")</f>
        <v>https://www.xiaohongshu.com/user/profile/5b82db0a6b58b71a9c21854d</v>
      </c>
      <c r="C328" s="2" t="str">
        <f>=HYPERLINK("https://pgy.xiaohongshu.com/solar/pre-trade/blogger-detail/5b82db0a6b58b71a9c21854d", "https://pgy.xiaohongshu.com/solar/pre-trade/blogger-detail/5b82db0a6b58b71a9c21854d")</f>
        <v>https://pgy.xiaohongshu.com/solar/pre-trade/blogger-detail/5b82db0a6b58b71a9c21854d</v>
      </c>
      <c r="D328" t="inlineStr">
        <is>
          <t>女</t>
        </is>
      </c>
      <c r="E328" t="inlineStr">
        <is>
          <t>542155778</t>
        </is>
      </c>
      <c r="F328" t="inlineStr">
        <is>
          <t>鞭炮小狗</t>
        </is>
      </c>
      <c r="G328" t="inlineStr">
        <is>
          <t>北京</t>
        </is>
      </c>
      <c r="H328" t="inlineStr">
        <is>
          <t>数码爱好者, 学生</t>
        </is>
      </c>
      <c r="I328" t="inlineStr">
        <is>
          <t>教育</t>
        </is>
      </c>
      <c r="J328">
        <v>65545</v>
      </c>
      <c r="K328" t="inlineStr">
        <is>
          <t>6.6</t>
        </is>
      </c>
      <c r="L328">
        <v>12427</v>
      </c>
      <c r="M328">
        <v>3015</v>
      </c>
      <c r="N328">
        <v>554</v>
      </c>
      <c r="O328">
        <v>7500</v>
      </c>
      <c r="P328">
        <v>0.332999999999999</v>
      </c>
      <c r="Q328">
        <v>0.778</v>
      </c>
      <c r="R328">
        <v>0</v>
      </c>
      <c r="S328">
        <v>0</v>
      </c>
      <c r="T328">
        <v>0</v>
      </c>
      <c r="U328">
        <v>0</v>
      </c>
      <c r="V328">
        <v>7500</v>
      </c>
      <c r="W328">
        <v>0</v>
      </c>
      <c r="X328">
        <v>0</v>
      </c>
      <c r="Y328">
        <v>0</v>
      </c>
      <c r="Z328">
        <v>0</v>
      </c>
      <c r="AA328">
        <v>12427</v>
      </c>
      <c r="AB328">
        <v>3015</v>
      </c>
      <c r="AC328">
        <v>551</v>
      </c>
      <c r="AD328">
        <v>4.22</v>
      </c>
      <c r="AE328">
        <v>8200</v>
      </c>
      <c r="AF328">
        <v>0.778</v>
      </c>
      <c r="AG328">
        <v>0.332999999999999</v>
      </c>
      <c r="AH328">
        <v>0.018</v>
      </c>
      <c r="AI328">
        <v>1242.05</v>
      </c>
      <c r="AJ328">
        <v>18.64</v>
      </c>
      <c r="AK328">
        <v>25416</v>
      </c>
      <c r="AL328">
        <v>2514</v>
      </c>
      <c r="AM328">
        <v>191</v>
      </c>
      <c r="AN328">
        <v>0</v>
      </c>
      <c r="AO328">
        <v>0</v>
      </c>
      <c r="AP328">
        <v>0.884</v>
      </c>
      <c r="AQ328">
        <v>0.049</v>
      </c>
      <c r="AR328">
        <v>0.0289999999999999</v>
      </c>
      <c r="AS328" s="3">
        <v>46107.768692129626</v>
      </c>
    </row>
    <row r="329" ht="25.5" customHeight="1">
      <c r="A329" t="inlineStr">
        <is>
          <t>60b654df00000000200265c5</t>
        </is>
      </c>
      <c r="B329" s="2" t="str">
        <f>=HYPERLINK("https://www.xiaohongshu.com/user/profile/60b654df00000000200265c5", "https://www.xiaohongshu.com/user/profile/60b654df00000000200265c5")</f>
        <v>https://www.xiaohongshu.com/user/profile/60b654df00000000200265c5</v>
      </c>
      <c r="C329" s="2" t="str">
        <f>=HYPERLINK("https://pgy.xiaohongshu.com/solar/pre-trade/blogger-detail/60b654df00000000200265c5", "https://pgy.xiaohongshu.com/solar/pre-trade/blogger-detail/60b654df00000000200265c5")</f>
        <v>https://pgy.xiaohongshu.com/solar/pre-trade/blogger-detail/60b654df00000000200265c5</v>
      </c>
      <c r="D329" t="inlineStr">
        <is>
          <t>女</t>
        </is>
      </c>
      <c r="E329" t="inlineStr">
        <is>
          <t>2621139326</t>
        </is>
      </c>
      <c r="F329" t="inlineStr">
        <is>
          <t>艺术跨考大晶晶</t>
        </is>
      </c>
      <c r="G329" t="inlineStr">
        <is>
          <t>北京</t>
        </is>
      </c>
      <c r="H329" t="inlineStr">
        <is>
          <t>考研过来人, 学生</t>
        </is>
      </c>
      <c r="I329" t="inlineStr">
        <is>
          <t>教育</t>
        </is>
      </c>
      <c r="J329">
        <v>27092</v>
      </c>
      <c r="K329" t="inlineStr">
        <is>
          <t>2.7</t>
        </is>
      </c>
      <c r="L329">
        <v>6137</v>
      </c>
      <c r="M329">
        <v>2236</v>
      </c>
      <c r="N329">
        <v>204</v>
      </c>
      <c r="O329">
        <v>986</v>
      </c>
      <c r="P329">
        <v>0</v>
      </c>
      <c r="Q329">
        <v>0.632</v>
      </c>
      <c r="R329">
        <v>0</v>
      </c>
      <c r="S329">
        <v>0</v>
      </c>
      <c r="T329">
        <v>0</v>
      </c>
      <c r="U329">
        <v>0</v>
      </c>
      <c r="V329">
        <v>986</v>
      </c>
      <c r="W329">
        <v>0</v>
      </c>
      <c r="X329">
        <v>0</v>
      </c>
      <c r="Y329">
        <v>0</v>
      </c>
      <c r="Z329">
        <v>0</v>
      </c>
      <c r="AA329">
        <v>6137</v>
      </c>
      <c r="AB329">
        <v>2236</v>
      </c>
      <c r="AC329">
        <v>204</v>
      </c>
      <c r="AD329">
        <v>2.89</v>
      </c>
      <c r="AE329">
        <v>2465</v>
      </c>
      <c r="AF329">
        <v>0.632</v>
      </c>
      <c r="AG329">
        <v>0</v>
      </c>
      <c r="AH329">
        <v>0.062</v>
      </c>
      <c r="AI329">
        <v>424.89</v>
      </c>
      <c r="AJ329">
        <v>12.97</v>
      </c>
      <c r="AK329">
        <v>2232</v>
      </c>
      <c r="AL329">
        <v>418</v>
      </c>
      <c r="AM329">
        <v>38</v>
      </c>
      <c r="AN329">
        <v>0</v>
      </c>
      <c r="AO329">
        <v>0</v>
      </c>
      <c r="AP329">
        <v>0.844</v>
      </c>
      <c r="AQ329">
        <v>0.0409999999999999</v>
      </c>
      <c r="AR329">
        <v>-0.003</v>
      </c>
      <c r="AS329" s="3">
        <v>46107.768692129626</v>
      </c>
    </row>
    <row r="330" ht="25.5" customHeight="1">
      <c r="A330" t="inlineStr">
        <is>
          <t>5e27a2540000000001007a98</t>
        </is>
      </c>
      <c r="B330" s="2" t="str">
        <f>=HYPERLINK("https://www.xiaohongshu.com/user/profile/5e27a2540000000001007a98", "https://www.xiaohongshu.com/user/profile/5e27a2540000000001007a98")</f>
        <v>https://www.xiaohongshu.com/user/profile/5e27a2540000000001007a98</v>
      </c>
      <c r="C330" s="2" t="str">
        <f>=HYPERLINK("https://pgy.xiaohongshu.com/solar/pre-trade/blogger-detail/5e27a2540000000001007a98", "https://pgy.xiaohongshu.com/solar/pre-trade/blogger-detail/5e27a2540000000001007a98")</f>
        <v>https://pgy.xiaohongshu.com/solar/pre-trade/blogger-detail/5e27a2540000000001007a98</v>
      </c>
      <c r="D330" t="inlineStr">
        <is>
          <t>男</t>
        </is>
      </c>
      <c r="E330" t="inlineStr">
        <is>
          <t>830152713</t>
        </is>
      </c>
      <c r="F330" t="inlineStr">
        <is>
          <t>我太想进步了～</t>
        </is>
      </c>
      <c r="G330" t="inlineStr">
        <is>
          <t>广西 南宁 青秀区</t>
        </is>
      </c>
      <c r="H330" t="inlineStr">
        <is>
          <t>考研过来人, 学生</t>
        </is>
      </c>
      <c r="I330" t="inlineStr">
        <is>
          <t>教育</t>
        </is>
      </c>
      <c r="J330">
        <v>26519</v>
      </c>
      <c r="K330" t="inlineStr">
        <is>
          <t>2.7</t>
        </is>
      </c>
      <c r="L330">
        <v>10815</v>
      </c>
      <c r="M330">
        <v>1450</v>
      </c>
      <c r="N330">
        <v>326</v>
      </c>
      <c r="O330">
        <v>1172</v>
      </c>
      <c r="P330">
        <v>0.111</v>
      </c>
      <c r="Q330">
        <v>0.667</v>
      </c>
      <c r="R330">
        <v>10815</v>
      </c>
      <c r="S330">
        <v>1450</v>
      </c>
      <c r="T330">
        <v>244</v>
      </c>
      <c r="U330">
        <v>1.11</v>
      </c>
      <c r="V330">
        <v>1172</v>
      </c>
      <c r="W330">
        <v>0.667</v>
      </c>
      <c r="X330">
        <v>0.111</v>
      </c>
      <c r="Y330">
        <v>108.37</v>
      </c>
      <c r="Z330">
        <v>3.6</v>
      </c>
      <c r="AA330">
        <v>0</v>
      </c>
      <c r="AB330">
        <v>0</v>
      </c>
      <c r="AC330">
        <v>0</v>
      </c>
      <c r="AD330">
        <v>0</v>
      </c>
      <c r="AE330">
        <v>2932</v>
      </c>
      <c r="AF330">
        <v>0</v>
      </c>
      <c r="AG330">
        <v>0</v>
      </c>
      <c r="AH330">
        <v>0</v>
      </c>
      <c r="AI330">
        <v>0</v>
      </c>
      <c r="AJ330">
        <v>0</v>
      </c>
      <c r="AK330">
        <v>0</v>
      </c>
      <c r="AL330">
        <v>0</v>
      </c>
      <c r="AM330">
        <v>0</v>
      </c>
      <c r="AN330">
        <v>0</v>
      </c>
      <c r="AO330">
        <v>0</v>
      </c>
      <c r="AP330">
        <v>0.915</v>
      </c>
      <c r="AQ330">
        <v>0.035</v>
      </c>
      <c r="AR330">
        <v>0.026</v>
      </c>
      <c r="AS330" s="3">
        <v>46107.768692129626</v>
      </c>
    </row>
    <row r="331" ht="25.5" customHeight="1">
      <c r="A331" t="inlineStr">
        <is>
          <t>6004598a00000000010005b6</t>
        </is>
      </c>
      <c r="B331" s="2" t="str">
        <f>=HYPERLINK("https://www.xiaohongshu.com/user/profile/6004598a00000000010005b6", "https://www.xiaohongshu.com/user/profile/6004598a00000000010005b6")</f>
        <v>https://www.xiaohongshu.com/user/profile/6004598a00000000010005b6</v>
      </c>
      <c r="C331" s="2" t="str">
        <f>=HYPERLINK("https://pgy.xiaohongshu.com/solar/pre-trade/blogger-detail/6004598a00000000010005b6", "https://pgy.xiaohongshu.com/solar/pre-trade/blogger-detail/6004598a00000000010005b6")</f>
        <v>https://pgy.xiaohongshu.com/solar/pre-trade/blogger-detail/6004598a00000000010005b6</v>
      </c>
      <c r="D331" t="inlineStr">
        <is>
          <t>男</t>
        </is>
      </c>
      <c r="E331" t="inlineStr">
        <is>
          <t>1115030602</t>
        </is>
      </c>
      <c r="F331" t="inlineStr">
        <is>
          <t>左木李</t>
        </is>
      </c>
      <c r="G331" t="inlineStr">
        <is>
          <t>广东 广州 天河区</t>
        </is>
      </c>
      <c r="H331" t="inlineStr">
        <is>
          <t>考研过来人, 学生</t>
        </is>
      </c>
      <c r="I331" t="inlineStr">
        <is>
          <t>教育, 健康养生</t>
        </is>
      </c>
      <c r="J331">
        <v>1354</v>
      </c>
      <c r="K331" t="inlineStr">
        <is>
          <t>0.1</t>
        </is>
      </c>
      <c r="L331">
        <v>7774</v>
      </c>
      <c r="M331">
        <v>1456</v>
      </c>
      <c r="N331">
        <v>113</v>
      </c>
      <c r="O331">
        <v>188</v>
      </c>
      <c r="P331">
        <v>0</v>
      </c>
      <c r="Q331">
        <v>0</v>
      </c>
      <c r="R331">
        <v>7619</v>
      </c>
      <c r="S331">
        <v>1486</v>
      </c>
      <c r="T331">
        <v>116</v>
      </c>
      <c r="U331">
        <v>0.42</v>
      </c>
      <c r="V331">
        <v>188</v>
      </c>
      <c r="W331">
        <v>0</v>
      </c>
      <c r="X331">
        <v>0</v>
      </c>
      <c r="Y331">
        <v>22.22</v>
      </c>
      <c r="Z331">
        <v>0.91</v>
      </c>
      <c r="AA331">
        <v>7774</v>
      </c>
      <c r="AB331">
        <v>1045</v>
      </c>
      <c r="AC331">
        <v>53</v>
      </c>
      <c r="AD331">
        <v>1.78</v>
      </c>
      <c r="AE331">
        <v>288</v>
      </c>
      <c r="AF331">
        <v>0</v>
      </c>
      <c r="AG331">
        <v>0</v>
      </c>
      <c r="AH331">
        <v>0.135</v>
      </c>
      <c r="AI331">
        <v>37.05</v>
      </c>
      <c r="AJ331">
        <v>4.24</v>
      </c>
      <c r="AK331">
        <v>30603</v>
      </c>
      <c r="AL331">
        <v>2698</v>
      </c>
      <c r="AM331">
        <v>290</v>
      </c>
      <c r="AN331">
        <v>0</v>
      </c>
      <c r="AO331">
        <v>0</v>
      </c>
      <c r="AP331">
        <v>0.88</v>
      </c>
      <c r="AQ331">
        <v>0.1</v>
      </c>
      <c r="AR331">
        <v>0.131</v>
      </c>
      <c r="AS331" s="3">
        <v>46107.768692129626</v>
      </c>
    </row>
    <row r="332" ht="25.5" customHeight="1">
      <c r="A332" t="inlineStr">
        <is>
          <t>5efdb95b000000000101c317</t>
        </is>
      </c>
      <c r="B332" s="2" t="str">
        <f>=HYPERLINK("https://www.xiaohongshu.com/user/profile/5efdb95b000000000101c317", "https://www.xiaohongshu.com/user/profile/5efdb95b000000000101c317")</f>
        <v>https://www.xiaohongshu.com/user/profile/5efdb95b000000000101c317</v>
      </c>
      <c r="C332" s="2" t="str">
        <f>=HYPERLINK("https://pgy.xiaohongshu.com/solar/pre-trade/blogger-detail/5efdb95b000000000101c317", "https://pgy.xiaohongshu.com/solar/pre-trade/blogger-detail/5efdb95b000000000101c317")</f>
        <v>https://pgy.xiaohongshu.com/solar/pre-trade/blogger-detail/5efdb95b000000000101c317</v>
      </c>
      <c r="D332" t="inlineStr">
        <is>
          <t>男</t>
        </is>
      </c>
      <c r="E332" t="inlineStr">
        <is>
          <t>qq1376135344</t>
        </is>
      </c>
      <c r="F332" t="inlineStr">
        <is>
          <t>向前用功读书</t>
        </is>
      </c>
      <c r="G332" t="inlineStr">
        <is>
          <t>北京</t>
        </is>
      </c>
      <c r="H332" t="inlineStr">
        <is>
          <t>考研过来人, 户外爱好者, 学生, 运营</t>
        </is>
      </c>
      <c r="I332" t="inlineStr">
        <is>
          <t>科技数码</t>
        </is>
      </c>
      <c r="J332">
        <v>11631</v>
      </c>
      <c r="K332" t="inlineStr">
        <is>
          <t>1.2</t>
        </is>
      </c>
      <c r="L332">
        <v>24226</v>
      </c>
      <c r="M332">
        <v>4172</v>
      </c>
      <c r="N332">
        <v>182</v>
      </c>
      <c r="O332">
        <v>1200</v>
      </c>
      <c r="P332">
        <v>0</v>
      </c>
      <c r="Q332">
        <v>0.537999999999999</v>
      </c>
      <c r="R332">
        <v>32848</v>
      </c>
      <c r="S332">
        <v>5458</v>
      </c>
      <c r="T332">
        <v>180</v>
      </c>
      <c r="U332">
        <v>0.61</v>
      </c>
      <c r="V332">
        <v>1200</v>
      </c>
      <c r="W332">
        <v>0.556</v>
      </c>
      <c r="X332">
        <v>0</v>
      </c>
      <c r="Y332">
        <v>47.79</v>
      </c>
      <c r="Z332">
        <v>6.8</v>
      </c>
      <c r="AA332">
        <v>17998</v>
      </c>
      <c r="AB332">
        <v>2809</v>
      </c>
      <c r="AC332">
        <v>252</v>
      </c>
      <c r="AD332">
        <v>2.88</v>
      </c>
      <c r="AE332">
        <v>2000</v>
      </c>
      <c r="AF332">
        <v>0.5</v>
      </c>
      <c r="AG332">
        <v>0</v>
      </c>
      <c r="AH332">
        <v>0.114</v>
      </c>
      <c r="AI332">
        <v>169.92</v>
      </c>
      <c r="AJ332">
        <v>18.35</v>
      </c>
      <c r="AK332">
        <v>17981</v>
      </c>
      <c r="AL332">
        <v>1152</v>
      </c>
      <c r="AM332">
        <v>14</v>
      </c>
      <c r="AN332">
        <v>0</v>
      </c>
      <c r="AO332">
        <v>0</v>
      </c>
      <c r="AP332">
        <v>0.802999999999999</v>
      </c>
      <c r="AQ332">
        <v>0.038</v>
      </c>
      <c r="AR332">
        <v>0.024</v>
      </c>
      <c r="AS332" s="3">
        <v>46107.768692129626</v>
      </c>
    </row>
    <row r="333" ht="25.5" customHeight="1">
      <c r="A333" t="inlineStr">
        <is>
          <t>66dc84fb000000001d02128a</t>
        </is>
      </c>
      <c r="B333" s="2" t="str">
        <f>=HYPERLINK("https://www.xiaohongshu.com/user/profile/66dc84fb000000001d02128a", "https://www.xiaohongshu.com/user/profile/66dc84fb000000001d02128a")</f>
        <v>https://www.xiaohongshu.com/user/profile/66dc84fb000000001d02128a</v>
      </c>
      <c r="C333" s="2" t="str">
        <f>=HYPERLINK("https://pgy.xiaohongshu.com/solar/pre-trade/blogger-detail/66dc84fb000000001d02128a", "https://pgy.xiaohongshu.com/solar/pre-trade/blogger-detail/66dc84fb000000001d02128a")</f>
        <v>https://pgy.xiaohongshu.com/solar/pre-trade/blogger-detail/66dc84fb000000001d02128a</v>
      </c>
      <c r="D333" t="inlineStr">
        <is>
          <t>女</t>
        </is>
      </c>
      <c r="E333" t="inlineStr">
        <is>
          <t>42957023013</t>
        </is>
      </c>
      <c r="F333" t="inlineStr">
        <is>
          <t>比格不是邪恶小比</t>
        </is>
      </c>
      <c r="G333" t="inlineStr">
        <is>
          <t>湖南 衡阳 耒阳市</t>
        </is>
      </c>
      <c r="H333"/>
      <c r="I333" t="inlineStr">
        <is>
          <t>教育</t>
        </is>
      </c>
      <c r="J333">
        <v>8314</v>
      </c>
      <c r="K333" t="inlineStr">
        <is>
          <t>0.8</t>
        </is>
      </c>
      <c r="L333">
        <v>7090</v>
      </c>
      <c r="M333">
        <v>3068</v>
      </c>
      <c r="N333">
        <v>386</v>
      </c>
      <c r="O333">
        <v>1000</v>
      </c>
      <c r="P333">
        <v>0</v>
      </c>
      <c r="Q333">
        <v>0.615</v>
      </c>
      <c r="R333">
        <v>0</v>
      </c>
      <c r="S333">
        <v>0</v>
      </c>
      <c r="T333">
        <v>0</v>
      </c>
      <c r="U333">
        <v>0</v>
      </c>
      <c r="V333">
        <v>1000</v>
      </c>
      <c r="W333">
        <v>0</v>
      </c>
      <c r="X333">
        <v>0</v>
      </c>
      <c r="Y333">
        <v>0</v>
      </c>
      <c r="Z333">
        <v>0</v>
      </c>
      <c r="AA333">
        <v>7090</v>
      </c>
      <c r="AB333">
        <v>3068</v>
      </c>
      <c r="AC333">
        <v>348</v>
      </c>
      <c r="AD333">
        <v>2.09</v>
      </c>
      <c r="AE333">
        <v>1800</v>
      </c>
      <c r="AF333">
        <v>0.615</v>
      </c>
      <c r="AG333">
        <v>0</v>
      </c>
      <c r="AH333">
        <v>0.047</v>
      </c>
      <c r="AI333">
        <v>253.88</v>
      </c>
      <c r="AJ333">
        <v>4.66</v>
      </c>
      <c r="AK333">
        <v>0</v>
      </c>
      <c r="AL333">
        <v>0</v>
      </c>
      <c r="AM333">
        <v>0</v>
      </c>
      <c r="AN333">
        <v>0</v>
      </c>
      <c r="AO333">
        <v>0</v>
      </c>
      <c r="AP333">
        <v>0.991</v>
      </c>
      <c r="AQ333">
        <v>0.149</v>
      </c>
      <c r="AR333">
        <v>0.148</v>
      </c>
      <c r="AS333" s="3">
        <v>46107.768692129626</v>
      </c>
    </row>
    <row r="334" ht="25.5" customHeight="1">
      <c r="A334" t="inlineStr">
        <is>
          <t>5ece8a4f0000000001003abc</t>
        </is>
      </c>
      <c r="B334" s="2" t="str">
        <f>=HYPERLINK("https://www.xiaohongshu.com/user/profile/5ece8a4f0000000001003abc", "https://www.xiaohongshu.com/user/profile/5ece8a4f0000000001003abc")</f>
        <v>https://www.xiaohongshu.com/user/profile/5ece8a4f0000000001003abc</v>
      </c>
      <c r="C334" s="2" t="str">
        <f>=HYPERLINK("https://pgy.xiaohongshu.com/solar/pre-trade/blogger-detail/5ece8a4f0000000001003abc", "https://pgy.xiaohongshu.com/solar/pre-trade/blogger-detail/5ece8a4f0000000001003abc")</f>
        <v>https://pgy.xiaohongshu.com/solar/pre-trade/blogger-detail/5ece8a4f0000000001003abc</v>
      </c>
      <c r="D334" t="inlineStr">
        <is>
          <t>男</t>
        </is>
      </c>
      <c r="E334" t="inlineStr">
        <is>
          <t>ghy2545</t>
        </is>
      </c>
      <c r="F334" t="inlineStr">
        <is>
          <t>伯乐不帅🔥赵玉田版</t>
        </is>
      </c>
      <c r="G334" t="inlineStr">
        <is>
          <t>山西 太原 小店区</t>
        </is>
      </c>
      <c r="H334" t="inlineStr">
        <is>
          <t>户外爱好者, 学生</t>
        </is>
      </c>
      <c r="I334" t="inlineStr">
        <is>
          <t>教育, 生活记录</t>
        </is>
      </c>
      <c r="J334">
        <v>2650</v>
      </c>
      <c r="K334" t="inlineStr">
        <is>
          <t>0.3</t>
        </is>
      </c>
      <c r="L334">
        <v>2646</v>
      </c>
      <c r="M334">
        <v>1682</v>
      </c>
      <c r="N334">
        <v>179</v>
      </c>
      <c r="O334">
        <v>200</v>
      </c>
      <c r="P334">
        <v>0.1</v>
      </c>
      <c r="Q334">
        <v>0.708</v>
      </c>
      <c r="R334">
        <v>0</v>
      </c>
      <c r="S334">
        <v>0</v>
      </c>
      <c r="T334">
        <v>0</v>
      </c>
      <c r="U334">
        <v>2.45</v>
      </c>
      <c r="V334">
        <v>200</v>
      </c>
      <c r="W334">
        <v>0</v>
      </c>
      <c r="X334">
        <v>0</v>
      </c>
      <c r="Y334">
        <v>155.34</v>
      </c>
      <c r="Z334">
        <v>33.33</v>
      </c>
      <c r="AA334">
        <v>2663</v>
      </c>
      <c r="AB334">
        <v>1684</v>
      </c>
      <c r="AC334">
        <v>166</v>
      </c>
      <c r="AD334">
        <v>1.68</v>
      </c>
      <c r="AE334">
        <v>310</v>
      </c>
      <c r="AF334">
        <v>0.708</v>
      </c>
      <c r="AG334">
        <v>0.1</v>
      </c>
      <c r="AH334">
        <v>0.479</v>
      </c>
      <c r="AI334">
        <v>117.16</v>
      </c>
      <c r="AJ334">
        <v>1.73</v>
      </c>
      <c r="AK334">
        <v>1328</v>
      </c>
      <c r="AL334">
        <v>100</v>
      </c>
      <c r="AM334">
        <v>5</v>
      </c>
      <c r="AN334">
        <v>0</v>
      </c>
      <c r="AO334">
        <v>0</v>
      </c>
      <c r="AP334">
        <v>0.929</v>
      </c>
      <c r="AQ334">
        <v>0.128</v>
      </c>
      <c r="AR334">
        <v>0.132</v>
      </c>
      <c r="AS334" s="3">
        <v>46107.768692129626</v>
      </c>
    </row>
    <row r="335" ht="25.5" customHeight="1">
      <c r="A335" t="inlineStr">
        <is>
          <t>679f3360000000000e01f145</t>
        </is>
      </c>
      <c r="B335" s="2" t="str">
        <f>=HYPERLINK("https://www.xiaohongshu.com/user/profile/679f3360000000000e01f145", "https://www.xiaohongshu.com/user/profile/679f3360000000000e01f145")</f>
        <v>https://www.xiaohongshu.com/user/profile/679f3360000000000e01f145</v>
      </c>
      <c r="C335" s="2" t="str">
        <f>=HYPERLINK("https://pgy.xiaohongshu.com/solar/pre-trade/blogger-detail/679f3360000000000e01f145", "https://pgy.xiaohongshu.com/solar/pre-trade/blogger-detail/679f3360000000000e01f145")</f>
        <v>https://pgy.xiaohongshu.com/solar/pre-trade/blogger-detail/679f3360000000000e01f145</v>
      </c>
      <c r="D335" t="inlineStr">
        <is>
          <t>女</t>
        </is>
      </c>
      <c r="E335" t="inlineStr">
        <is>
          <t>chimney_hi</t>
        </is>
      </c>
      <c r="F335" t="inlineStr">
        <is>
          <t>杰尼啊杰尼在澳洲呢</t>
        </is>
      </c>
      <c r="G335" t="inlineStr">
        <is>
          <t>澳大利亚</t>
        </is>
      </c>
      <c r="H335"/>
      <c r="I335" t="inlineStr">
        <is>
          <t>教育</t>
        </is>
      </c>
      <c r="J335">
        <v>43917</v>
      </c>
      <c r="K335" t="inlineStr">
        <is>
          <t>4.4</t>
        </is>
      </c>
      <c r="L335">
        <v>47295</v>
      </c>
      <c r="M335">
        <v>8530</v>
      </c>
      <c r="N335">
        <v>437</v>
      </c>
      <c r="O335">
        <v>6000</v>
      </c>
      <c r="P335">
        <v>0</v>
      </c>
      <c r="Q335">
        <v>1</v>
      </c>
      <c r="R335">
        <v>0</v>
      </c>
      <c r="S335">
        <v>0</v>
      </c>
      <c r="T335">
        <v>0</v>
      </c>
      <c r="U335">
        <v>0</v>
      </c>
      <c r="V335">
        <v>6000</v>
      </c>
      <c r="W335">
        <v>0</v>
      </c>
      <c r="X335">
        <v>0</v>
      </c>
      <c r="Y335">
        <v>0</v>
      </c>
      <c r="Z335">
        <v>0</v>
      </c>
      <c r="AA335">
        <v>47295</v>
      </c>
      <c r="AB335">
        <v>8530</v>
      </c>
      <c r="AC335">
        <v>318</v>
      </c>
      <c r="AD335">
        <v>2.67</v>
      </c>
      <c r="AE335">
        <v>10000</v>
      </c>
      <c r="AF335">
        <v>1</v>
      </c>
      <c r="AG335">
        <v>0</v>
      </c>
      <c r="AH335">
        <v>0.129</v>
      </c>
      <c r="AI335">
        <v>211.44</v>
      </c>
      <c r="AJ335">
        <v>22.88</v>
      </c>
      <c r="AK335">
        <v>0</v>
      </c>
      <c r="AL335">
        <v>0</v>
      </c>
      <c r="AM335">
        <v>0</v>
      </c>
      <c r="AN335">
        <v>0</v>
      </c>
      <c r="AO335">
        <v>0</v>
      </c>
      <c r="AP335">
        <v>0.93</v>
      </c>
      <c r="AQ335">
        <v>0.032</v>
      </c>
      <c r="AR335">
        <v>0.046</v>
      </c>
      <c r="AS335" s="3">
        <v>46107.768692129626</v>
      </c>
    </row>
    <row r="336" ht="25.5" customHeight="1">
      <c r="A336" t="inlineStr">
        <is>
          <t>643550fc000000001400e5fb</t>
        </is>
      </c>
      <c r="B336" s="2" t="str">
        <f>=HYPERLINK("https://www.xiaohongshu.com/user/profile/643550fc000000001400e5fb", "https://www.xiaohongshu.com/user/profile/643550fc000000001400e5fb")</f>
        <v>https://www.xiaohongshu.com/user/profile/643550fc000000001400e5fb</v>
      </c>
      <c r="C336" s="2" t="str">
        <f>=HYPERLINK("https://pgy.xiaohongshu.com/solar/pre-trade/blogger-detail/643550fc000000001400e5fb", "https://pgy.xiaohongshu.com/solar/pre-trade/blogger-detail/643550fc000000001400e5fb")</f>
        <v>https://pgy.xiaohongshu.com/solar/pre-trade/blogger-detail/643550fc000000001400e5fb</v>
      </c>
      <c r="D336" t="inlineStr">
        <is>
          <t>女</t>
        </is>
      </c>
      <c r="E336" t="inlineStr">
        <is>
          <t>2294359708</t>
        </is>
      </c>
      <c r="F336" t="inlineStr">
        <is>
          <t>Holly🎀</t>
        </is>
      </c>
      <c r="G336" t="inlineStr">
        <is>
          <t>河北 保定 莲池区</t>
        </is>
      </c>
      <c r="H336" t="inlineStr">
        <is>
          <t>考研过来人, 学生</t>
        </is>
      </c>
      <c r="I336" t="inlineStr">
        <is>
          <t>教育</t>
        </is>
      </c>
      <c r="J336">
        <v>1464</v>
      </c>
      <c r="K336" t="inlineStr">
        <is>
          <t>0.1</t>
        </is>
      </c>
      <c r="L336">
        <v>13244</v>
      </c>
      <c r="M336">
        <v>2414</v>
      </c>
      <c r="N336">
        <v>146</v>
      </c>
      <c r="O336">
        <v>227</v>
      </c>
      <c r="P336">
        <v>0.067</v>
      </c>
      <c r="Q336">
        <v>0.4</v>
      </c>
      <c r="R336">
        <v>13244</v>
      </c>
      <c r="S336">
        <v>2414</v>
      </c>
      <c r="T336">
        <v>95</v>
      </c>
      <c r="U336">
        <v>0.43</v>
      </c>
      <c r="V336">
        <v>227</v>
      </c>
      <c r="W336">
        <v>0.4</v>
      </c>
      <c r="X336">
        <v>0.067</v>
      </c>
      <c r="Y336">
        <v>27.79</v>
      </c>
      <c r="Z336">
        <v>2.2</v>
      </c>
      <c r="AA336">
        <v>0</v>
      </c>
      <c r="AB336">
        <v>0</v>
      </c>
      <c r="AC336">
        <v>0</v>
      </c>
      <c r="AD336">
        <v>0</v>
      </c>
      <c r="AE336">
        <v>397</v>
      </c>
      <c r="AF336">
        <v>0</v>
      </c>
      <c r="AG336">
        <v>0</v>
      </c>
      <c r="AH336">
        <v>0</v>
      </c>
      <c r="AI336">
        <v>0</v>
      </c>
      <c r="AJ336">
        <v>0</v>
      </c>
      <c r="AK336">
        <v>3724</v>
      </c>
      <c r="AL336">
        <v>260</v>
      </c>
      <c r="AM336">
        <v>15</v>
      </c>
      <c r="AN336">
        <v>0</v>
      </c>
      <c r="AO336">
        <v>0</v>
      </c>
      <c r="AP336">
        <v>0.992</v>
      </c>
      <c r="AQ336">
        <v>0.609</v>
      </c>
      <c r="AR336">
        <v>0</v>
      </c>
      <c r="AS336" s="3">
        <v>46107.768692129626</v>
      </c>
    </row>
    <row r="337" ht="25.5" customHeight="1">
      <c r="A337" t="inlineStr">
        <is>
          <t>5f439e7b0000000001006dd7</t>
        </is>
      </c>
      <c r="B337" s="2" t="str">
        <f>=HYPERLINK("https://www.xiaohongshu.com/user/profile/5f439e7b0000000001006dd7", "https://www.xiaohongshu.com/user/profile/5f439e7b0000000001006dd7")</f>
        <v>https://www.xiaohongshu.com/user/profile/5f439e7b0000000001006dd7</v>
      </c>
      <c r="C337" s="2" t="str">
        <f>=HYPERLINK("https://pgy.xiaohongshu.com/solar/pre-trade/blogger-detail/5f439e7b0000000001006dd7", "https://pgy.xiaohongshu.com/solar/pre-trade/blogger-detail/5f439e7b0000000001006dd7")</f>
        <v>https://pgy.xiaohongshu.com/solar/pre-trade/blogger-detail/5f439e7b0000000001006dd7</v>
      </c>
      <c r="D337" t="inlineStr">
        <is>
          <t>女</t>
        </is>
      </c>
      <c r="E337" t="inlineStr">
        <is>
          <t>a1903519335</t>
        </is>
      </c>
      <c r="F337" t="inlineStr">
        <is>
          <t>天才王小咪</t>
        </is>
      </c>
      <c r="G337" t="inlineStr">
        <is>
          <t>江苏 无锡 滨湖区</t>
        </is>
      </c>
      <c r="H337" t="inlineStr">
        <is>
          <t>学生</t>
        </is>
      </c>
      <c r="I337" t="inlineStr">
        <is>
          <t>教育</t>
        </is>
      </c>
      <c r="J337">
        <v>10955</v>
      </c>
      <c r="K337" t="inlineStr">
        <is>
          <t>1.1</t>
        </is>
      </c>
      <c r="L337">
        <v>6668</v>
      </c>
      <c r="M337">
        <v>832</v>
      </c>
      <c r="N337">
        <v>170</v>
      </c>
      <c r="O337">
        <v>1300</v>
      </c>
      <c r="P337">
        <v>0</v>
      </c>
      <c r="Q337">
        <v>0</v>
      </c>
      <c r="R337">
        <v>6668</v>
      </c>
      <c r="S337">
        <v>832</v>
      </c>
      <c r="T337">
        <v>159</v>
      </c>
      <c r="U337">
        <v>2.41</v>
      </c>
      <c r="V337">
        <v>1300</v>
      </c>
      <c r="W337">
        <v>0</v>
      </c>
      <c r="X337">
        <v>0</v>
      </c>
      <c r="Y337">
        <v>164.8</v>
      </c>
      <c r="Z337">
        <v>12.15</v>
      </c>
      <c r="AA337">
        <v>0</v>
      </c>
      <c r="AB337">
        <v>0</v>
      </c>
      <c r="AC337">
        <v>0</v>
      </c>
      <c r="AD337">
        <v>0</v>
      </c>
      <c r="AE337">
        <v>2200</v>
      </c>
      <c r="AF337">
        <v>0</v>
      </c>
      <c r="AG337">
        <v>0</v>
      </c>
      <c r="AH337">
        <v>0</v>
      </c>
      <c r="AI337">
        <v>0</v>
      </c>
      <c r="AJ337">
        <v>0</v>
      </c>
      <c r="AK337">
        <v>9109</v>
      </c>
      <c r="AL337">
        <v>402</v>
      </c>
      <c r="AM337">
        <v>39</v>
      </c>
      <c r="AN337">
        <v>0</v>
      </c>
      <c r="AO337">
        <v>0</v>
      </c>
      <c r="AP337">
        <v>0.932</v>
      </c>
      <c r="AQ337">
        <v>0.048</v>
      </c>
      <c r="AR337">
        <v>0.019</v>
      </c>
      <c r="AS337" s="3">
        <v>46107.768692129626</v>
      </c>
    </row>
    <row r="338" ht="25.5" customHeight="1">
      <c r="A338" t="inlineStr">
        <is>
          <t>6197a238000000001000b79d</t>
        </is>
      </c>
      <c r="B338" s="2" t="str">
        <f>=HYPERLINK("https://www.xiaohongshu.com/user/profile/6197a238000000001000b79d", "https://www.xiaohongshu.com/user/profile/6197a238000000001000b79d")</f>
        <v>https://www.xiaohongshu.com/user/profile/6197a238000000001000b79d</v>
      </c>
      <c r="C338" s="2" t="str">
        <f>=HYPERLINK("https://pgy.xiaohongshu.com/solar/pre-trade/blogger-detail/6197a238000000001000b79d", "https://pgy.xiaohongshu.com/solar/pre-trade/blogger-detail/6197a238000000001000b79d")</f>
        <v>https://pgy.xiaohongshu.com/solar/pre-trade/blogger-detail/6197a238000000001000b79d</v>
      </c>
      <c r="D338" t="inlineStr">
        <is>
          <t>女</t>
        </is>
      </c>
      <c r="E338" t="inlineStr">
        <is>
          <t>6396999348</t>
        </is>
      </c>
      <c r="F338" t="inlineStr">
        <is>
          <t>半川小海</t>
        </is>
      </c>
      <c r="G338" t="inlineStr">
        <is>
          <t>加拿大</t>
        </is>
      </c>
      <c r="H338" t="inlineStr">
        <is>
          <t>留学背景</t>
        </is>
      </c>
      <c r="I338" t="inlineStr">
        <is>
          <t>教育</t>
        </is>
      </c>
      <c r="J338">
        <v>1616</v>
      </c>
      <c r="K338" t="inlineStr">
        <is>
          <t>0.2</t>
        </is>
      </c>
      <c r="L338">
        <v>8812</v>
      </c>
      <c r="M338">
        <v>2093</v>
      </c>
      <c r="N338">
        <v>215</v>
      </c>
      <c r="O338">
        <v>300</v>
      </c>
      <c r="P338">
        <v>0</v>
      </c>
      <c r="Q338">
        <v>1</v>
      </c>
      <c r="R338">
        <v>0</v>
      </c>
      <c r="S338">
        <v>0</v>
      </c>
      <c r="T338">
        <v>0</v>
      </c>
      <c r="U338">
        <v>0</v>
      </c>
      <c r="V338">
        <v>300</v>
      </c>
      <c r="W338">
        <v>0</v>
      </c>
      <c r="X338">
        <v>0</v>
      </c>
      <c r="Y338">
        <v>0</v>
      </c>
      <c r="Z338">
        <v>0</v>
      </c>
      <c r="AA338">
        <v>8812</v>
      </c>
      <c r="AB338">
        <v>2093</v>
      </c>
      <c r="AC338">
        <v>195</v>
      </c>
      <c r="AD338">
        <v>1.79</v>
      </c>
      <c r="AE338">
        <v>500</v>
      </c>
      <c r="AF338">
        <v>1</v>
      </c>
      <c r="AG338">
        <v>0</v>
      </c>
      <c r="AH338">
        <v>0.15</v>
      </c>
      <c r="AI338">
        <v>70.79</v>
      </c>
      <c r="AJ338">
        <v>2.4</v>
      </c>
      <c r="AK338">
        <v>2805</v>
      </c>
      <c r="AL338">
        <v>678</v>
      </c>
      <c r="AM338">
        <v>92</v>
      </c>
      <c r="AN338">
        <v>0</v>
      </c>
      <c r="AO338">
        <v>0</v>
      </c>
      <c r="AP338">
        <v>0.981</v>
      </c>
      <c r="AQ338">
        <v>0.198999999999999</v>
      </c>
      <c r="AR338">
        <v>0</v>
      </c>
      <c r="AS338" s="3">
        <v>46107.768692129626</v>
      </c>
    </row>
    <row r="339" ht="25.5" customHeight="1">
      <c r="A339" t="inlineStr">
        <is>
          <t>5a9ba47f11be106ac8db9d58</t>
        </is>
      </c>
      <c r="B339" s="2" t="str">
        <f>=HYPERLINK("https://www.xiaohongshu.com/user/profile/5a9ba47f11be106ac8db9d58", "https://www.xiaohongshu.com/user/profile/5a9ba47f11be106ac8db9d58")</f>
        <v>https://www.xiaohongshu.com/user/profile/5a9ba47f11be106ac8db9d58</v>
      </c>
      <c r="C339" s="2" t="str">
        <f>=HYPERLINK("https://pgy.xiaohongshu.com/solar/pre-trade/blogger-detail/5a9ba47f11be106ac8db9d58", "https://pgy.xiaohongshu.com/solar/pre-trade/blogger-detail/5a9ba47f11be106ac8db9d58")</f>
        <v>https://pgy.xiaohongshu.com/solar/pre-trade/blogger-detail/5a9ba47f11be106ac8db9d58</v>
      </c>
      <c r="D339" t="inlineStr">
        <is>
          <t>女</t>
        </is>
      </c>
      <c r="E339" t="inlineStr">
        <is>
          <t>Ruby0323ry</t>
        </is>
      </c>
      <c r="F339" t="inlineStr">
        <is>
          <t>Ruby豆小豆</t>
        </is>
      </c>
      <c r="G339" t="inlineStr">
        <is>
          <t>北京</t>
        </is>
      </c>
      <c r="H339" t="inlineStr">
        <is>
          <t>服装设计师</t>
        </is>
      </c>
      <c r="I339" t="inlineStr">
        <is>
          <t>教育</t>
        </is>
      </c>
      <c r="J339">
        <v>7615</v>
      </c>
      <c r="K339" t="inlineStr">
        <is>
          <t>0.8</t>
        </is>
      </c>
      <c r="L339">
        <v>5520</v>
      </c>
      <c r="M339">
        <v>1230</v>
      </c>
      <c r="N339">
        <v>135</v>
      </c>
      <c r="O339">
        <v>550</v>
      </c>
      <c r="P339">
        <v>0</v>
      </c>
      <c r="Q339">
        <v>0</v>
      </c>
      <c r="R339">
        <v>2300</v>
      </c>
      <c r="S339">
        <v>222</v>
      </c>
      <c r="T339">
        <v>53</v>
      </c>
      <c r="U339">
        <v>2.78</v>
      </c>
      <c r="V339">
        <v>550</v>
      </c>
      <c r="W339">
        <v>0</v>
      </c>
      <c r="X339">
        <v>0</v>
      </c>
      <c r="Y339">
        <v>239.13</v>
      </c>
      <c r="Z339">
        <v>8.73</v>
      </c>
      <c r="AA339">
        <v>7313</v>
      </c>
      <c r="AB339">
        <v>1433</v>
      </c>
      <c r="AC339">
        <v>136</v>
      </c>
      <c r="AD339">
        <v>2.26</v>
      </c>
      <c r="AE339">
        <v>930</v>
      </c>
      <c r="AF339">
        <v>0</v>
      </c>
      <c r="AG339">
        <v>0</v>
      </c>
      <c r="AH339">
        <v>0.11</v>
      </c>
      <c r="AI339">
        <v>168.48</v>
      </c>
      <c r="AJ339">
        <v>6.08</v>
      </c>
      <c r="AK339">
        <v>2062</v>
      </c>
      <c r="AL339">
        <v>515</v>
      </c>
      <c r="AM339">
        <v>145</v>
      </c>
      <c r="AN339">
        <v>0</v>
      </c>
      <c r="AO339">
        <v>0</v>
      </c>
      <c r="AP339">
        <v>0.867</v>
      </c>
      <c r="AQ339">
        <v>0.043</v>
      </c>
      <c r="AR339">
        <v>0.019</v>
      </c>
      <c r="AS339" s="3">
        <v>46107.768692129626</v>
      </c>
    </row>
    <row r="340" ht="25.5" customHeight="1">
      <c r="A340" t="inlineStr">
        <is>
          <t>68cb7c11000000002101cd41</t>
        </is>
      </c>
      <c r="B340" s="2" t="str">
        <f>=HYPERLINK("https://www.xiaohongshu.com/user/profile/68cb7c11000000002101cd41", "https://www.xiaohongshu.com/user/profile/68cb7c11000000002101cd41")</f>
        <v>https://www.xiaohongshu.com/user/profile/68cb7c11000000002101cd41</v>
      </c>
      <c r="C340" s="2" t="str">
        <f>=HYPERLINK("https://pgy.xiaohongshu.com/solar/pre-trade/blogger-detail/68cb7c11000000002101cd41", "https://pgy.xiaohongshu.com/solar/pre-trade/blogger-detail/68cb7c11000000002101cd41")</f>
        <v>https://pgy.xiaohongshu.com/solar/pre-trade/blogger-detail/68cb7c11000000002101cd41</v>
      </c>
      <c r="D340" t="inlineStr">
        <is>
          <t>女</t>
        </is>
      </c>
      <c r="E340" t="inlineStr">
        <is>
          <t>26121321286</t>
        </is>
      </c>
      <c r="F340" t="inlineStr">
        <is>
          <t>Zeta 8888</t>
        </is>
      </c>
      <c r="G340" t="inlineStr">
        <is>
          <t>英国</t>
        </is>
      </c>
      <c r="H340" t="inlineStr">
        <is>
          <t>学生</t>
        </is>
      </c>
      <c r="I340" t="inlineStr">
        <is>
          <t>美食, 教育, 生活记录</t>
        </is>
      </c>
      <c r="J340">
        <v>7225</v>
      </c>
      <c r="K340" t="inlineStr">
        <is>
          <t>0.7</t>
        </is>
      </c>
      <c r="L340">
        <v>26551</v>
      </c>
      <c r="M340">
        <v>5623</v>
      </c>
      <c r="N340">
        <v>433</v>
      </c>
      <c r="O340">
        <v>700</v>
      </c>
      <c r="P340">
        <v>0.231</v>
      </c>
      <c r="Q340">
        <v>0.769</v>
      </c>
      <c r="R340">
        <v>0</v>
      </c>
      <c r="S340">
        <v>0</v>
      </c>
      <c r="T340">
        <v>0</v>
      </c>
      <c r="U340">
        <v>0</v>
      </c>
      <c r="V340">
        <v>800</v>
      </c>
      <c r="W340">
        <v>0</v>
      </c>
      <c r="X340">
        <v>0</v>
      </c>
      <c r="Y340">
        <v>0</v>
      </c>
      <c r="Z340">
        <v>0</v>
      </c>
      <c r="AA340">
        <v>26551</v>
      </c>
      <c r="AB340">
        <v>5623</v>
      </c>
      <c r="AC340">
        <v>414</v>
      </c>
      <c r="AD340">
        <v>1.62</v>
      </c>
      <c r="AE340">
        <v>700</v>
      </c>
      <c r="AF340">
        <v>0.769</v>
      </c>
      <c r="AG340">
        <v>0.231</v>
      </c>
      <c r="AH340">
        <v>0.134</v>
      </c>
      <c r="AI340">
        <v>26.36</v>
      </c>
      <c r="AJ340">
        <v>1.62</v>
      </c>
      <c r="AK340">
        <v>0</v>
      </c>
      <c r="AL340">
        <v>0</v>
      </c>
      <c r="AM340">
        <v>0</v>
      </c>
      <c r="AN340">
        <v>0</v>
      </c>
      <c r="AO340">
        <v>0</v>
      </c>
      <c r="AP340">
        <v>0.979</v>
      </c>
      <c r="AQ340">
        <v>0.359</v>
      </c>
      <c r="AR340">
        <v>0</v>
      </c>
      <c r="AS340" s="3">
        <v>46107.768692129626</v>
      </c>
    </row>
    <row r="341" ht="25.5" customHeight="1">
      <c r="A341" t="inlineStr">
        <is>
          <t>64bc627b000000002b00a951</t>
        </is>
      </c>
      <c r="B341" s="2" t="str">
        <f>=HYPERLINK("https://www.xiaohongshu.com/user/profile/64bc627b000000002b00a951", "https://www.xiaohongshu.com/user/profile/64bc627b000000002b00a951")</f>
        <v>https://www.xiaohongshu.com/user/profile/64bc627b000000002b00a951</v>
      </c>
      <c r="C341" s="2" t="str">
        <f>=HYPERLINK("https://pgy.xiaohongshu.com/solar/pre-trade/blogger-detail/64bc627b000000002b00a951", "https://pgy.xiaohongshu.com/solar/pre-trade/blogger-detail/64bc627b000000002b00a951")</f>
        <v>https://pgy.xiaohongshu.com/solar/pre-trade/blogger-detail/64bc627b000000002b00a951</v>
      </c>
      <c r="D341" t="inlineStr">
        <is>
          <t>女</t>
        </is>
      </c>
      <c r="E341" t="inlineStr">
        <is>
          <t>2237367831</t>
        </is>
      </c>
      <c r="F341" t="inlineStr">
        <is>
          <t>菠萝吹雪</t>
        </is>
      </c>
      <c r="G341" t="inlineStr">
        <is>
          <t>山东 泰安 新泰市</t>
        </is>
      </c>
      <c r="H341"/>
      <c r="I341" t="inlineStr">
        <is>
          <t>教育</t>
        </is>
      </c>
      <c r="J341">
        <v>8563</v>
      </c>
      <c r="K341" t="inlineStr">
        <is>
          <t>0.9</t>
        </is>
      </c>
      <c r="L341">
        <v>50486</v>
      </c>
      <c r="M341">
        <v>18470</v>
      </c>
      <c r="N341">
        <v>475</v>
      </c>
      <c r="O341">
        <v>300</v>
      </c>
      <c r="P341">
        <v>0</v>
      </c>
      <c r="Q341">
        <v>1</v>
      </c>
      <c r="R341">
        <v>50486</v>
      </c>
      <c r="S341">
        <v>18470</v>
      </c>
      <c r="T341">
        <v>461</v>
      </c>
      <c r="U341">
        <v>0.33</v>
      </c>
      <c r="V341">
        <v>300</v>
      </c>
      <c r="W341">
        <v>1</v>
      </c>
      <c r="X341">
        <v>0</v>
      </c>
      <c r="Y341">
        <v>9.75</v>
      </c>
      <c r="Z341">
        <v>0.67</v>
      </c>
      <c r="AA341">
        <v>0</v>
      </c>
      <c r="AB341">
        <v>0</v>
      </c>
      <c r="AC341">
        <v>0</v>
      </c>
      <c r="AD341">
        <v>0</v>
      </c>
      <c r="AE341">
        <v>855</v>
      </c>
      <c r="AF341">
        <v>0</v>
      </c>
      <c r="AG341">
        <v>0</v>
      </c>
      <c r="AH341">
        <v>0</v>
      </c>
      <c r="AI341">
        <v>0</v>
      </c>
      <c r="AJ341">
        <v>0</v>
      </c>
      <c r="AK341">
        <v>18202</v>
      </c>
      <c r="AL341">
        <v>5046</v>
      </c>
      <c r="AM341">
        <v>350</v>
      </c>
      <c r="AN341">
        <v>0</v>
      </c>
      <c r="AO341">
        <v>0</v>
      </c>
      <c r="AP341">
        <v>0.942</v>
      </c>
      <c r="AQ341">
        <v>0.092</v>
      </c>
      <c r="AR341">
        <v>0.005</v>
      </c>
      <c r="AS341" s="3">
        <v>46107.768692129626</v>
      </c>
    </row>
    <row r="342" ht="25.5" customHeight="1">
      <c r="A342" t="inlineStr">
        <is>
          <t>5f69a3e80000000001000dc6</t>
        </is>
      </c>
      <c r="B342" s="2" t="str">
        <f>=HYPERLINK("https://www.xiaohongshu.com/user/profile/5f69a3e80000000001000dc6", "https://www.xiaohongshu.com/user/profile/5f69a3e80000000001000dc6")</f>
        <v>https://www.xiaohongshu.com/user/profile/5f69a3e80000000001000dc6</v>
      </c>
      <c r="C342" s="2" t="str">
        <f>=HYPERLINK("https://pgy.xiaohongshu.com/solar/pre-trade/blogger-detail/5f69a3e80000000001000dc6", "https://pgy.xiaohongshu.com/solar/pre-trade/blogger-detail/5f69a3e80000000001000dc6")</f>
        <v>https://pgy.xiaohongshu.com/solar/pre-trade/blogger-detail/5f69a3e80000000001000dc6</v>
      </c>
      <c r="D342" t="inlineStr">
        <is>
          <t>女</t>
        </is>
      </c>
      <c r="E342" t="inlineStr">
        <is>
          <t>733505149</t>
        </is>
      </c>
      <c r="F342" t="inlineStr">
        <is>
          <t>Phoebo_是我啊</t>
        </is>
      </c>
      <c r="G342" t="inlineStr">
        <is>
          <t>安徽 阜阳 颍州区</t>
        </is>
      </c>
      <c r="H342"/>
      <c r="I342" t="inlineStr">
        <is>
          <t>教育</t>
        </is>
      </c>
      <c r="J342">
        <v>177886</v>
      </c>
      <c r="K342" t="inlineStr">
        <is>
          <t>17.8</t>
        </is>
      </c>
      <c r="L342">
        <v>60645</v>
      </c>
      <c r="M342">
        <v>47700</v>
      </c>
      <c r="N342">
        <v>2519</v>
      </c>
      <c r="O342">
        <v>6826</v>
      </c>
      <c r="P342">
        <v>0.667</v>
      </c>
      <c r="Q342">
        <v>1</v>
      </c>
      <c r="R342">
        <v>0</v>
      </c>
      <c r="S342">
        <v>0</v>
      </c>
      <c r="T342">
        <v>0</v>
      </c>
      <c r="U342">
        <v>0</v>
      </c>
      <c r="V342">
        <v>6826</v>
      </c>
      <c r="W342">
        <v>0</v>
      </c>
      <c r="X342">
        <v>0</v>
      </c>
      <c r="Y342">
        <v>0</v>
      </c>
      <c r="Z342">
        <v>0</v>
      </c>
      <c r="AA342">
        <v>60645</v>
      </c>
      <c r="AB342">
        <v>47700</v>
      </c>
      <c r="AC342">
        <v>1772</v>
      </c>
      <c r="AD342">
        <v>2.22</v>
      </c>
      <c r="AE342">
        <v>16384</v>
      </c>
      <c r="AF342">
        <v>1</v>
      </c>
      <c r="AG342">
        <v>0.667</v>
      </c>
      <c r="AH342">
        <v>0.123</v>
      </c>
      <c r="AI342">
        <v>270.16</v>
      </c>
      <c r="AJ342">
        <v>8.37</v>
      </c>
      <c r="AK342">
        <v>65670</v>
      </c>
      <c r="AL342">
        <v>10440</v>
      </c>
      <c r="AM342">
        <v>952</v>
      </c>
      <c r="AN342">
        <v>0</v>
      </c>
      <c r="AO342">
        <v>0</v>
      </c>
      <c r="AP342">
        <v>0.935999999999999</v>
      </c>
      <c r="AQ342">
        <v>0.026</v>
      </c>
      <c r="AR342">
        <v>0.034</v>
      </c>
      <c r="AS342" s="3">
        <v>46107.7690162037</v>
      </c>
    </row>
    <row r="343" ht="25.5" customHeight="1">
      <c r="A343" t="inlineStr">
        <is>
          <t>63c8b4bc0000000027029dc3</t>
        </is>
      </c>
      <c r="B343" s="2" t="str">
        <f>=HYPERLINK("https://www.xiaohongshu.com/user/profile/63c8b4bc0000000027029dc3", "https://www.xiaohongshu.com/user/profile/63c8b4bc0000000027029dc3")</f>
        <v>https://www.xiaohongshu.com/user/profile/63c8b4bc0000000027029dc3</v>
      </c>
      <c r="C343" s="2" t="str">
        <f>=HYPERLINK("https://pgy.xiaohongshu.com/solar/pre-trade/blogger-detail/63c8b4bc0000000027029dc3", "https://pgy.xiaohongshu.com/solar/pre-trade/blogger-detail/63c8b4bc0000000027029dc3")</f>
        <v>https://pgy.xiaohongshu.com/solar/pre-trade/blogger-detail/63c8b4bc0000000027029dc3</v>
      </c>
      <c r="D343" t="inlineStr">
        <is>
          <t>男</t>
        </is>
      </c>
      <c r="E343" t="inlineStr">
        <is>
          <t>V18249103471</t>
        </is>
      </c>
      <c r="F343" t="inlineStr">
        <is>
          <t>清华佳明</t>
        </is>
      </c>
      <c r="G343" t="inlineStr">
        <is>
          <t>北京</t>
        </is>
      </c>
      <c r="H343" t="inlineStr">
        <is>
          <t>学生</t>
        </is>
      </c>
      <c r="I343" t="inlineStr">
        <is>
          <t>教育, 生活记录</t>
        </is>
      </c>
      <c r="J343">
        <v>24238</v>
      </c>
      <c r="K343" t="inlineStr">
        <is>
          <t>2.4</t>
        </is>
      </c>
      <c r="L343">
        <v>12249</v>
      </c>
      <c r="M343">
        <v>2536</v>
      </c>
      <c r="N343">
        <v>124</v>
      </c>
      <c r="O343">
        <v>1598</v>
      </c>
      <c r="P343">
        <v>0</v>
      </c>
      <c r="Q343">
        <v>0.4</v>
      </c>
      <c r="R343">
        <v>0</v>
      </c>
      <c r="S343">
        <v>0</v>
      </c>
      <c r="T343">
        <v>0</v>
      </c>
      <c r="U343">
        <v>0</v>
      </c>
      <c r="V343">
        <v>1598</v>
      </c>
      <c r="W343">
        <v>0</v>
      </c>
      <c r="X343">
        <v>0</v>
      </c>
      <c r="Y343">
        <v>0</v>
      </c>
      <c r="Z343">
        <v>0</v>
      </c>
      <c r="AA343">
        <v>12249</v>
      </c>
      <c r="AB343">
        <v>2536</v>
      </c>
      <c r="AC343">
        <v>75</v>
      </c>
      <c r="AD343">
        <v>2.58</v>
      </c>
      <c r="AE343">
        <v>2298</v>
      </c>
      <c r="AF343">
        <v>0.4</v>
      </c>
      <c r="AG343">
        <v>0</v>
      </c>
      <c r="AH343">
        <v>0.239</v>
      </c>
      <c r="AI343">
        <v>223.44</v>
      </c>
      <c r="AJ343">
        <v>23.69</v>
      </c>
      <c r="AK343">
        <v>3536</v>
      </c>
      <c r="AL343">
        <v>477</v>
      </c>
      <c r="AM343">
        <v>26</v>
      </c>
      <c r="AN343">
        <v>0</v>
      </c>
      <c r="AO343">
        <v>0</v>
      </c>
      <c r="AP343">
        <v>0.951</v>
      </c>
      <c r="AQ343">
        <v>0.009</v>
      </c>
      <c r="AR343">
        <v>0.004</v>
      </c>
      <c r="AS343" s="3">
        <v>46107.7690162037</v>
      </c>
    </row>
    <row r="344" ht="25.5" customHeight="1">
      <c r="A344" t="inlineStr">
        <is>
          <t>6260b970000000001000f191</t>
        </is>
      </c>
      <c r="B344" s="2" t="str">
        <f>=HYPERLINK("https://www.xiaohongshu.com/user/profile/6260b970000000001000f191", "https://www.xiaohongshu.com/user/profile/6260b970000000001000f191")</f>
        <v>https://www.xiaohongshu.com/user/profile/6260b970000000001000f191</v>
      </c>
      <c r="C344" s="2" t="str">
        <f>=HYPERLINK("https://pgy.xiaohongshu.com/solar/pre-trade/blogger-detail/6260b970000000001000f191", "https://pgy.xiaohongshu.com/solar/pre-trade/blogger-detail/6260b970000000001000f191")</f>
        <v>https://pgy.xiaohongshu.com/solar/pre-trade/blogger-detail/6260b970000000001000f191</v>
      </c>
      <c r="D344" t="inlineStr">
        <is>
          <t>女</t>
        </is>
      </c>
      <c r="E344" t="inlineStr">
        <is>
          <t>l1950869</t>
        </is>
      </c>
      <c r="F344" t="inlineStr">
        <is>
          <t>momo</t>
        </is>
      </c>
      <c r="G344" t="inlineStr">
        <is>
          <t>北京</t>
        </is>
      </c>
      <c r="H344"/>
      <c r="I344" t="inlineStr">
        <is>
          <t>教育</t>
        </is>
      </c>
      <c r="J344">
        <v>3503</v>
      </c>
      <c r="K344" t="inlineStr">
        <is>
          <t>0.4</t>
        </is>
      </c>
      <c r="L344">
        <v>16525</v>
      </c>
      <c r="M344">
        <v>3595</v>
      </c>
      <c r="N344">
        <v>169</v>
      </c>
      <c r="O344">
        <v>250</v>
      </c>
      <c r="P344">
        <v>0</v>
      </c>
      <c r="Q344">
        <v>0.5</v>
      </c>
      <c r="R344">
        <v>16525</v>
      </c>
      <c r="S344">
        <v>3777</v>
      </c>
      <c r="T344">
        <v>137</v>
      </c>
      <c r="U344">
        <v>0.37</v>
      </c>
      <c r="V344">
        <v>250</v>
      </c>
      <c r="W344">
        <v>0.471</v>
      </c>
      <c r="X344">
        <v>0</v>
      </c>
      <c r="Y344">
        <v>16.43</v>
      </c>
      <c r="Z344">
        <v>1.82</v>
      </c>
      <c r="AA344">
        <v>17371</v>
      </c>
      <c r="AB344">
        <v>2447</v>
      </c>
      <c r="AC344">
        <v>343</v>
      </c>
      <c r="AD344">
        <v>1.7</v>
      </c>
      <c r="AE344">
        <v>500</v>
      </c>
      <c r="AF344">
        <v>0.667</v>
      </c>
      <c r="AG344">
        <v>0</v>
      </c>
      <c r="AH344">
        <v>0.0409999999999999</v>
      </c>
      <c r="AI344">
        <v>28.78</v>
      </c>
      <c r="AJ344">
        <v>1.33</v>
      </c>
      <c r="AK344">
        <v>8171</v>
      </c>
      <c r="AL344">
        <v>808</v>
      </c>
      <c r="AM344">
        <v>20</v>
      </c>
      <c r="AN344">
        <v>0</v>
      </c>
      <c r="AO344">
        <v>4.19</v>
      </c>
      <c r="AP344">
        <v>0.944</v>
      </c>
      <c r="AQ344">
        <v>0.226999999999999</v>
      </c>
      <c r="AR344">
        <v>0.182</v>
      </c>
      <c r="AS344" s="3">
        <v>46107.7690162037</v>
      </c>
    </row>
    <row r="345" ht="25.5" customHeight="1">
      <c r="A345" t="inlineStr">
        <is>
          <t>65100b170000000017021c24</t>
        </is>
      </c>
      <c r="B345" s="2" t="str">
        <f>=HYPERLINK("https://www.xiaohongshu.com/user/profile/65100b170000000017021c24", "https://www.xiaohongshu.com/user/profile/65100b170000000017021c24")</f>
        <v>https://www.xiaohongshu.com/user/profile/65100b170000000017021c24</v>
      </c>
      <c r="C345" s="2" t="str">
        <f>=HYPERLINK("https://pgy.xiaohongshu.com/solar/pre-trade/blogger-detail/65100b170000000017021c24", "https://pgy.xiaohongshu.com/solar/pre-trade/blogger-detail/65100b170000000017021c24")</f>
        <v>https://pgy.xiaohongshu.com/solar/pre-trade/blogger-detail/65100b170000000017021c24</v>
      </c>
      <c r="D345" t="inlineStr">
        <is>
          <t>女</t>
        </is>
      </c>
      <c r="E345" t="inlineStr">
        <is>
          <t>6403758724</t>
        </is>
      </c>
      <c r="F345" t="inlineStr">
        <is>
          <t>雀雀</t>
        </is>
      </c>
      <c r="G345" t="inlineStr">
        <is>
          <t>广东 广州 番禺区</t>
        </is>
      </c>
      <c r="H345" t="inlineStr">
        <is>
          <t>考研过来人, 学生</t>
        </is>
      </c>
      <c r="I345" t="inlineStr">
        <is>
          <t>教育</t>
        </is>
      </c>
      <c r="J345">
        <v>11865</v>
      </c>
      <c r="K345" t="inlineStr">
        <is>
          <t>1.2</t>
        </is>
      </c>
      <c r="L345">
        <v>19462</v>
      </c>
      <c r="M345">
        <v>4884</v>
      </c>
      <c r="N345">
        <v>486</v>
      </c>
      <c r="O345">
        <v>700</v>
      </c>
      <c r="P345">
        <v>0.1</v>
      </c>
      <c r="Q345">
        <v>1</v>
      </c>
      <c r="R345">
        <v>19462</v>
      </c>
      <c r="S345">
        <v>4884</v>
      </c>
      <c r="T345">
        <v>403</v>
      </c>
      <c r="U345">
        <v>0.5</v>
      </c>
      <c r="V345">
        <v>700</v>
      </c>
      <c r="W345">
        <v>1</v>
      </c>
      <c r="X345">
        <v>0.1</v>
      </c>
      <c r="Y345">
        <v>49.16</v>
      </c>
      <c r="Z345">
        <v>1.46</v>
      </c>
      <c r="AA345">
        <v>0</v>
      </c>
      <c r="AB345">
        <v>0</v>
      </c>
      <c r="AC345">
        <v>0</v>
      </c>
      <c r="AD345">
        <v>0</v>
      </c>
      <c r="AE345">
        <v>1500</v>
      </c>
      <c r="AF345">
        <v>0</v>
      </c>
      <c r="AG345">
        <v>0</v>
      </c>
      <c r="AH345">
        <v>0</v>
      </c>
      <c r="AI345">
        <v>0</v>
      </c>
      <c r="AJ345">
        <v>0</v>
      </c>
      <c r="AK345">
        <v>13609</v>
      </c>
      <c r="AL345">
        <v>1747</v>
      </c>
      <c r="AM345">
        <v>293</v>
      </c>
      <c r="AN345">
        <v>0</v>
      </c>
      <c r="AO345">
        <v>0</v>
      </c>
      <c r="AP345">
        <v>0.934</v>
      </c>
      <c r="AQ345">
        <v>0.132</v>
      </c>
      <c r="AR345">
        <v>0.02</v>
      </c>
      <c r="AS345" s="3">
        <v>46107.7690162037</v>
      </c>
    </row>
    <row r="346" ht="25.5" customHeight="1">
      <c r="A346" t="inlineStr">
        <is>
          <t>69477f4700000000380184af</t>
        </is>
      </c>
      <c r="B346" s="2" t="str">
        <f>=HYPERLINK("https://www.xiaohongshu.com/user/profile/69477f4700000000380184af", "https://www.xiaohongshu.com/user/profile/69477f4700000000380184af")</f>
        <v>https://www.xiaohongshu.com/user/profile/69477f4700000000380184af</v>
      </c>
      <c r="C346" s="2" t="str">
        <f>=HYPERLINK("https://pgy.xiaohongshu.com/solar/pre-trade/blogger-detail/69477f4700000000380184af", "https://pgy.xiaohongshu.com/solar/pre-trade/blogger-detail/69477f4700000000380184af")</f>
        <v>https://pgy.xiaohongshu.com/solar/pre-trade/blogger-detail/69477f4700000000380184af</v>
      </c>
      <c r="D346" t="inlineStr">
        <is>
          <t>女</t>
        </is>
      </c>
      <c r="E346" t="inlineStr">
        <is>
          <t>95808410827</t>
        </is>
      </c>
      <c r="F346" t="inlineStr">
        <is>
          <t>沝沝（zǐ）</t>
        </is>
      </c>
      <c r="G346" t="inlineStr">
        <is>
          <t>内蒙古 呼和浩特 新城区</t>
        </is>
      </c>
      <c r="H346"/>
      <c r="I346" t="inlineStr">
        <is>
          <t>教育</t>
        </is>
      </c>
      <c r="J346">
        <v>23771</v>
      </c>
      <c r="K346" t="inlineStr">
        <is>
          <t>2.4</t>
        </is>
      </c>
      <c r="L346">
        <v>8784</v>
      </c>
      <c r="M346">
        <v>4395</v>
      </c>
      <c r="N346">
        <v>462</v>
      </c>
      <c r="O346">
        <v>800</v>
      </c>
      <c r="P346">
        <v>0.143</v>
      </c>
      <c r="Q346">
        <v>0.714</v>
      </c>
      <c r="R346">
        <v>7729</v>
      </c>
      <c r="S346">
        <v>981</v>
      </c>
      <c r="T346">
        <v>22</v>
      </c>
      <c r="U346">
        <v>1.12</v>
      </c>
      <c r="V346">
        <v>800</v>
      </c>
      <c r="W346">
        <v>0</v>
      </c>
      <c r="X346">
        <v>0</v>
      </c>
      <c r="Y346">
        <v>103.51</v>
      </c>
      <c r="Z346">
        <v>33.33</v>
      </c>
      <c r="AA346">
        <v>13485</v>
      </c>
      <c r="AB346">
        <v>5531</v>
      </c>
      <c r="AC346">
        <v>475</v>
      </c>
      <c r="AD346">
        <v>1.68</v>
      </c>
      <c r="AE346">
        <v>1000</v>
      </c>
      <c r="AF346">
        <v>0.833</v>
      </c>
      <c r="AG346">
        <v>0.166999999999999</v>
      </c>
      <c r="AH346">
        <v>0.13</v>
      </c>
      <c r="AI346">
        <v>74.16</v>
      </c>
      <c r="AJ346">
        <v>1.99</v>
      </c>
      <c r="AK346">
        <v>0</v>
      </c>
      <c r="AL346">
        <v>0</v>
      </c>
      <c r="AM346">
        <v>0</v>
      </c>
      <c r="AN346">
        <v>0</v>
      </c>
      <c r="AO346">
        <v>0</v>
      </c>
      <c r="AP346">
        <v>0.993</v>
      </c>
      <c r="AQ346">
        <v>0.099</v>
      </c>
      <c r="AR346">
        <v>0.068</v>
      </c>
      <c r="AS346" s="3">
        <v>46107.7690162037</v>
      </c>
    </row>
    <row r="347" ht="25.5" customHeight="1">
      <c r="A347" t="inlineStr">
        <is>
          <t>6067ad290000000001008b67</t>
        </is>
      </c>
      <c r="B347" s="2" t="str">
        <f>=HYPERLINK("https://www.xiaohongshu.com/user/profile/6067ad290000000001008b67", "https://www.xiaohongshu.com/user/profile/6067ad290000000001008b67")</f>
        <v>https://www.xiaohongshu.com/user/profile/6067ad290000000001008b67</v>
      </c>
      <c r="C347" s="2" t="str">
        <f>=HYPERLINK("https://pgy.xiaohongshu.com/solar/pre-trade/blogger-detail/6067ad290000000001008b67", "https://pgy.xiaohongshu.com/solar/pre-trade/blogger-detail/6067ad290000000001008b67")</f>
        <v>https://pgy.xiaohongshu.com/solar/pre-trade/blogger-detail/6067ad290000000001008b67</v>
      </c>
      <c r="D347" t="inlineStr">
        <is>
          <t>女</t>
        </is>
      </c>
      <c r="E347" t="inlineStr">
        <is>
          <t>2697455552</t>
        </is>
      </c>
      <c r="F347" t="inlineStr">
        <is>
          <t>上春桥湾</t>
        </is>
      </c>
      <c r="G347" t="inlineStr">
        <is>
          <t>浙江 宁波 鄞州区</t>
        </is>
      </c>
      <c r="H347" t="inlineStr">
        <is>
          <t>学生</t>
        </is>
      </c>
      <c r="I347" t="inlineStr">
        <is>
          <t>兴趣爱好, 教育</t>
        </is>
      </c>
      <c r="J347">
        <v>21634</v>
      </c>
      <c r="K347" t="inlineStr">
        <is>
          <t>2.2</t>
        </is>
      </c>
      <c r="L347">
        <v>13291</v>
      </c>
      <c r="M347">
        <v>3106</v>
      </c>
      <c r="N347">
        <v>284</v>
      </c>
      <c r="O347">
        <v>612</v>
      </c>
      <c r="P347">
        <v>0.098</v>
      </c>
      <c r="Q347">
        <v>0.707</v>
      </c>
      <c r="R347">
        <v>8611</v>
      </c>
      <c r="S347">
        <v>2969</v>
      </c>
      <c r="T347">
        <v>150</v>
      </c>
      <c r="U347">
        <v>0.51</v>
      </c>
      <c r="V347">
        <v>612</v>
      </c>
      <c r="W347">
        <v>0.25</v>
      </c>
      <c r="X347">
        <v>0</v>
      </c>
      <c r="Y347">
        <v>71.07</v>
      </c>
      <c r="Z347">
        <v>3.79</v>
      </c>
      <c r="AA347">
        <v>14378</v>
      </c>
      <c r="AB347">
        <v>3197</v>
      </c>
      <c r="AC347">
        <v>345</v>
      </c>
      <c r="AD347">
        <v>1.72</v>
      </c>
      <c r="AE347">
        <v>700</v>
      </c>
      <c r="AF347">
        <v>0.818</v>
      </c>
      <c r="AG347">
        <v>0.121</v>
      </c>
      <c r="AH347">
        <v>0.072</v>
      </c>
      <c r="AI347">
        <v>44.42</v>
      </c>
      <c r="AJ347">
        <v>2.11</v>
      </c>
      <c r="AK347">
        <v>21187</v>
      </c>
      <c r="AL347">
        <v>3579</v>
      </c>
      <c r="AM347">
        <v>226</v>
      </c>
      <c r="AN347">
        <v>0</v>
      </c>
      <c r="AO347">
        <v>2.06</v>
      </c>
      <c r="AP347">
        <v>0.823</v>
      </c>
      <c r="AQ347">
        <v>0.2</v>
      </c>
      <c r="AR347">
        <v>0.244</v>
      </c>
      <c r="AS347" s="3">
        <v>46107.7690162037</v>
      </c>
    </row>
    <row r="348" ht="25.5" customHeight="1">
      <c r="A348" t="inlineStr">
        <is>
          <t>62d81860000000000303f820</t>
        </is>
      </c>
      <c r="B348" s="2" t="str">
        <f>=HYPERLINK("https://www.xiaohongshu.com/user/profile/62d81860000000000303f820", "https://www.xiaohongshu.com/user/profile/62d81860000000000303f820")</f>
        <v>https://www.xiaohongshu.com/user/profile/62d81860000000000303f820</v>
      </c>
      <c r="C348" s="2" t="str">
        <f>=HYPERLINK("https://pgy.xiaohongshu.com/solar/pre-trade/blogger-detail/62d81860000000000303f820", "https://pgy.xiaohongshu.com/solar/pre-trade/blogger-detail/62d81860000000000303f820")</f>
        <v>https://pgy.xiaohongshu.com/solar/pre-trade/blogger-detail/62d81860000000000303f820</v>
      </c>
      <c r="D348" t="inlineStr">
        <is>
          <t>女</t>
        </is>
      </c>
      <c r="E348" t="inlineStr">
        <is>
          <t>6225478438</t>
        </is>
      </c>
      <c r="F348" t="inlineStr">
        <is>
          <t>我就是我</t>
        </is>
      </c>
      <c r="G348" t="inlineStr">
        <is>
          <t>北京</t>
        </is>
      </c>
      <c r="H348"/>
      <c r="I348" t="inlineStr">
        <is>
          <t>教育, 生活记录</t>
        </is>
      </c>
      <c r="J348">
        <v>14198</v>
      </c>
      <c r="K348" t="inlineStr">
        <is>
          <t>1.4</t>
        </is>
      </c>
      <c r="L348">
        <v>23552</v>
      </c>
      <c r="M348">
        <v>4311</v>
      </c>
      <c r="N348">
        <v>549</v>
      </c>
      <c r="O348">
        <v>366</v>
      </c>
      <c r="P348">
        <v>0.278</v>
      </c>
      <c r="Q348">
        <v>0.944</v>
      </c>
      <c r="R348">
        <v>0</v>
      </c>
      <c r="S348">
        <v>0</v>
      </c>
      <c r="T348">
        <v>0</v>
      </c>
      <c r="U348">
        <v>0</v>
      </c>
      <c r="V348">
        <v>366</v>
      </c>
      <c r="W348">
        <v>0</v>
      </c>
      <c r="X348">
        <v>0</v>
      </c>
      <c r="Y348">
        <v>0</v>
      </c>
      <c r="Z348">
        <v>0</v>
      </c>
      <c r="AA348">
        <v>23552</v>
      </c>
      <c r="AB348">
        <v>4311</v>
      </c>
      <c r="AC348">
        <v>491</v>
      </c>
      <c r="AD348">
        <v>1.69</v>
      </c>
      <c r="AE348">
        <v>800</v>
      </c>
      <c r="AF348">
        <v>0.944</v>
      </c>
      <c r="AG348">
        <v>0.278</v>
      </c>
      <c r="AH348">
        <v>0.013</v>
      </c>
      <c r="AI348">
        <v>33.97</v>
      </c>
      <c r="AJ348">
        <v>1.46</v>
      </c>
      <c r="AK348">
        <v>0</v>
      </c>
      <c r="AL348">
        <v>0</v>
      </c>
      <c r="AM348">
        <v>0</v>
      </c>
      <c r="AN348">
        <v>0</v>
      </c>
      <c r="AO348">
        <v>0</v>
      </c>
      <c r="AP348">
        <v>0.973</v>
      </c>
      <c r="AQ348">
        <v>0.243</v>
      </c>
      <c r="AR348">
        <v>0.613</v>
      </c>
      <c r="AS348" s="3">
        <v>46107.7690162037</v>
      </c>
    </row>
    <row r="349" ht="25.5" customHeight="1">
      <c r="A349" t="inlineStr">
        <is>
          <t>64816138000000000f007902</t>
        </is>
      </c>
      <c r="B349" s="2" t="str">
        <f>=HYPERLINK("https://www.xiaohongshu.com/user/profile/64816138000000000f007902", "https://www.xiaohongshu.com/user/profile/64816138000000000f007902")</f>
        <v>https://www.xiaohongshu.com/user/profile/64816138000000000f007902</v>
      </c>
      <c r="C349" s="2" t="str">
        <f>=HYPERLINK("https://pgy.xiaohongshu.com/solar/pre-trade/blogger-detail/64816138000000000f007902", "https://pgy.xiaohongshu.com/solar/pre-trade/blogger-detail/64816138000000000f007902")</f>
        <v>https://pgy.xiaohongshu.com/solar/pre-trade/blogger-detail/64816138000000000f007902</v>
      </c>
      <c r="D349" t="inlineStr">
        <is>
          <t>女</t>
        </is>
      </c>
      <c r="E349" t="inlineStr">
        <is>
          <t>Nov7_YK</t>
        </is>
      </c>
      <c r="F349" t="inlineStr">
        <is>
          <t>是西红柿总会发光的</t>
        </is>
      </c>
      <c r="G349" t="inlineStr">
        <is>
          <t>北京</t>
        </is>
      </c>
      <c r="H349" t="inlineStr">
        <is>
          <t>学生</t>
        </is>
      </c>
      <c r="I349" t="inlineStr">
        <is>
          <t>教育</t>
        </is>
      </c>
      <c r="J349">
        <v>6623</v>
      </c>
      <c r="K349" t="inlineStr">
        <is>
          <t>0.7</t>
        </is>
      </c>
      <c r="L349">
        <v>53321</v>
      </c>
      <c r="M349">
        <v>8629</v>
      </c>
      <c r="N349">
        <v>1333</v>
      </c>
      <c r="O349">
        <v>229</v>
      </c>
      <c r="P349">
        <v>0.4</v>
      </c>
      <c r="Q349">
        <v>0.8</v>
      </c>
      <c r="R349">
        <v>53321</v>
      </c>
      <c r="S349">
        <v>8629</v>
      </c>
      <c r="T349">
        <v>1003</v>
      </c>
      <c r="U349">
        <v>0.33</v>
      </c>
      <c r="V349">
        <v>229</v>
      </c>
      <c r="W349">
        <v>0.8</v>
      </c>
      <c r="X349">
        <v>0.4</v>
      </c>
      <c r="Y349">
        <v>5.03</v>
      </c>
      <c r="Z349">
        <v>0.2</v>
      </c>
      <c r="AA349">
        <v>0</v>
      </c>
      <c r="AB349">
        <v>0</v>
      </c>
      <c r="AC349">
        <v>0</v>
      </c>
      <c r="AD349">
        <v>0</v>
      </c>
      <c r="AE349">
        <v>419</v>
      </c>
      <c r="AF349">
        <v>0</v>
      </c>
      <c r="AG349">
        <v>0</v>
      </c>
      <c r="AH349">
        <v>0</v>
      </c>
      <c r="AI349">
        <v>0</v>
      </c>
      <c r="AJ349">
        <v>0</v>
      </c>
      <c r="AK349">
        <v>2622</v>
      </c>
      <c r="AL349">
        <v>92</v>
      </c>
      <c r="AM349">
        <v>11</v>
      </c>
      <c r="AN349">
        <v>0</v>
      </c>
      <c r="AO349">
        <v>33.4</v>
      </c>
      <c r="AP349">
        <v>0.920999999999999</v>
      </c>
      <c r="AQ349">
        <v>0.253</v>
      </c>
      <c r="AR349">
        <v>0.437</v>
      </c>
      <c r="AS349" s="3">
        <v>46107.7690162037</v>
      </c>
    </row>
    <row r="350" ht="25.5" customHeight="1">
      <c r="A350" t="inlineStr">
        <is>
          <t>5e4ca12500000000010090b2</t>
        </is>
      </c>
      <c r="B350" s="2" t="str">
        <f>=HYPERLINK("https://www.xiaohongshu.com/user/profile/5e4ca12500000000010090b2", "https://www.xiaohongshu.com/user/profile/5e4ca12500000000010090b2")</f>
        <v>https://www.xiaohongshu.com/user/profile/5e4ca12500000000010090b2</v>
      </c>
      <c r="C350" s="2" t="str">
        <f>=HYPERLINK("https://pgy.xiaohongshu.com/solar/pre-trade/blogger-detail/5e4ca12500000000010090b2", "https://pgy.xiaohongshu.com/solar/pre-trade/blogger-detail/5e4ca12500000000010090b2")</f>
        <v>https://pgy.xiaohongshu.com/solar/pre-trade/blogger-detail/5e4ca12500000000010090b2</v>
      </c>
      <c r="D350" t="inlineStr">
        <is>
          <t>女</t>
        </is>
      </c>
      <c r="E350" t="inlineStr">
        <is>
          <t>790370057</t>
        </is>
      </c>
      <c r="F350" t="inlineStr">
        <is>
          <t>噜啦噜啦来了</t>
        </is>
      </c>
      <c r="G350" t="inlineStr">
        <is>
          <t>上海</t>
        </is>
      </c>
      <c r="H350" t="inlineStr">
        <is>
          <t>学生</t>
        </is>
      </c>
      <c r="I350" t="inlineStr">
        <is>
          <t>教育, 生活记录</t>
        </is>
      </c>
      <c r="J350">
        <v>10663</v>
      </c>
      <c r="K350" t="inlineStr">
        <is>
          <t>1.1</t>
        </is>
      </c>
      <c r="L350">
        <v>11864</v>
      </c>
      <c r="M350">
        <v>1423</v>
      </c>
      <c r="N350">
        <v>246</v>
      </c>
      <c r="O350">
        <v>1300</v>
      </c>
      <c r="P350">
        <v>0</v>
      </c>
      <c r="Q350">
        <v>1</v>
      </c>
      <c r="R350">
        <v>11864</v>
      </c>
      <c r="S350">
        <v>1423</v>
      </c>
      <c r="T350">
        <v>206</v>
      </c>
      <c r="U350">
        <v>1.21</v>
      </c>
      <c r="V350">
        <v>1300</v>
      </c>
      <c r="W350">
        <v>1</v>
      </c>
      <c r="X350">
        <v>0</v>
      </c>
      <c r="Y350">
        <v>109.58</v>
      </c>
      <c r="Z350">
        <v>5.28</v>
      </c>
      <c r="AA350">
        <v>0</v>
      </c>
      <c r="AB350">
        <v>0</v>
      </c>
      <c r="AC350">
        <v>0</v>
      </c>
      <c r="AD350">
        <v>1.7</v>
      </c>
      <c r="AE350">
        <v>1700</v>
      </c>
      <c r="AF350">
        <v>0</v>
      </c>
      <c r="AG350">
        <v>0</v>
      </c>
      <c r="AH350">
        <v>0</v>
      </c>
      <c r="AI350">
        <v>58.95</v>
      </c>
      <c r="AJ350">
        <v>1.36</v>
      </c>
      <c r="AK350">
        <v>34407</v>
      </c>
      <c r="AL350">
        <v>5034</v>
      </c>
      <c r="AM350">
        <v>1050</v>
      </c>
      <c r="AN350">
        <v>0</v>
      </c>
      <c r="AO350">
        <v>5.51</v>
      </c>
      <c r="AP350">
        <v>0.807999999999999</v>
      </c>
      <c r="AQ350">
        <v>0.035</v>
      </c>
      <c r="AR350">
        <v>0.043</v>
      </c>
      <c r="AS350" s="3">
        <v>46107.7690162037</v>
      </c>
    </row>
    <row r="351" ht="25.5" customHeight="1">
      <c r="A351" t="inlineStr">
        <is>
          <t>65bb8fb70000000019022c68</t>
        </is>
      </c>
      <c r="B351" s="2" t="str">
        <f>=HYPERLINK("https://www.xiaohongshu.com/user/profile/65bb8fb70000000019022c68", "https://www.xiaohongshu.com/user/profile/65bb8fb70000000019022c68")</f>
        <v>https://www.xiaohongshu.com/user/profile/65bb8fb70000000019022c68</v>
      </c>
      <c r="C351" s="2" t="str">
        <f>=HYPERLINK("https://pgy.xiaohongshu.com/solar/pre-trade/blogger-detail/65bb8fb70000000019022c68", "https://pgy.xiaohongshu.com/solar/pre-trade/blogger-detail/65bb8fb70000000019022c68")</f>
        <v>https://pgy.xiaohongshu.com/solar/pre-trade/blogger-detail/65bb8fb70000000019022c68</v>
      </c>
      <c r="D351" t="inlineStr">
        <is>
          <t>男</t>
        </is>
      </c>
      <c r="E351" t="inlineStr">
        <is>
          <t>42648293546</t>
        </is>
      </c>
      <c r="F351" t="inlineStr">
        <is>
          <t>聪明的番薯（留德版）</t>
        </is>
      </c>
      <c r="G351" t="inlineStr">
        <is>
          <t>德国</t>
        </is>
      </c>
      <c r="H351" t="inlineStr">
        <is>
          <t>留学背景</t>
        </is>
      </c>
      <c r="I351" t="inlineStr">
        <is>
          <t>教育</t>
        </is>
      </c>
      <c r="J351">
        <v>2657</v>
      </c>
      <c r="K351" t="inlineStr">
        <is>
          <t>0.3</t>
        </is>
      </c>
      <c r="L351">
        <v>6786</v>
      </c>
      <c r="M351">
        <v>1209</v>
      </c>
      <c r="N351">
        <v>232</v>
      </c>
      <c r="O351">
        <v>290</v>
      </c>
      <c r="P351">
        <v>0</v>
      </c>
      <c r="Q351">
        <v>0.462</v>
      </c>
      <c r="R351">
        <v>6786</v>
      </c>
      <c r="S351">
        <v>1209</v>
      </c>
      <c r="T351">
        <v>164</v>
      </c>
      <c r="U351">
        <v>0.54</v>
      </c>
      <c r="V351">
        <v>290</v>
      </c>
      <c r="W351">
        <v>0.462</v>
      </c>
      <c r="X351">
        <v>0</v>
      </c>
      <c r="Y351">
        <v>42.74</v>
      </c>
      <c r="Z351">
        <v>1.25</v>
      </c>
      <c r="AA351">
        <v>0</v>
      </c>
      <c r="AB351">
        <v>0</v>
      </c>
      <c r="AC351">
        <v>0</v>
      </c>
      <c r="AD351">
        <v>0</v>
      </c>
      <c r="AE351">
        <v>732</v>
      </c>
      <c r="AF351">
        <v>0</v>
      </c>
      <c r="AG351">
        <v>0</v>
      </c>
      <c r="AH351">
        <v>0</v>
      </c>
      <c r="AI351">
        <v>0</v>
      </c>
      <c r="AJ351">
        <v>0</v>
      </c>
      <c r="AK351">
        <v>0</v>
      </c>
      <c r="AL351">
        <v>0</v>
      </c>
      <c r="AM351">
        <v>0</v>
      </c>
      <c r="AN351">
        <v>0</v>
      </c>
      <c r="AO351">
        <v>0</v>
      </c>
      <c r="AP351">
        <v>0.949</v>
      </c>
      <c r="AQ351">
        <v>0.201999999999999</v>
      </c>
      <c r="AR351">
        <v>0.31</v>
      </c>
      <c r="AS351" s="3">
        <v>46107.7690162037</v>
      </c>
    </row>
    <row r="352" ht="25.5" customHeight="1">
      <c r="A352" t="inlineStr">
        <is>
          <t>5cff8704000000001603878a</t>
        </is>
      </c>
      <c r="B352" s="2" t="str">
        <f>=HYPERLINK("https://www.xiaohongshu.com/user/profile/5cff8704000000001603878a", "https://www.xiaohongshu.com/user/profile/5cff8704000000001603878a")</f>
        <v>https://www.xiaohongshu.com/user/profile/5cff8704000000001603878a</v>
      </c>
      <c r="C352" s="2" t="str">
        <f>=HYPERLINK("https://pgy.xiaohongshu.com/solar/pre-trade/blogger-detail/5cff8704000000001603878a", "https://pgy.xiaohongshu.com/solar/pre-trade/blogger-detail/5cff8704000000001603878a")</f>
        <v>https://pgy.xiaohongshu.com/solar/pre-trade/blogger-detail/5cff8704000000001603878a</v>
      </c>
      <c r="D352" t="inlineStr">
        <is>
          <t>女</t>
        </is>
      </c>
      <c r="E352" t="inlineStr">
        <is>
          <t>getshitdone</t>
        </is>
      </c>
      <c r="F352" t="inlineStr">
        <is>
          <t>小谢同学在努力呀</t>
        </is>
      </c>
      <c r="G352" t="inlineStr">
        <is>
          <t>马来西亚</t>
        </is>
      </c>
      <c r="H352" t="inlineStr">
        <is>
          <t>考研过来人, 海外华人, 学生</t>
        </is>
      </c>
      <c r="I352" t="inlineStr">
        <is>
          <t>教育</t>
        </is>
      </c>
      <c r="J352">
        <v>21597</v>
      </c>
      <c r="K352" t="inlineStr">
        <is>
          <t>2.2</t>
        </is>
      </c>
      <c r="L352">
        <v>8801</v>
      </c>
      <c r="M352">
        <v>3489</v>
      </c>
      <c r="N352">
        <v>290</v>
      </c>
      <c r="O352">
        <v>1500</v>
      </c>
      <c r="P352">
        <v>0</v>
      </c>
      <c r="Q352">
        <v>1</v>
      </c>
      <c r="R352">
        <v>0</v>
      </c>
      <c r="S352">
        <v>0</v>
      </c>
      <c r="T352">
        <v>0</v>
      </c>
      <c r="U352">
        <v>1.14</v>
      </c>
      <c r="V352">
        <v>1800</v>
      </c>
      <c r="W352">
        <v>0</v>
      </c>
      <c r="X352">
        <v>0</v>
      </c>
      <c r="Y352">
        <v>261.86</v>
      </c>
      <c r="Z352">
        <v>19.35</v>
      </c>
      <c r="AA352">
        <v>8801</v>
      </c>
      <c r="AB352">
        <v>3489</v>
      </c>
      <c r="AC352">
        <v>293</v>
      </c>
      <c r="AD352">
        <v>1.93</v>
      </c>
      <c r="AE352">
        <v>1500</v>
      </c>
      <c r="AF352">
        <v>1</v>
      </c>
      <c r="AG352">
        <v>0</v>
      </c>
      <c r="AH352">
        <v>0.133</v>
      </c>
      <c r="AI352">
        <v>170.44</v>
      </c>
      <c r="AJ352">
        <v>5.17</v>
      </c>
      <c r="AK352">
        <v>7448</v>
      </c>
      <c r="AL352">
        <v>2214</v>
      </c>
      <c r="AM352">
        <v>273</v>
      </c>
      <c r="AN352">
        <v>0</v>
      </c>
      <c r="AO352">
        <v>0</v>
      </c>
      <c r="AP352">
        <v>0.694</v>
      </c>
      <c r="AQ352">
        <v>0.122</v>
      </c>
      <c r="AR352">
        <v>0.019</v>
      </c>
      <c r="AS352" s="3">
        <v>46107.7690162037</v>
      </c>
    </row>
    <row r="353" ht="25.5" customHeight="1">
      <c r="A353" t="inlineStr">
        <is>
          <t>63b6444f000000002801b295</t>
        </is>
      </c>
      <c r="B353" s="2" t="str">
        <f>=HYPERLINK("https://www.xiaohongshu.com/user/profile/63b6444f000000002801b295", "https://www.xiaohongshu.com/user/profile/63b6444f000000002801b295")</f>
        <v>https://www.xiaohongshu.com/user/profile/63b6444f000000002801b295</v>
      </c>
      <c r="C353" s="2" t="str">
        <f>=HYPERLINK("https://pgy.xiaohongshu.com/solar/pre-trade/blogger-detail/63b6444f000000002801b295", "https://pgy.xiaohongshu.com/solar/pre-trade/blogger-detail/63b6444f000000002801b295")</f>
        <v>https://pgy.xiaohongshu.com/solar/pre-trade/blogger-detail/63b6444f000000002801b295</v>
      </c>
      <c r="D353" t="inlineStr">
        <is>
          <t>女</t>
        </is>
      </c>
      <c r="E353" t="inlineStr">
        <is>
          <t>3857404810</t>
        </is>
      </c>
      <c r="F353" t="inlineStr">
        <is>
          <t>大羊海外职场Talk</t>
        </is>
      </c>
      <c r="G353" t="inlineStr">
        <is>
          <t>新西兰</t>
        </is>
      </c>
      <c r="H353" t="inlineStr">
        <is>
          <t>海外华人</t>
        </is>
      </c>
      <c r="I353" t="inlineStr">
        <is>
          <t>职场</t>
        </is>
      </c>
      <c r="J353">
        <v>40364</v>
      </c>
      <c r="K353" t="inlineStr">
        <is>
          <t>4.0</t>
        </is>
      </c>
      <c r="L353">
        <v>70255</v>
      </c>
      <c r="M353">
        <v>10289</v>
      </c>
      <c r="N353">
        <v>1629</v>
      </c>
      <c r="O353">
        <v>920</v>
      </c>
      <c r="P353">
        <v>0.4</v>
      </c>
      <c r="Q353">
        <v>0.8</v>
      </c>
      <c r="R353">
        <v>70255</v>
      </c>
      <c r="S353">
        <v>10289</v>
      </c>
      <c r="T353">
        <v>1499</v>
      </c>
      <c r="U353">
        <v>0.34</v>
      </c>
      <c r="V353">
        <v>920</v>
      </c>
      <c r="W353">
        <v>0.8</v>
      </c>
      <c r="X353">
        <v>0.4</v>
      </c>
      <c r="Y353">
        <v>10.66</v>
      </c>
      <c r="Z353">
        <v>0.24</v>
      </c>
      <c r="AA353">
        <v>0</v>
      </c>
      <c r="AB353">
        <v>0</v>
      </c>
      <c r="AC353">
        <v>0</v>
      </c>
      <c r="AD353">
        <v>0</v>
      </c>
      <c r="AE353">
        <v>2500</v>
      </c>
      <c r="AF353">
        <v>0</v>
      </c>
      <c r="AG353">
        <v>0</v>
      </c>
      <c r="AH353">
        <v>0</v>
      </c>
      <c r="AI353">
        <v>0</v>
      </c>
      <c r="AJ353">
        <v>0</v>
      </c>
      <c r="AK353">
        <v>123770</v>
      </c>
      <c r="AL353">
        <v>28916</v>
      </c>
      <c r="AM353">
        <v>7741</v>
      </c>
      <c r="AN353">
        <v>0</v>
      </c>
      <c r="AO353">
        <v>0</v>
      </c>
      <c r="AP353">
        <v>0.907</v>
      </c>
      <c r="AQ353">
        <v>0.072</v>
      </c>
      <c r="AR353">
        <v>0.024</v>
      </c>
      <c r="AS353" s="3">
        <v>46107.7690162037</v>
      </c>
    </row>
    <row r="354" ht="25.5" customHeight="1">
      <c r="A354" t="inlineStr">
        <is>
          <t>59367675db2e605a4254b4c5</t>
        </is>
      </c>
      <c r="B354" s="2" t="str">
        <f>=HYPERLINK("https://www.xiaohongshu.com/user/profile/59367675db2e605a4254b4c5", "https://www.xiaohongshu.com/user/profile/59367675db2e605a4254b4c5")</f>
        <v>https://www.xiaohongshu.com/user/profile/59367675db2e605a4254b4c5</v>
      </c>
      <c r="C354" s="2" t="str">
        <f>=HYPERLINK("https://pgy.xiaohongshu.com/solar/pre-trade/blogger-detail/59367675db2e605a4254b4c5", "https://pgy.xiaohongshu.com/solar/pre-trade/blogger-detail/59367675db2e605a4254b4c5")</f>
        <v>https://pgy.xiaohongshu.com/solar/pre-trade/blogger-detail/59367675db2e605a4254b4c5</v>
      </c>
      <c r="D354" t="inlineStr">
        <is>
          <t>男</t>
        </is>
      </c>
      <c r="E354" t="inlineStr">
        <is>
          <t>947299892</t>
        </is>
      </c>
      <c r="F354" t="inlineStr">
        <is>
          <t>景观幸存者RealTalk</t>
        </is>
      </c>
      <c r="G354" t="inlineStr">
        <is>
          <t>山东 济南 历城区</t>
        </is>
      </c>
      <c r="H354" t="inlineStr">
        <is>
          <t>考研过来人, 工程师</t>
        </is>
      </c>
      <c r="I354" t="inlineStr">
        <is>
          <t>教育</t>
        </is>
      </c>
      <c r="J354">
        <v>2084</v>
      </c>
      <c r="K354" t="inlineStr">
        <is>
          <t>0.2</t>
        </is>
      </c>
      <c r="L354">
        <v>17203</v>
      </c>
      <c r="M354">
        <v>5626</v>
      </c>
      <c r="N354">
        <v>201</v>
      </c>
      <c r="O354">
        <v>239</v>
      </c>
      <c r="P354">
        <v>0</v>
      </c>
      <c r="Q354">
        <v>0.4</v>
      </c>
      <c r="R354">
        <v>0</v>
      </c>
      <c r="S354">
        <v>0</v>
      </c>
      <c r="T354">
        <v>0</v>
      </c>
      <c r="U354">
        <v>0</v>
      </c>
      <c r="V354">
        <v>239</v>
      </c>
      <c r="W354">
        <v>0</v>
      </c>
      <c r="X354">
        <v>0</v>
      </c>
      <c r="Y354">
        <v>0</v>
      </c>
      <c r="Z354">
        <v>0</v>
      </c>
      <c r="AA354">
        <v>17203</v>
      </c>
      <c r="AB354">
        <v>5626</v>
      </c>
      <c r="AC354">
        <v>185</v>
      </c>
      <c r="AD354">
        <v>1.6</v>
      </c>
      <c r="AE354">
        <v>546</v>
      </c>
      <c r="AF354">
        <v>0.4</v>
      </c>
      <c r="AG354">
        <v>0</v>
      </c>
      <c r="AH354">
        <v>0.152</v>
      </c>
      <c r="AI354">
        <v>31.74</v>
      </c>
      <c r="AJ354">
        <v>2.72</v>
      </c>
      <c r="AK354">
        <v>0</v>
      </c>
      <c r="AL354">
        <v>0</v>
      </c>
      <c r="AM354">
        <v>0</v>
      </c>
      <c r="AN354">
        <v>0</v>
      </c>
      <c r="AO354">
        <v>0</v>
      </c>
      <c r="AP354">
        <v>0.982</v>
      </c>
      <c r="AQ354">
        <v>0.111</v>
      </c>
      <c r="AR354">
        <v>0</v>
      </c>
      <c r="AS354" s="3">
        <v>46107.7690162037</v>
      </c>
    </row>
    <row r="355" ht="25.5" customHeight="1">
      <c r="A355" t="inlineStr">
        <is>
          <t>631a0c12000000001b003097</t>
        </is>
      </c>
      <c r="B355" s="2" t="str">
        <f>=HYPERLINK("https://www.xiaohongshu.com/user/profile/631a0c12000000001b003097", "https://www.xiaohongshu.com/user/profile/631a0c12000000001b003097")</f>
        <v>https://www.xiaohongshu.com/user/profile/631a0c12000000001b003097</v>
      </c>
      <c r="C355" s="2" t="str">
        <f>=HYPERLINK("https://pgy.xiaohongshu.com/solar/pre-trade/blogger-detail/631a0c12000000001b003097", "https://pgy.xiaohongshu.com/solar/pre-trade/blogger-detail/631a0c12000000001b003097")</f>
        <v>https://pgy.xiaohongshu.com/solar/pre-trade/blogger-detail/631a0c12000000001b003097</v>
      </c>
      <c r="D355" t="inlineStr">
        <is>
          <t>女</t>
        </is>
      </c>
      <c r="E355" t="inlineStr">
        <is>
          <t>8427165637</t>
        </is>
      </c>
      <c r="F355" t="inlineStr">
        <is>
          <t>Elsa_aike</t>
        </is>
      </c>
      <c r="G355" t="inlineStr">
        <is>
          <t>北京</t>
        </is>
      </c>
      <c r="H355"/>
      <c r="I355" t="inlineStr">
        <is>
          <t>影视综资讯, 教育</t>
        </is>
      </c>
      <c r="J355">
        <v>6289</v>
      </c>
      <c r="K355" t="inlineStr">
        <is>
          <t>0.6</t>
        </is>
      </c>
      <c r="L355">
        <v>2919</v>
      </c>
      <c r="M355">
        <v>1491</v>
      </c>
      <c r="N355">
        <v>273</v>
      </c>
      <c r="O355">
        <v>160</v>
      </c>
      <c r="P355">
        <v>0.129</v>
      </c>
      <c r="Q355">
        <v>0.742</v>
      </c>
      <c r="R355">
        <v>0</v>
      </c>
      <c r="S355">
        <v>0</v>
      </c>
      <c r="T355">
        <v>0</v>
      </c>
      <c r="U355">
        <v>0</v>
      </c>
      <c r="V355">
        <v>160</v>
      </c>
      <c r="W355">
        <v>0</v>
      </c>
      <c r="X355">
        <v>0</v>
      </c>
      <c r="Y355">
        <v>0</v>
      </c>
      <c r="Z355">
        <v>0</v>
      </c>
      <c r="AA355">
        <v>2919</v>
      </c>
      <c r="AB355">
        <v>1491</v>
      </c>
      <c r="AC355">
        <v>261</v>
      </c>
      <c r="AD355">
        <v>1.68</v>
      </c>
      <c r="AE355">
        <v>260</v>
      </c>
      <c r="AF355">
        <v>0.742</v>
      </c>
      <c r="AG355">
        <v>0.129</v>
      </c>
      <c r="AH355">
        <v>0.221</v>
      </c>
      <c r="AI355">
        <v>101.84</v>
      </c>
      <c r="AJ355">
        <v>1.06</v>
      </c>
      <c r="AK355">
        <v>1525</v>
      </c>
      <c r="AL355">
        <v>269</v>
      </c>
      <c r="AM355">
        <v>10</v>
      </c>
      <c r="AN355">
        <v>0</v>
      </c>
      <c r="AO355">
        <v>0</v>
      </c>
      <c r="AP355">
        <v>0.965</v>
      </c>
      <c r="AQ355">
        <v>0.355</v>
      </c>
      <c r="AR355">
        <v>0.442</v>
      </c>
      <c r="AS355" s="3">
        <v>46107.7690162037</v>
      </c>
    </row>
    <row r="356" ht="25.5" customHeight="1">
      <c r="A356" t="inlineStr">
        <is>
          <t>6508e18700000000120053d6</t>
        </is>
      </c>
      <c r="B356" s="2" t="str">
        <f>=HYPERLINK("https://www.xiaohongshu.com/user/profile/6508e18700000000120053d6", "https://www.xiaohongshu.com/user/profile/6508e18700000000120053d6")</f>
        <v>https://www.xiaohongshu.com/user/profile/6508e18700000000120053d6</v>
      </c>
      <c r="C356" s="2" t="str">
        <f>=HYPERLINK("https://pgy.xiaohongshu.com/solar/pre-trade/blogger-detail/6508e18700000000120053d6", "https://pgy.xiaohongshu.com/solar/pre-trade/blogger-detail/6508e18700000000120053d6")</f>
        <v>https://pgy.xiaohongshu.com/solar/pre-trade/blogger-detail/6508e18700000000120053d6</v>
      </c>
      <c r="D356" t="inlineStr">
        <is>
          <t>女</t>
        </is>
      </c>
      <c r="E356" t="inlineStr">
        <is>
          <t>xl10stx</t>
        </is>
      </c>
      <c r="F356" t="inlineStr">
        <is>
          <t>霸王冰奶茶</t>
        </is>
      </c>
      <c r="G356" t="inlineStr">
        <is>
          <t>浙江 杭州 西湖区</t>
        </is>
      </c>
      <c r="H356"/>
      <c r="I356" t="inlineStr">
        <is>
          <t>教育</t>
        </is>
      </c>
      <c r="J356">
        <v>6123</v>
      </c>
      <c r="K356" t="inlineStr">
        <is>
          <t>0.6</t>
        </is>
      </c>
      <c r="L356">
        <v>4687</v>
      </c>
      <c r="M356">
        <v>1685</v>
      </c>
      <c r="N356">
        <v>229</v>
      </c>
      <c r="O356">
        <v>234</v>
      </c>
      <c r="P356">
        <v>0.2</v>
      </c>
      <c r="Q356">
        <v>0.4</v>
      </c>
      <c r="R356">
        <v>9441</v>
      </c>
      <c r="S356">
        <v>2821</v>
      </c>
      <c r="T356">
        <v>215</v>
      </c>
      <c r="U356">
        <v>0.44</v>
      </c>
      <c r="V356">
        <v>234</v>
      </c>
      <c r="W356">
        <v>0.332999999999999</v>
      </c>
      <c r="X356">
        <v>0.332999999999999</v>
      </c>
      <c r="Y356">
        <v>30.2</v>
      </c>
      <c r="Z356">
        <v>1.97</v>
      </c>
      <c r="AA356">
        <v>2642</v>
      </c>
      <c r="AB356">
        <v>918</v>
      </c>
      <c r="AC356">
        <v>107</v>
      </c>
      <c r="AD356">
        <v>1.77</v>
      </c>
      <c r="AE356">
        <v>428</v>
      </c>
      <c r="AF356">
        <v>0.5</v>
      </c>
      <c r="AG356">
        <v>0</v>
      </c>
      <c r="AH356">
        <v>0.018</v>
      </c>
      <c r="AI356">
        <v>41.25</v>
      </c>
      <c r="AJ356">
        <v>1.45</v>
      </c>
      <c r="AK356">
        <v>10747</v>
      </c>
      <c r="AL356">
        <v>1496</v>
      </c>
      <c r="AM356">
        <v>341</v>
      </c>
      <c r="AN356">
        <v>0</v>
      </c>
      <c r="AO356">
        <v>16.8</v>
      </c>
      <c r="AP356">
        <v>0.932999999999999</v>
      </c>
      <c r="AQ356">
        <v>0.214</v>
      </c>
      <c r="AR356">
        <v>0.42</v>
      </c>
      <c r="AS356" s="3">
        <v>46107.7690162037</v>
      </c>
    </row>
    <row r="357" ht="25.5" customHeight="1">
      <c r="A357" t="inlineStr">
        <is>
          <t>5f3a8726000000000100a11c</t>
        </is>
      </c>
      <c r="B357" s="2" t="str">
        <f>=HYPERLINK("https://www.xiaohongshu.com/user/profile/5f3a8726000000000100a11c", "https://www.xiaohongshu.com/user/profile/5f3a8726000000000100a11c")</f>
        <v>https://www.xiaohongshu.com/user/profile/5f3a8726000000000100a11c</v>
      </c>
      <c r="C357" s="2" t="str">
        <f>=HYPERLINK("https://pgy.xiaohongshu.com/solar/pre-trade/blogger-detail/5f3a8726000000000100a11c", "https://pgy.xiaohongshu.com/solar/pre-trade/blogger-detail/5f3a8726000000000100a11c")</f>
        <v>https://pgy.xiaohongshu.com/solar/pre-trade/blogger-detail/5f3a8726000000000100a11c</v>
      </c>
      <c r="D357" t="inlineStr">
        <is>
          <t>女</t>
        </is>
      </c>
      <c r="E357" t="inlineStr">
        <is>
          <t>322954610</t>
        </is>
      </c>
      <c r="F357" t="inlineStr">
        <is>
          <t>-哞哞子</t>
        </is>
      </c>
      <c r="G357" t="inlineStr">
        <is>
          <t>江苏 南京 浦口区</t>
        </is>
      </c>
      <c r="H357" t="inlineStr">
        <is>
          <t>法考过来人, 户外爱好者, 学生, 模特</t>
        </is>
      </c>
      <c r="I357" t="inlineStr">
        <is>
          <t>生活记录</t>
        </is>
      </c>
      <c r="J357">
        <v>3994</v>
      </c>
      <c r="K357" t="inlineStr">
        <is>
          <t>0.4</t>
        </is>
      </c>
      <c r="L357">
        <v>15157</v>
      </c>
      <c r="M357">
        <v>1505</v>
      </c>
      <c r="N357">
        <v>105</v>
      </c>
      <c r="O357">
        <v>400</v>
      </c>
      <c r="P357">
        <v>0</v>
      </c>
      <c r="Q357">
        <v>0.375</v>
      </c>
      <c r="R357">
        <v>31655</v>
      </c>
      <c r="S357">
        <v>2784</v>
      </c>
      <c r="T357">
        <v>138</v>
      </c>
      <c r="U357">
        <v>0.44</v>
      </c>
      <c r="V357">
        <v>400</v>
      </c>
      <c r="W357">
        <v>0.5</v>
      </c>
      <c r="X357">
        <v>0</v>
      </c>
      <c r="Y357">
        <v>12.64</v>
      </c>
      <c r="Z357">
        <v>2.32</v>
      </c>
      <c r="AA357">
        <v>3637</v>
      </c>
      <c r="AB357">
        <v>581</v>
      </c>
      <c r="AC357">
        <v>48</v>
      </c>
      <c r="AD357">
        <v>2.36</v>
      </c>
      <c r="AE357">
        <v>500</v>
      </c>
      <c r="AF357">
        <v>0</v>
      </c>
      <c r="AG357">
        <v>0</v>
      </c>
      <c r="AH357">
        <v>0.115999999999999</v>
      </c>
      <c r="AI357">
        <v>137.46</v>
      </c>
      <c r="AJ357">
        <v>8.93</v>
      </c>
      <c r="AK357">
        <v>0</v>
      </c>
      <c r="AL357">
        <v>0</v>
      </c>
      <c r="AM357">
        <v>0</v>
      </c>
      <c r="AN357">
        <v>0</v>
      </c>
      <c r="AO357">
        <v>0</v>
      </c>
      <c r="AP357">
        <v>0.868</v>
      </c>
      <c r="AQ357">
        <v>0.044</v>
      </c>
      <c r="AR357">
        <v>0.045</v>
      </c>
      <c r="AS357" s="3">
        <v>46107.7690162037</v>
      </c>
    </row>
    <row r="358" ht="25.5" customHeight="1">
      <c r="A358" t="inlineStr">
        <is>
          <t>644a8555000000000f0059ff</t>
        </is>
      </c>
      <c r="B358" s="2" t="str">
        <f>=HYPERLINK("https://www.xiaohongshu.com/user/profile/644a8555000000000f0059ff", "https://www.xiaohongshu.com/user/profile/644a8555000000000f0059ff")</f>
        <v>https://www.xiaohongshu.com/user/profile/644a8555000000000f0059ff</v>
      </c>
      <c r="C358" s="2" t="str">
        <f>=HYPERLINK("https://pgy.xiaohongshu.com/solar/pre-trade/blogger-detail/644a8555000000000f0059ff", "https://pgy.xiaohongshu.com/solar/pre-trade/blogger-detail/644a8555000000000f0059ff")</f>
        <v>https://pgy.xiaohongshu.com/solar/pre-trade/blogger-detail/644a8555000000000f0059ff</v>
      </c>
      <c r="D358" t="inlineStr">
        <is>
          <t>女</t>
        </is>
      </c>
      <c r="E358" t="inlineStr">
        <is>
          <t>2298474825</t>
        </is>
      </c>
      <c r="F358" t="inlineStr">
        <is>
          <t>Anny的学习笔记</t>
        </is>
      </c>
      <c r="G358" t="inlineStr">
        <is>
          <t>新疆 和田地区 和田市</t>
        </is>
      </c>
      <c r="H358" t="inlineStr">
        <is>
          <t>学生, 翻译</t>
        </is>
      </c>
      <c r="I358" t="inlineStr">
        <is>
          <t>教育</t>
        </is>
      </c>
      <c r="J358">
        <v>32211</v>
      </c>
      <c r="K358" t="inlineStr">
        <is>
          <t>3.2</t>
        </is>
      </c>
      <c r="L358">
        <v>22411</v>
      </c>
      <c r="M358">
        <v>2437</v>
      </c>
      <c r="N358">
        <v>448</v>
      </c>
      <c r="O358">
        <v>800</v>
      </c>
      <c r="P358">
        <v>0</v>
      </c>
      <c r="Q358">
        <v>0.5</v>
      </c>
      <c r="R358">
        <v>22411</v>
      </c>
      <c r="S358">
        <v>2437</v>
      </c>
      <c r="T358">
        <v>347</v>
      </c>
      <c r="U358">
        <v>0.63</v>
      </c>
      <c r="V358">
        <v>800</v>
      </c>
      <c r="W358">
        <v>0.5</v>
      </c>
      <c r="X358">
        <v>0</v>
      </c>
      <c r="Y358">
        <v>35.7</v>
      </c>
      <c r="Z358">
        <v>1.79</v>
      </c>
      <c r="AA358">
        <v>0</v>
      </c>
      <c r="AB358">
        <v>0</v>
      </c>
      <c r="AC358">
        <v>0</v>
      </c>
      <c r="AD358">
        <v>0</v>
      </c>
      <c r="AE358">
        <v>2797</v>
      </c>
      <c r="AF358">
        <v>0</v>
      </c>
      <c r="AG358">
        <v>0</v>
      </c>
      <c r="AH358">
        <v>0</v>
      </c>
      <c r="AI358">
        <v>0</v>
      </c>
      <c r="AJ358">
        <v>0</v>
      </c>
      <c r="AK358">
        <v>0</v>
      </c>
      <c r="AL358">
        <v>0</v>
      </c>
      <c r="AM358">
        <v>0</v>
      </c>
      <c r="AN358">
        <v>0</v>
      </c>
      <c r="AO358">
        <v>0</v>
      </c>
      <c r="AP358">
        <v>0.762</v>
      </c>
      <c r="AQ358">
        <v>0.0139999999999999</v>
      </c>
      <c r="AR358">
        <v>0.02</v>
      </c>
      <c r="AS358" s="3">
        <v>46107.7690162037</v>
      </c>
    </row>
    <row r="359" ht="25.5" customHeight="1">
      <c r="A359" t="inlineStr">
        <is>
          <t>5df6378b000000000100622e</t>
        </is>
      </c>
      <c r="B359" s="2" t="str">
        <f>=HYPERLINK("https://www.xiaohongshu.com/user/profile/5df6378b000000000100622e", "https://www.xiaohongshu.com/user/profile/5df6378b000000000100622e")</f>
        <v>https://www.xiaohongshu.com/user/profile/5df6378b000000000100622e</v>
      </c>
      <c r="C359" s="2" t="str">
        <f>=HYPERLINK("https://pgy.xiaohongshu.com/solar/pre-trade/blogger-detail/5df6378b000000000100622e", "https://pgy.xiaohongshu.com/solar/pre-trade/blogger-detail/5df6378b000000000100622e")</f>
        <v>https://pgy.xiaohongshu.com/solar/pre-trade/blogger-detail/5df6378b000000000100622e</v>
      </c>
      <c r="D359" t="inlineStr">
        <is>
          <t>男</t>
        </is>
      </c>
      <c r="E359" t="inlineStr">
        <is>
          <t>441868767</t>
        </is>
      </c>
      <c r="F359" t="inlineStr">
        <is>
          <t>盈仄</t>
        </is>
      </c>
      <c r="G359" t="inlineStr">
        <is>
          <t>北京</t>
        </is>
      </c>
      <c r="H359" t="inlineStr">
        <is>
          <t>学生</t>
        </is>
      </c>
      <c r="I359" t="inlineStr">
        <is>
          <t>出行旅游</t>
        </is>
      </c>
      <c r="J359">
        <v>5217</v>
      </c>
      <c r="K359" t="inlineStr">
        <is>
          <t>0.5</t>
        </is>
      </c>
      <c r="L359">
        <v>5544</v>
      </c>
      <c r="M359">
        <v>762</v>
      </c>
      <c r="N359">
        <v>315</v>
      </c>
      <c r="O359">
        <v>310</v>
      </c>
      <c r="P359">
        <v>0</v>
      </c>
      <c r="Q359">
        <v>1</v>
      </c>
      <c r="R359">
        <v>5544</v>
      </c>
      <c r="S359">
        <v>762</v>
      </c>
      <c r="T359">
        <v>300</v>
      </c>
      <c r="U359">
        <v>0.7</v>
      </c>
      <c r="V359">
        <v>310</v>
      </c>
      <c r="W359">
        <v>1</v>
      </c>
      <c r="X359">
        <v>0</v>
      </c>
      <c r="Y359">
        <v>53.87</v>
      </c>
      <c r="Z359">
        <v>0.95</v>
      </c>
      <c r="AA359">
        <v>0</v>
      </c>
      <c r="AB359">
        <v>0</v>
      </c>
      <c r="AC359">
        <v>0</v>
      </c>
      <c r="AD359">
        <v>0</v>
      </c>
      <c r="AE359">
        <v>0</v>
      </c>
      <c r="AF359">
        <v>0</v>
      </c>
      <c r="AG359">
        <v>0</v>
      </c>
      <c r="AH359">
        <v>0</v>
      </c>
      <c r="AI359">
        <v>0</v>
      </c>
      <c r="AJ359">
        <v>0</v>
      </c>
      <c r="AK359">
        <v>6395</v>
      </c>
      <c r="AL359">
        <v>770</v>
      </c>
      <c r="AM359">
        <v>282</v>
      </c>
      <c r="AN359">
        <v>0</v>
      </c>
      <c r="AO359">
        <v>1.99</v>
      </c>
      <c r="AP359">
        <v>0.743</v>
      </c>
      <c r="AQ359">
        <v>0.115</v>
      </c>
      <c r="AR359">
        <v>0.054</v>
      </c>
      <c r="AS359" s="3">
        <v>46107.7690162037</v>
      </c>
    </row>
    <row r="360" ht="25.5" customHeight="1">
      <c r="A360" t="inlineStr">
        <is>
          <t>6094aa4a000000000101e7e3</t>
        </is>
      </c>
      <c r="B360" s="2" t="str">
        <f>=HYPERLINK("https://www.xiaohongshu.com/user/profile/6094aa4a000000000101e7e3", "https://www.xiaohongshu.com/user/profile/6094aa4a000000000101e7e3")</f>
        <v>https://www.xiaohongshu.com/user/profile/6094aa4a000000000101e7e3</v>
      </c>
      <c r="C360" s="2" t="str">
        <f>=HYPERLINK("https://pgy.xiaohongshu.com/solar/pre-trade/blogger-detail/6094aa4a000000000101e7e3", "https://pgy.xiaohongshu.com/solar/pre-trade/blogger-detail/6094aa4a000000000101e7e3")</f>
        <v>https://pgy.xiaohongshu.com/solar/pre-trade/blogger-detail/6094aa4a000000000101e7e3</v>
      </c>
      <c r="D360" t="inlineStr">
        <is>
          <t>女</t>
        </is>
      </c>
      <c r="E360" t="inlineStr">
        <is>
          <t>V1146801316</t>
        </is>
      </c>
      <c r="F360" t="inlineStr">
        <is>
          <t>Anna安安</t>
        </is>
      </c>
      <c r="G360" t="inlineStr">
        <is>
          <t>北京</t>
        </is>
      </c>
      <c r="H360"/>
      <c r="I360" t="inlineStr">
        <is>
          <t>科技数码</t>
        </is>
      </c>
      <c r="J360">
        <v>6388</v>
      </c>
      <c r="K360" t="inlineStr">
        <is>
          <t>0.6</t>
        </is>
      </c>
      <c r="L360">
        <v>12469</v>
      </c>
      <c r="M360">
        <v>2840</v>
      </c>
      <c r="N360">
        <v>199</v>
      </c>
      <c r="O360">
        <v>650</v>
      </c>
      <c r="P360">
        <v>0</v>
      </c>
      <c r="Q360">
        <v>0.5</v>
      </c>
      <c r="R360">
        <v>12469</v>
      </c>
      <c r="S360">
        <v>2840</v>
      </c>
      <c r="T360">
        <v>184</v>
      </c>
      <c r="U360">
        <v>2.04</v>
      </c>
      <c r="V360">
        <v>650</v>
      </c>
      <c r="W360">
        <v>0.5</v>
      </c>
      <c r="X360">
        <v>0</v>
      </c>
      <c r="Y360">
        <v>136.55</v>
      </c>
      <c r="Z360">
        <v>130</v>
      </c>
      <c r="AA360">
        <v>0</v>
      </c>
      <c r="AB360">
        <v>0</v>
      </c>
      <c r="AC360">
        <v>0</v>
      </c>
      <c r="AD360">
        <v>0</v>
      </c>
      <c r="AE360">
        <v>800</v>
      </c>
      <c r="AF360">
        <v>0</v>
      </c>
      <c r="AG360">
        <v>0</v>
      </c>
      <c r="AH360">
        <v>0</v>
      </c>
      <c r="AI360">
        <v>0</v>
      </c>
      <c r="AJ360">
        <v>0</v>
      </c>
      <c r="AK360">
        <v>4760</v>
      </c>
      <c r="AL360">
        <v>374</v>
      </c>
      <c r="AM360">
        <v>3</v>
      </c>
      <c r="AN360">
        <v>0</v>
      </c>
      <c r="AO360">
        <v>0</v>
      </c>
      <c r="AP360">
        <v>0.924</v>
      </c>
      <c r="AQ360">
        <v>0.015</v>
      </c>
      <c r="AR360">
        <v>0.06</v>
      </c>
      <c r="AS360" s="3">
        <v>46107.7690162037</v>
      </c>
    </row>
    <row r="361" ht="25.5" customHeight="1">
      <c r="A361" t="inlineStr">
        <is>
          <t>65214b600000000024016514</t>
        </is>
      </c>
      <c r="B361" s="2" t="str">
        <f>=HYPERLINK("https://www.xiaohongshu.com/user/profile/65214b600000000024016514", "https://www.xiaohongshu.com/user/profile/65214b600000000024016514")</f>
        <v>https://www.xiaohongshu.com/user/profile/65214b600000000024016514</v>
      </c>
      <c r="C361" s="2" t="str">
        <f>=HYPERLINK("https://pgy.xiaohongshu.com/solar/pre-trade/blogger-detail/65214b600000000024016514", "https://pgy.xiaohongshu.com/solar/pre-trade/blogger-detail/65214b600000000024016514")</f>
        <v>https://pgy.xiaohongshu.com/solar/pre-trade/blogger-detail/65214b600000000024016514</v>
      </c>
      <c r="D361" t="inlineStr">
        <is>
          <t>女</t>
        </is>
      </c>
      <c r="E361" t="inlineStr">
        <is>
          <t>11501261463</t>
        </is>
      </c>
      <c r="F361" t="inlineStr">
        <is>
          <t>爱吃炒土豆丝</t>
        </is>
      </c>
      <c r="G361" t="inlineStr">
        <is>
          <t>河北 石家庄 元氏县</t>
        </is>
      </c>
      <c r="H361" t="inlineStr">
        <is>
          <t>学生</t>
        </is>
      </c>
      <c r="I361" t="inlineStr">
        <is>
          <t>教育</t>
        </is>
      </c>
      <c r="J361">
        <v>2180</v>
      </c>
      <c r="K361" t="inlineStr">
        <is>
          <t>0.2</t>
        </is>
      </c>
      <c r="L361">
        <v>9235</v>
      </c>
      <c r="M361">
        <v>2080</v>
      </c>
      <c r="N361">
        <v>115</v>
      </c>
      <c r="O361">
        <v>140</v>
      </c>
      <c r="P361">
        <v>0.25</v>
      </c>
      <c r="Q361">
        <v>0.375</v>
      </c>
      <c r="R361">
        <v>9235</v>
      </c>
      <c r="S361">
        <v>2080</v>
      </c>
      <c r="T361">
        <v>62</v>
      </c>
      <c r="U361">
        <v>0.37</v>
      </c>
      <c r="V361">
        <v>140</v>
      </c>
      <c r="W361">
        <v>0.375</v>
      </c>
      <c r="X361">
        <v>0.25</v>
      </c>
      <c r="Y361">
        <v>15.16</v>
      </c>
      <c r="Z361">
        <v>1.22</v>
      </c>
      <c r="AA361">
        <v>0</v>
      </c>
      <c r="AB361">
        <v>0</v>
      </c>
      <c r="AC361">
        <v>0</v>
      </c>
      <c r="AD361">
        <v>0</v>
      </c>
      <c r="AE361">
        <v>200</v>
      </c>
      <c r="AF361">
        <v>0</v>
      </c>
      <c r="AG361">
        <v>0</v>
      </c>
      <c r="AH361">
        <v>0</v>
      </c>
      <c r="AI361">
        <v>0</v>
      </c>
      <c r="AJ361">
        <v>0</v>
      </c>
      <c r="AK361">
        <v>90393</v>
      </c>
      <c r="AL361">
        <v>18616</v>
      </c>
      <c r="AM361">
        <v>3103</v>
      </c>
      <c r="AN361">
        <v>229</v>
      </c>
      <c r="AO361">
        <v>2.58</v>
      </c>
      <c r="AP361">
        <v>0.869</v>
      </c>
      <c r="AQ361">
        <v>0.046</v>
      </c>
      <c r="AR361">
        <v>0.043</v>
      </c>
      <c r="AS361" s="3">
        <v>46107.7690162037</v>
      </c>
    </row>
    <row r="362" ht="25.5" customHeight="1">
      <c r="A362" t="inlineStr">
        <is>
          <t>5bde927600eebd00011828dd</t>
        </is>
      </c>
      <c r="B362" s="2" t="str">
        <f>=HYPERLINK("https://www.xiaohongshu.com/user/profile/5bde927600eebd00011828dd", "https://www.xiaohongshu.com/user/profile/5bde927600eebd00011828dd")</f>
        <v>https://www.xiaohongshu.com/user/profile/5bde927600eebd00011828dd</v>
      </c>
      <c r="C362" s="2" t="str">
        <f>=HYPERLINK("https://pgy.xiaohongshu.com/solar/pre-trade/blogger-detail/5bde927600eebd00011828dd", "https://pgy.xiaohongshu.com/solar/pre-trade/blogger-detail/5bde927600eebd00011828dd")</f>
        <v>https://pgy.xiaohongshu.com/solar/pre-trade/blogger-detail/5bde927600eebd00011828dd</v>
      </c>
      <c r="D362" t="inlineStr">
        <is>
          <t>女</t>
        </is>
      </c>
      <c r="E362" t="inlineStr">
        <is>
          <t>299158013</t>
        </is>
      </c>
      <c r="F362" t="inlineStr">
        <is>
          <t>矢坞禾薇</t>
        </is>
      </c>
      <c r="G362" t="inlineStr">
        <is>
          <t>安徽 安庆 宜秀区</t>
        </is>
      </c>
      <c r="H362" t="inlineStr">
        <is>
          <t>学生</t>
        </is>
      </c>
      <c r="I362" t="inlineStr">
        <is>
          <t>教育</t>
        </is>
      </c>
      <c r="J362">
        <v>19184</v>
      </c>
      <c r="K362" t="inlineStr">
        <is>
          <t>1.9</t>
        </is>
      </c>
      <c r="L362">
        <v>12039</v>
      </c>
      <c r="M362">
        <v>2380</v>
      </c>
      <c r="N362">
        <v>428</v>
      </c>
      <c r="O362">
        <v>300</v>
      </c>
      <c r="P362">
        <v>0.154</v>
      </c>
      <c r="Q362">
        <v>0.922999999999999</v>
      </c>
      <c r="R362">
        <v>12039</v>
      </c>
      <c r="S362">
        <v>2380</v>
      </c>
      <c r="T362">
        <v>366</v>
      </c>
      <c r="U362">
        <v>0.4</v>
      </c>
      <c r="V362">
        <v>300</v>
      </c>
      <c r="W362">
        <v>0.922999999999999</v>
      </c>
      <c r="X362">
        <v>0.154</v>
      </c>
      <c r="Y362">
        <v>19.13</v>
      </c>
      <c r="Z362">
        <v>0.69</v>
      </c>
      <c r="AA362">
        <v>0</v>
      </c>
      <c r="AB362">
        <v>0</v>
      </c>
      <c r="AC362">
        <v>0</v>
      </c>
      <c r="AD362">
        <v>0</v>
      </c>
      <c r="AE362">
        <v>300</v>
      </c>
      <c r="AF362">
        <v>0</v>
      </c>
      <c r="AG362">
        <v>0</v>
      </c>
      <c r="AH362">
        <v>0</v>
      </c>
      <c r="AI362">
        <v>0</v>
      </c>
      <c r="AJ362">
        <v>0</v>
      </c>
      <c r="AK362">
        <v>56684</v>
      </c>
      <c r="AL362">
        <v>9040</v>
      </c>
      <c r="AM362">
        <v>2206</v>
      </c>
      <c r="AN362">
        <v>0</v>
      </c>
      <c r="AO362">
        <v>2.11</v>
      </c>
      <c r="AP362">
        <v>0.885999999999999</v>
      </c>
      <c r="AQ362">
        <v>0.138</v>
      </c>
      <c r="AR362">
        <v>0.155</v>
      </c>
      <c r="AS362" s="3">
        <v>46107.769224537034</v>
      </c>
    </row>
    <row r="363" ht="25.5" customHeight="1">
      <c r="A363" t="inlineStr">
        <is>
          <t>600e3527000000000101ed36</t>
        </is>
      </c>
      <c r="B363" s="2" t="str">
        <f>=HYPERLINK("https://www.xiaohongshu.com/user/profile/600e3527000000000101ed36", "https://www.xiaohongshu.com/user/profile/600e3527000000000101ed36")</f>
        <v>https://www.xiaohongshu.com/user/profile/600e3527000000000101ed36</v>
      </c>
      <c r="C363" s="2" t="str">
        <f>=HYPERLINK("https://pgy.xiaohongshu.com/solar/pre-trade/blogger-detail/600e3527000000000101ed36", "https://pgy.xiaohongshu.com/solar/pre-trade/blogger-detail/600e3527000000000101ed36")</f>
        <v>https://pgy.xiaohongshu.com/solar/pre-trade/blogger-detail/600e3527000000000101ed36</v>
      </c>
      <c r="D363" t="inlineStr">
        <is>
          <t>女</t>
        </is>
      </c>
      <c r="E363" t="inlineStr">
        <is>
          <t>kasuki499</t>
        </is>
      </c>
      <c r="F363" t="inlineStr">
        <is>
          <t>竹轮猫SAGA</t>
        </is>
      </c>
      <c r="G363" t="inlineStr">
        <is>
          <t>日本</t>
        </is>
      </c>
      <c r="H363" t="inlineStr">
        <is>
          <t>考研过来人, 留学背景, 海外华人</t>
        </is>
      </c>
      <c r="I363" t="inlineStr">
        <is>
          <t>职场, 生活记录</t>
        </is>
      </c>
      <c r="J363">
        <v>22066</v>
      </c>
      <c r="K363" t="inlineStr">
        <is>
          <t>2.2</t>
        </is>
      </c>
      <c r="L363">
        <v>11645</v>
      </c>
      <c r="M363">
        <v>3598</v>
      </c>
      <c r="N363">
        <v>799</v>
      </c>
      <c r="O363">
        <v>2100</v>
      </c>
      <c r="P363">
        <v>0</v>
      </c>
      <c r="Q363">
        <v>1</v>
      </c>
      <c r="R363">
        <v>0</v>
      </c>
      <c r="S363">
        <v>0</v>
      </c>
      <c r="T363">
        <v>0</v>
      </c>
      <c r="U363">
        <v>0</v>
      </c>
      <c r="V363">
        <v>2100</v>
      </c>
      <c r="W363">
        <v>0</v>
      </c>
      <c r="X363">
        <v>0</v>
      </c>
      <c r="Y363">
        <v>0</v>
      </c>
      <c r="Z363">
        <v>0</v>
      </c>
      <c r="AA363">
        <v>11645</v>
      </c>
      <c r="AB363">
        <v>3598</v>
      </c>
      <c r="AC363">
        <v>699</v>
      </c>
      <c r="AD363">
        <v>3.61</v>
      </c>
      <c r="AE363">
        <v>3500</v>
      </c>
      <c r="AF363">
        <v>1</v>
      </c>
      <c r="AG363">
        <v>0</v>
      </c>
      <c r="AH363">
        <v>0.0819999999999999</v>
      </c>
      <c r="AI363">
        <v>341.4</v>
      </c>
      <c r="AJ363">
        <v>12.11</v>
      </c>
      <c r="AK363">
        <v>6046</v>
      </c>
      <c r="AL363">
        <v>847</v>
      </c>
      <c r="AM363">
        <v>57</v>
      </c>
      <c r="AN363">
        <v>0</v>
      </c>
      <c r="AO363">
        <v>0</v>
      </c>
      <c r="AP363">
        <v>0.822</v>
      </c>
      <c r="AQ363">
        <v>0.042</v>
      </c>
      <c r="AR363">
        <v>0.015</v>
      </c>
      <c r="AS363" s="3">
        <v>46107.769224537034</v>
      </c>
    </row>
    <row r="364" ht="25.5" customHeight="1">
      <c r="A364" t="inlineStr">
        <is>
          <t>5a9e0d19db2e6040bf934bfe</t>
        </is>
      </c>
      <c r="B364" s="2" t="str">
        <f>=HYPERLINK("https://www.xiaohongshu.com/user/profile/5a9e0d19db2e6040bf934bfe", "https://www.xiaohongshu.com/user/profile/5a9e0d19db2e6040bf934bfe")</f>
        <v>https://www.xiaohongshu.com/user/profile/5a9e0d19db2e6040bf934bfe</v>
      </c>
      <c r="C364" s="2" t="str">
        <f>=HYPERLINK("https://pgy.xiaohongshu.com/solar/pre-trade/blogger-detail/5a9e0d19db2e6040bf934bfe", "https://pgy.xiaohongshu.com/solar/pre-trade/blogger-detail/5a9e0d19db2e6040bf934bfe")</f>
        <v>https://pgy.xiaohongshu.com/solar/pre-trade/blogger-detail/5a9e0d19db2e6040bf934bfe</v>
      </c>
      <c r="D364" t="inlineStr">
        <is>
          <t>女</t>
        </is>
      </c>
      <c r="E364" t="inlineStr">
        <is>
          <t>959421687</t>
        </is>
      </c>
      <c r="F364" t="inlineStr">
        <is>
          <t>Albums-Wang</t>
        </is>
      </c>
      <c r="G364" t="inlineStr">
        <is>
          <t>广东 珠海 香洲区</t>
        </is>
      </c>
      <c r="H364" t="inlineStr">
        <is>
          <t>学生</t>
        </is>
      </c>
      <c r="I364" t="inlineStr">
        <is>
          <t>教育, 生活记录</t>
        </is>
      </c>
      <c r="J364">
        <v>19834</v>
      </c>
      <c r="K364" t="inlineStr">
        <is>
          <t>2.0</t>
        </is>
      </c>
      <c r="L364">
        <v>10401</v>
      </c>
      <c r="M364">
        <v>1781</v>
      </c>
      <c r="N364">
        <v>152</v>
      </c>
      <c r="O364">
        <v>1800</v>
      </c>
      <c r="P364">
        <v>0</v>
      </c>
      <c r="Q364">
        <v>0.5</v>
      </c>
      <c r="R364">
        <v>51879</v>
      </c>
      <c r="S364">
        <v>8047</v>
      </c>
      <c r="T364">
        <v>663</v>
      </c>
      <c r="U364">
        <v>0.48</v>
      </c>
      <c r="V364">
        <v>1800</v>
      </c>
      <c r="W364">
        <v>0.5</v>
      </c>
      <c r="X364">
        <v>0</v>
      </c>
      <c r="Y364">
        <v>29.52</v>
      </c>
      <c r="Z364">
        <v>3.37</v>
      </c>
      <c r="AA364">
        <v>10401</v>
      </c>
      <c r="AB364">
        <v>1781</v>
      </c>
      <c r="AC364">
        <v>132</v>
      </c>
      <c r="AD364">
        <v>2.73</v>
      </c>
      <c r="AE364">
        <v>2200</v>
      </c>
      <c r="AF364">
        <v>0.5</v>
      </c>
      <c r="AG364">
        <v>0</v>
      </c>
      <c r="AH364">
        <v>0.247</v>
      </c>
      <c r="AI364">
        <v>211.52</v>
      </c>
      <c r="AJ364">
        <v>15.44</v>
      </c>
      <c r="AK364">
        <v>64472</v>
      </c>
      <c r="AL364">
        <v>9947</v>
      </c>
      <c r="AM364">
        <v>406</v>
      </c>
      <c r="AN364">
        <v>11</v>
      </c>
      <c r="AO364">
        <v>163.93</v>
      </c>
      <c r="AP364">
        <v>0.725</v>
      </c>
      <c r="AQ364">
        <v>0.027</v>
      </c>
      <c r="AR364">
        <v>0.026</v>
      </c>
      <c r="AS364" s="3">
        <v>46107.769224537034</v>
      </c>
    </row>
    <row r="365" ht="25.5" customHeight="1">
      <c r="A365" t="inlineStr">
        <is>
          <t>61ed9b98000000001000849d</t>
        </is>
      </c>
      <c r="B365" s="2" t="str">
        <f>=HYPERLINK("https://www.xiaohongshu.com/user/profile/61ed9b98000000001000849d", "https://www.xiaohongshu.com/user/profile/61ed9b98000000001000849d")</f>
        <v>https://www.xiaohongshu.com/user/profile/61ed9b98000000001000849d</v>
      </c>
      <c r="C365" s="2" t="str">
        <f>=HYPERLINK("https://pgy.xiaohongshu.com/solar/pre-trade/blogger-detail/61ed9b98000000001000849d", "https://pgy.xiaohongshu.com/solar/pre-trade/blogger-detail/61ed9b98000000001000849d")</f>
        <v>https://pgy.xiaohongshu.com/solar/pre-trade/blogger-detail/61ed9b98000000001000849d</v>
      </c>
      <c r="D365" t="inlineStr">
        <is>
          <t>男</t>
        </is>
      </c>
      <c r="E365" t="inlineStr">
        <is>
          <t>iLovW_0622</t>
        </is>
      </c>
      <c r="F365" t="inlineStr">
        <is>
          <t>小景</t>
        </is>
      </c>
      <c r="G365" t="inlineStr">
        <is>
          <t>山东 济南 市中区</t>
        </is>
      </c>
      <c r="H365" t="inlineStr">
        <is>
          <t>学生</t>
        </is>
      </c>
      <c r="I365" t="inlineStr">
        <is>
          <t>科技数码</t>
        </is>
      </c>
      <c r="J365">
        <v>5506</v>
      </c>
      <c r="K365" t="inlineStr">
        <is>
          <t>0.6</t>
        </is>
      </c>
      <c r="L365">
        <v>5921</v>
      </c>
      <c r="M365">
        <v>616</v>
      </c>
      <c r="N365">
        <v>193</v>
      </c>
      <c r="O365">
        <v>500</v>
      </c>
      <c r="P365">
        <v>0</v>
      </c>
      <c r="Q365">
        <v>0.636</v>
      </c>
      <c r="R365">
        <v>6304</v>
      </c>
      <c r="S365">
        <v>641</v>
      </c>
      <c r="T365">
        <v>183</v>
      </c>
      <c r="U365">
        <v>1.08</v>
      </c>
      <c r="V365">
        <v>500</v>
      </c>
      <c r="W365">
        <v>0.6</v>
      </c>
      <c r="X365">
        <v>0</v>
      </c>
      <c r="Y365">
        <v>79.31</v>
      </c>
      <c r="Z365">
        <v>2.84</v>
      </c>
      <c r="AA365">
        <v>1725</v>
      </c>
      <c r="AB365">
        <v>335</v>
      </c>
      <c r="AC365">
        <v>199</v>
      </c>
      <c r="AD365">
        <v>3.59</v>
      </c>
      <c r="AE365">
        <v>700</v>
      </c>
      <c r="AF365">
        <v>1</v>
      </c>
      <c r="AG365">
        <v>0</v>
      </c>
      <c r="AH365">
        <v>0.073</v>
      </c>
      <c r="AI365">
        <v>405.8</v>
      </c>
      <c r="AJ365">
        <v>3.48</v>
      </c>
      <c r="AK365">
        <v>4535</v>
      </c>
      <c r="AL365">
        <v>1890</v>
      </c>
      <c r="AM365">
        <v>26</v>
      </c>
      <c r="AN365">
        <v>0</v>
      </c>
      <c r="AO365">
        <v>990.36</v>
      </c>
      <c r="AP365">
        <v>0.800999999999999</v>
      </c>
      <c r="AQ365">
        <v>0.0409999999999999</v>
      </c>
      <c r="AR365">
        <v>-0.002</v>
      </c>
      <c r="AS365" s="3">
        <v>46107.769224537034</v>
      </c>
    </row>
    <row r="366" ht="25.5" customHeight="1">
      <c r="A366" t="inlineStr">
        <is>
          <t>5f310f3b000000000100705c</t>
        </is>
      </c>
      <c r="B366" s="2" t="str">
        <f>=HYPERLINK("https://www.xiaohongshu.com/user/profile/5f310f3b000000000100705c", "https://www.xiaohongshu.com/user/profile/5f310f3b000000000100705c")</f>
        <v>https://www.xiaohongshu.com/user/profile/5f310f3b000000000100705c</v>
      </c>
      <c r="C366" s="2" t="str">
        <f>=HYPERLINK("https://pgy.xiaohongshu.com/solar/pre-trade/blogger-detail/5f310f3b000000000100705c", "https://pgy.xiaohongshu.com/solar/pre-trade/blogger-detail/5f310f3b000000000100705c")</f>
        <v>https://pgy.xiaohongshu.com/solar/pre-trade/blogger-detail/5f310f3b000000000100705c</v>
      </c>
      <c r="D366" t="inlineStr">
        <is>
          <t>男</t>
        </is>
      </c>
      <c r="E366" t="inlineStr">
        <is>
          <t>853825907</t>
        </is>
      </c>
      <c r="F366" t="inlineStr">
        <is>
          <t>Jacob的英语进化论</t>
        </is>
      </c>
      <c r="G366" t="inlineStr">
        <is>
          <t>上海</t>
        </is>
      </c>
      <c r="H366"/>
      <c r="I366" t="inlineStr">
        <is>
          <t>教育</t>
        </is>
      </c>
      <c r="J366">
        <v>6531</v>
      </c>
      <c r="K366" t="inlineStr">
        <is>
          <t>0.7</t>
        </is>
      </c>
      <c r="L366">
        <v>15808</v>
      </c>
      <c r="M366">
        <v>1749</v>
      </c>
      <c r="N366">
        <v>394</v>
      </c>
      <c r="O366">
        <v>200</v>
      </c>
      <c r="P366">
        <v>0.133</v>
      </c>
      <c r="Q366">
        <v>0.667</v>
      </c>
      <c r="R366">
        <v>15808</v>
      </c>
      <c r="S366">
        <v>1749</v>
      </c>
      <c r="T366">
        <v>310</v>
      </c>
      <c r="U366">
        <v>0.44</v>
      </c>
      <c r="V366">
        <v>200</v>
      </c>
      <c r="W366">
        <v>0.667</v>
      </c>
      <c r="X366">
        <v>0.133</v>
      </c>
      <c r="Y366">
        <v>15.77</v>
      </c>
      <c r="Z366">
        <v>0.64</v>
      </c>
      <c r="AA366">
        <v>0</v>
      </c>
      <c r="AB366">
        <v>0</v>
      </c>
      <c r="AC366">
        <v>0</v>
      </c>
      <c r="AD366">
        <v>0</v>
      </c>
      <c r="AE366">
        <v>720</v>
      </c>
      <c r="AF366">
        <v>0</v>
      </c>
      <c r="AG366">
        <v>0</v>
      </c>
      <c r="AH366">
        <v>0</v>
      </c>
      <c r="AI366">
        <v>0</v>
      </c>
      <c r="AJ366">
        <v>0</v>
      </c>
      <c r="AK366">
        <v>3742</v>
      </c>
      <c r="AL366">
        <v>260</v>
      </c>
      <c r="AM366">
        <v>24</v>
      </c>
      <c r="AN366">
        <v>0</v>
      </c>
      <c r="AO366">
        <v>0</v>
      </c>
      <c r="AP366">
        <v>0.978</v>
      </c>
      <c r="AQ366">
        <v>0.345</v>
      </c>
      <c r="AR366">
        <v>0</v>
      </c>
      <c r="AS366" s="3">
        <v>46107.769224537034</v>
      </c>
    </row>
    <row r="367" ht="25.5" customHeight="1">
      <c r="A367" t="inlineStr">
        <is>
          <t>637dbade000000001f01b7eb</t>
        </is>
      </c>
      <c r="B367" s="2" t="str">
        <f>=HYPERLINK("https://www.xiaohongshu.com/user/profile/637dbade000000001f01b7eb", "https://www.xiaohongshu.com/user/profile/637dbade000000001f01b7eb")</f>
        <v>https://www.xiaohongshu.com/user/profile/637dbade000000001f01b7eb</v>
      </c>
      <c r="C367" s="2" t="str">
        <f>=HYPERLINK("https://pgy.xiaohongshu.com/solar/pre-trade/blogger-detail/637dbade000000001f01b7eb", "https://pgy.xiaohongshu.com/solar/pre-trade/blogger-detail/637dbade000000001f01b7eb")</f>
        <v>https://pgy.xiaohongshu.com/solar/pre-trade/blogger-detail/637dbade000000001f01b7eb</v>
      </c>
      <c r="D367" t="inlineStr">
        <is>
          <t>男</t>
        </is>
      </c>
      <c r="E367" t="inlineStr">
        <is>
          <t>6242010908</t>
        </is>
      </c>
      <c r="F367" t="inlineStr">
        <is>
          <t>蓝色号角</t>
        </is>
      </c>
      <c r="G367" t="inlineStr">
        <is>
          <t>江苏 南京 雨花台区</t>
        </is>
      </c>
      <c r="H367" t="inlineStr">
        <is>
          <t>考研过来人, 法考过来人, 学生</t>
        </is>
      </c>
      <c r="I367" t="inlineStr">
        <is>
          <t>教育</t>
        </is>
      </c>
      <c r="J367">
        <v>54102</v>
      </c>
      <c r="K367" t="inlineStr">
        <is>
          <t>5.4</t>
        </is>
      </c>
      <c r="L367">
        <v>62787</v>
      </c>
      <c r="M367">
        <v>12041</v>
      </c>
      <c r="N367">
        <v>1032</v>
      </c>
      <c r="O367">
        <v>4000</v>
      </c>
      <c r="P367">
        <v>0</v>
      </c>
      <c r="Q367">
        <v>0.75</v>
      </c>
      <c r="R367">
        <v>62787</v>
      </c>
      <c r="S367">
        <v>12041</v>
      </c>
      <c r="T367">
        <v>1002</v>
      </c>
      <c r="U367">
        <v>0.63</v>
      </c>
      <c r="V367">
        <v>4000</v>
      </c>
      <c r="W367">
        <v>0.75</v>
      </c>
      <c r="X367">
        <v>0</v>
      </c>
      <c r="Y367">
        <v>63.71</v>
      </c>
      <c r="Z367">
        <v>3.88</v>
      </c>
      <c r="AA367">
        <v>0</v>
      </c>
      <c r="AB367">
        <v>0</v>
      </c>
      <c r="AC367">
        <v>0</v>
      </c>
      <c r="AD367">
        <v>0</v>
      </c>
      <c r="AE367">
        <v>7000</v>
      </c>
      <c r="AF367">
        <v>0</v>
      </c>
      <c r="AG367">
        <v>0</v>
      </c>
      <c r="AH367">
        <v>0</v>
      </c>
      <c r="AI367">
        <v>0</v>
      </c>
      <c r="AJ367">
        <v>0</v>
      </c>
      <c r="AK367">
        <v>0</v>
      </c>
      <c r="AL367">
        <v>0</v>
      </c>
      <c r="AM367">
        <v>0</v>
      </c>
      <c r="AN367">
        <v>0</v>
      </c>
      <c r="AO367">
        <v>0</v>
      </c>
      <c r="AP367">
        <v>0.763</v>
      </c>
      <c r="AQ367">
        <v>0.019</v>
      </c>
      <c r="AR367">
        <v>0.009</v>
      </c>
      <c r="AS367" s="3">
        <v>46107.769224537034</v>
      </c>
    </row>
    <row r="368" ht="25.5" customHeight="1">
      <c r="A368" t="inlineStr">
        <is>
          <t>5ec267d0000000000100424f</t>
        </is>
      </c>
      <c r="B368" s="2" t="str">
        <f>=HYPERLINK("https://www.xiaohongshu.com/user/profile/5ec267d0000000000100424f", "https://www.xiaohongshu.com/user/profile/5ec267d0000000000100424f")</f>
        <v>https://www.xiaohongshu.com/user/profile/5ec267d0000000000100424f</v>
      </c>
      <c r="C368" s="2" t="str">
        <f>=HYPERLINK("https://pgy.xiaohongshu.com/solar/pre-trade/blogger-detail/5ec267d0000000000100424f", "https://pgy.xiaohongshu.com/solar/pre-trade/blogger-detail/5ec267d0000000000100424f")</f>
        <v>https://pgy.xiaohongshu.com/solar/pre-trade/blogger-detail/5ec267d0000000000100424f</v>
      </c>
      <c r="D368" t="inlineStr">
        <is>
          <t>女</t>
        </is>
      </c>
      <c r="E368" t="inlineStr">
        <is>
          <t>zzllzzxx1128</t>
        </is>
      </c>
      <c r="F368" t="inlineStr">
        <is>
          <t>zzllzz✨</t>
        </is>
      </c>
      <c r="G368" t="inlineStr">
        <is>
          <t>美国</t>
        </is>
      </c>
      <c r="H368" t="inlineStr">
        <is>
          <t>二次元人群, 留学背景, 学生</t>
        </is>
      </c>
      <c r="I368" t="inlineStr">
        <is>
          <t>影视综资讯, 兴趣爱好</t>
        </is>
      </c>
      <c r="J368">
        <v>10458</v>
      </c>
      <c r="K368" t="inlineStr">
        <is>
          <t>1.0</t>
        </is>
      </c>
      <c r="L368">
        <v>17653</v>
      </c>
      <c r="M368">
        <v>3316</v>
      </c>
      <c r="N368">
        <v>314</v>
      </c>
      <c r="O368">
        <v>815</v>
      </c>
      <c r="P368">
        <v>0.111</v>
      </c>
      <c r="Q368">
        <v>0.889</v>
      </c>
      <c r="R368">
        <v>0</v>
      </c>
      <c r="S368">
        <v>0</v>
      </c>
      <c r="T368">
        <v>0</v>
      </c>
      <c r="U368">
        <v>0</v>
      </c>
      <c r="V368">
        <v>1584</v>
      </c>
      <c r="W368">
        <v>0</v>
      </c>
      <c r="X368">
        <v>0</v>
      </c>
      <c r="Y368">
        <v>0</v>
      </c>
      <c r="Z368">
        <v>0</v>
      </c>
      <c r="AA368">
        <v>17653</v>
      </c>
      <c r="AB368">
        <v>3316</v>
      </c>
      <c r="AC368">
        <v>313</v>
      </c>
      <c r="AD368">
        <v>1.78</v>
      </c>
      <c r="AE368">
        <v>815</v>
      </c>
      <c r="AF368">
        <v>0.889</v>
      </c>
      <c r="AG368">
        <v>0.111</v>
      </c>
      <c r="AH368">
        <v>0.168999999999999</v>
      </c>
      <c r="AI368">
        <v>51.46</v>
      </c>
      <c r="AJ368">
        <v>2.84</v>
      </c>
      <c r="AK368">
        <v>4722</v>
      </c>
      <c r="AL368">
        <v>654</v>
      </c>
      <c r="AM368">
        <v>37</v>
      </c>
      <c r="AN368">
        <v>0</v>
      </c>
      <c r="AO368">
        <v>0</v>
      </c>
      <c r="AP368">
        <v>0.828</v>
      </c>
      <c r="AQ368">
        <v>0.045</v>
      </c>
      <c r="AR368">
        <v>0.011</v>
      </c>
      <c r="AS368" s="3">
        <v>46107.769224537034</v>
      </c>
    </row>
    <row r="369" ht="25.5" customHeight="1">
      <c r="A369" t="inlineStr">
        <is>
          <t>65f46eaf000000000500e871</t>
        </is>
      </c>
      <c r="B369" s="2" t="str">
        <f>=HYPERLINK("https://www.xiaohongshu.com/user/profile/65f46eaf000000000500e871", "https://www.xiaohongshu.com/user/profile/65f46eaf000000000500e871")</f>
        <v>https://www.xiaohongshu.com/user/profile/65f46eaf000000000500e871</v>
      </c>
      <c r="C369" s="2" t="str">
        <f>=HYPERLINK("https://pgy.xiaohongshu.com/solar/pre-trade/blogger-detail/65f46eaf000000000500e871", "https://pgy.xiaohongshu.com/solar/pre-trade/blogger-detail/65f46eaf000000000500e871")</f>
        <v>https://pgy.xiaohongshu.com/solar/pre-trade/blogger-detail/65f46eaf000000000500e871</v>
      </c>
      <c r="D369" t="inlineStr">
        <is>
          <t>女</t>
        </is>
      </c>
      <c r="E369" t="inlineStr">
        <is>
          <t>26342260887</t>
        </is>
      </c>
      <c r="F369" t="inlineStr">
        <is>
          <t>Judy每日英语进化</t>
        </is>
      </c>
      <c r="G369" t="inlineStr">
        <is>
          <t>新疆 伊犁哈萨克自治州 奎屯市</t>
        </is>
      </c>
      <c r="H369"/>
      <c r="I369" t="inlineStr">
        <is>
          <t>教育</t>
        </is>
      </c>
      <c r="J369">
        <v>24142</v>
      </c>
      <c r="K369" t="inlineStr">
        <is>
          <t>2.4</t>
        </is>
      </c>
      <c r="L369">
        <v>242823</v>
      </c>
      <c r="M369">
        <v>18611</v>
      </c>
      <c r="N369">
        <v>3071</v>
      </c>
      <c r="O369">
        <v>450</v>
      </c>
      <c r="P369">
        <v>0.5</v>
      </c>
      <c r="Q369">
        <v>1</v>
      </c>
      <c r="R369">
        <v>0</v>
      </c>
      <c r="S369">
        <v>0</v>
      </c>
      <c r="T369">
        <v>0</v>
      </c>
      <c r="U369">
        <v>0</v>
      </c>
      <c r="V369">
        <v>450</v>
      </c>
      <c r="W369">
        <v>0</v>
      </c>
      <c r="X369">
        <v>0</v>
      </c>
      <c r="Y369">
        <v>0</v>
      </c>
      <c r="Z369">
        <v>0</v>
      </c>
      <c r="AA369">
        <v>242823</v>
      </c>
      <c r="AB369">
        <v>18611</v>
      </c>
      <c r="AC369">
        <v>1570</v>
      </c>
      <c r="AD369">
        <v>1.67</v>
      </c>
      <c r="AE369">
        <v>3200</v>
      </c>
      <c r="AF369">
        <v>1</v>
      </c>
      <c r="AG369">
        <v>0.5</v>
      </c>
      <c r="AH369">
        <v>0.122</v>
      </c>
      <c r="AI369">
        <v>13.18</v>
      </c>
      <c r="AJ369">
        <v>1.04</v>
      </c>
      <c r="AK369">
        <v>0</v>
      </c>
      <c r="AL369">
        <v>0</v>
      </c>
      <c r="AM369">
        <v>0</v>
      </c>
      <c r="AN369">
        <v>0</v>
      </c>
      <c r="AO369">
        <v>0</v>
      </c>
      <c r="AP369">
        <v>0.974</v>
      </c>
      <c r="AQ369">
        <v>0.059</v>
      </c>
      <c r="AR369">
        <v>0.217</v>
      </c>
      <c r="AS369" s="3">
        <v>46107.769224537034</v>
      </c>
    </row>
    <row r="370" ht="25.5" customHeight="1">
      <c r="A370" t="inlineStr">
        <is>
          <t>5ec3f09c000000000101c1e6</t>
        </is>
      </c>
      <c r="B370" s="2" t="str">
        <f>=HYPERLINK("https://www.xiaohongshu.com/user/profile/5ec3f09c000000000101c1e6", "https://www.xiaohongshu.com/user/profile/5ec3f09c000000000101c1e6")</f>
        <v>https://www.xiaohongshu.com/user/profile/5ec3f09c000000000101c1e6</v>
      </c>
      <c r="C370" s="2" t="str">
        <f>=HYPERLINK("https://pgy.xiaohongshu.com/solar/pre-trade/blogger-detail/5ec3f09c000000000101c1e6", "https://pgy.xiaohongshu.com/solar/pre-trade/blogger-detail/5ec3f09c000000000101c1e6")</f>
        <v>https://pgy.xiaohongshu.com/solar/pre-trade/blogger-detail/5ec3f09c000000000101c1e6</v>
      </c>
      <c r="D370" t="inlineStr">
        <is>
          <t>女</t>
        </is>
      </c>
      <c r="E370" t="inlineStr">
        <is>
          <t>258478176</t>
        </is>
      </c>
      <c r="F370" t="inlineStr">
        <is>
          <t>北五环猪大婶</t>
        </is>
      </c>
      <c r="G370" t="inlineStr">
        <is>
          <t>北京</t>
        </is>
      </c>
      <c r="H370" t="inlineStr">
        <is>
          <t>翻译, 销售</t>
        </is>
      </c>
      <c r="I370" t="inlineStr">
        <is>
          <t>职场</t>
        </is>
      </c>
      <c r="J370">
        <v>11987</v>
      </c>
      <c r="K370" t="inlineStr">
        <is>
          <t>1.2</t>
        </is>
      </c>
      <c r="L370">
        <v>7983</v>
      </c>
      <c r="M370">
        <v>1740</v>
      </c>
      <c r="N370">
        <v>352</v>
      </c>
      <c r="O370">
        <v>4000</v>
      </c>
      <c r="P370">
        <v>0</v>
      </c>
      <c r="Q370">
        <v>1</v>
      </c>
      <c r="R370">
        <v>0</v>
      </c>
      <c r="S370">
        <v>0</v>
      </c>
      <c r="T370">
        <v>0</v>
      </c>
      <c r="U370">
        <v>1.46</v>
      </c>
      <c r="V370">
        <v>4000</v>
      </c>
      <c r="W370">
        <v>0</v>
      </c>
      <c r="X370">
        <v>0</v>
      </c>
      <c r="Y370">
        <v>167.22</v>
      </c>
      <c r="Z370">
        <v>30.77</v>
      </c>
      <c r="AA370">
        <v>7983</v>
      </c>
      <c r="AB370">
        <v>1740</v>
      </c>
      <c r="AC370">
        <v>324</v>
      </c>
      <c r="AD370">
        <v>3.7</v>
      </c>
      <c r="AE370">
        <v>4800</v>
      </c>
      <c r="AF370">
        <v>1</v>
      </c>
      <c r="AG370">
        <v>0</v>
      </c>
      <c r="AH370">
        <v>0.049</v>
      </c>
      <c r="AI370">
        <v>269.45</v>
      </c>
      <c r="AJ370">
        <v>14.77</v>
      </c>
      <c r="AK370">
        <v>23920</v>
      </c>
      <c r="AL370">
        <v>2245</v>
      </c>
      <c r="AM370">
        <v>196</v>
      </c>
      <c r="AN370">
        <v>0</v>
      </c>
      <c r="AO370">
        <v>617.77</v>
      </c>
      <c r="AP370">
        <v>0.865</v>
      </c>
      <c r="AQ370">
        <v>0.045</v>
      </c>
      <c r="AR370">
        <v>0.026</v>
      </c>
      <c r="AS370" s="3">
        <v>46107.769224537034</v>
      </c>
    </row>
    <row r="371" ht="25.5" customHeight="1">
      <c r="A371" t="inlineStr">
        <is>
          <t>5b30fdc5e8ac2b31c56ab7b8</t>
        </is>
      </c>
      <c r="B371" s="2" t="str">
        <f>=HYPERLINK("https://www.xiaohongshu.com/user/profile/5b30fdc5e8ac2b31c56ab7b8", "https://www.xiaohongshu.com/user/profile/5b30fdc5e8ac2b31c56ab7b8")</f>
        <v>https://www.xiaohongshu.com/user/profile/5b30fdc5e8ac2b31c56ab7b8</v>
      </c>
      <c r="C371" s="2" t="str">
        <f>=HYPERLINK("https://pgy.xiaohongshu.com/solar/pre-trade/blogger-detail/5b30fdc5e8ac2b31c56ab7b8", "https://pgy.xiaohongshu.com/solar/pre-trade/blogger-detail/5b30fdc5e8ac2b31c56ab7b8")</f>
        <v>https://pgy.xiaohongshu.com/solar/pre-trade/blogger-detail/5b30fdc5e8ac2b31c56ab7b8</v>
      </c>
      <c r="D371" t="inlineStr">
        <is>
          <t>女</t>
        </is>
      </c>
      <c r="E371" t="inlineStr">
        <is>
          <t>walnutnut16</t>
        </is>
      </c>
      <c r="F371" t="inlineStr">
        <is>
          <t>淘淘吃桃桃</t>
        </is>
      </c>
      <c r="G371" t="inlineStr">
        <is>
          <t>北京</t>
        </is>
      </c>
      <c r="H371" t="inlineStr">
        <is>
          <t>学生</t>
        </is>
      </c>
      <c r="I371" t="inlineStr">
        <is>
          <t>兴趣爱好, 教育</t>
        </is>
      </c>
      <c r="J371">
        <v>10272</v>
      </c>
      <c r="K371" t="inlineStr">
        <is>
          <t>1.0</t>
        </is>
      </c>
      <c r="L371">
        <v>8852</v>
      </c>
      <c r="M371">
        <v>1033</v>
      </c>
      <c r="N371">
        <v>175</v>
      </c>
      <c r="O371">
        <v>300</v>
      </c>
      <c r="P371">
        <v>0</v>
      </c>
      <c r="Q371">
        <v>0.444</v>
      </c>
      <c r="R371">
        <v>8852</v>
      </c>
      <c r="S371">
        <v>1033</v>
      </c>
      <c r="T371">
        <v>151</v>
      </c>
      <c r="U371">
        <v>0.59</v>
      </c>
      <c r="V371">
        <v>300</v>
      </c>
      <c r="W371">
        <v>0.444</v>
      </c>
      <c r="X371">
        <v>0</v>
      </c>
      <c r="Y371">
        <v>33.89</v>
      </c>
      <c r="Z371">
        <v>1.71</v>
      </c>
      <c r="AA371">
        <v>0</v>
      </c>
      <c r="AB371">
        <v>0</v>
      </c>
      <c r="AC371">
        <v>0</v>
      </c>
      <c r="AD371">
        <v>0</v>
      </c>
      <c r="AE371">
        <v>488</v>
      </c>
      <c r="AF371">
        <v>0</v>
      </c>
      <c r="AG371">
        <v>0</v>
      </c>
      <c r="AH371">
        <v>0</v>
      </c>
      <c r="AI371">
        <v>0</v>
      </c>
      <c r="AJ371">
        <v>0</v>
      </c>
      <c r="AK371">
        <v>8916</v>
      </c>
      <c r="AL371">
        <v>1536</v>
      </c>
      <c r="AM371">
        <v>342</v>
      </c>
      <c r="AN371">
        <v>0</v>
      </c>
      <c r="AO371">
        <v>0</v>
      </c>
      <c r="AP371">
        <v>0.812</v>
      </c>
      <c r="AQ371">
        <v>0.076</v>
      </c>
      <c r="AR371">
        <v>0.0139999999999999</v>
      </c>
      <c r="AS371" s="3">
        <v>46107.769224537034</v>
      </c>
    </row>
    <row r="372" ht="25.5" customHeight="1">
      <c r="A372" t="inlineStr">
        <is>
          <t>5d1b01ec000000001001064e</t>
        </is>
      </c>
      <c r="B372" s="2" t="str">
        <f>=HYPERLINK("https://www.xiaohongshu.com/user/profile/5d1b01ec000000001001064e", "https://www.xiaohongshu.com/user/profile/5d1b01ec000000001001064e")</f>
        <v>https://www.xiaohongshu.com/user/profile/5d1b01ec000000001001064e</v>
      </c>
      <c r="C372" s="2" t="str">
        <f>=HYPERLINK("https://pgy.xiaohongshu.com/solar/pre-trade/blogger-detail/5d1b01ec000000001001064e", "https://pgy.xiaohongshu.com/solar/pre-trade/blogger-detail/5d1b01ec000000001001064e")</f>
        <v>https://pgy.xiaohongshu.com/solar/pre-trade/blogger-detail/5d1b01ec000000001001064e</v>
      </c>
      <c r="D372" t="inlineStr">
        <is>
          <t>女</t>
        </is>
      </c>
      <c r="E372" t="inlineStr">
        <is>
          <t>939208147</t>
        </is>
      </c>
      <c r="F372" t="inlineStr">
        <is>
          <t>霍格沃兹小麻瓜</t>
        </is>
      </c>
      <c r="G372" t="inlineStr">
        <is>
          <t>江苏 南京 鼓楼区</t>
        </is>
      </c>
      <c r="H372" t="inlineStr">
        <is>
          <t>考研过来人, 学生</t>
        </is>
      </c>
      <c r="I372" t="inlineStr">
        <is>
          <t>教育</t>
        </is>
      </c>
      <c r="J372">
        <v>2298</v>
      </c>
      <c r="K372" t="inlineStr">
        <is>
          <t>0.2</t>
        </is>
      </c>
      <c r="L372">
        <v>5738</v>
      </c>
      <c r="M372">
        <v>1322</v>
      </c>
      <c r="N372">
        <v>192</v>
      </c>
      <c r="O372">
        <v>225</v>
      </c>
      <c r="P372">
        <v>0</v>
      </c>
      <c r="Q372">
        <v>0.2</v>
      </c>
      <c r="R372">
        <v>5738</v>
      </c>
      <c r="S372">
        <v>1322</v>
      </c>
      <c r="T372">
        <v>144</v>
      </c>
      <c r="U372">
        <v>0.47</v>
      </c>
      <c r="V372">
        <v>225</v>
      </c>
      <c r="W372">
        <v>0.2</v>
      </c>
      <c r="X372">
        <v>0</v>
      </c>
      <c r="Y372">
        <v>39.21</v>
      </c>
      <c r="Z372">
        <v>1.17</v>
      </c>
      <c r="AA372">
        <v>0</v>
      </c>
      <c r="AB372">
        <v>0</v>
      </c>
      <c r="AC372">
        <v>0</v>
      </c>
      <c r="AD372">
        <v>0</v>
      </c>
      <c r="AE372">
        <v>338</v>
      </c>
      <c r="AF372">
        <v>0</v>
      </c>
      <c r="AG372">
        <v>0</v>
      </c>
      <c r="AH372">
        <v>0</v>
      </c>
      <c r="AI372">
        <v>0</v>
      </c>
      <c r="AJ372">
        <v>0</v>
      </c>
      <c r="AK372">
        <v>0</v>
      </c>
      <c r="AL372">
        <v>0</v>
      </c>
      <c r="AM372">
        <v>0</v>
      </c>
      <c r="AN372">
        <v>0</v>
      </c>
      <c r="AO372">
        <v>0</v>
      </c>
      <c r="AP372">
        <v>0.893</v>
      </c>
      <c r="AQ372">
        <v>0.133</v>
      </c>
      <c r="AR372">
        <v>0.188999999999999</v>
      </c>
      <c r="AS372" s="3">
        <v>46107.769224537034</v>
      </c>
    </row>
    <row r="373" ht="25.5" customHeight="1">
      <c r="A373" t="inlineStr">
        <is>
          <t>5ce8d7310000000011037774</t>
        </is>
      </c>
      <c r="B373" s="2" t="str">
        <f>=HYPERLINK("https://www.xiaohongshu.com/user/profile/5ce8d7310000000011037774", "https://www.xiaohongshu.com/user/profile/5ce8d7310000000011037774")</f>
        <v>https://www.xiaohongshu.com/user/profile/5ce8d7310000000011037774</v>
      </c>
      <c r="C373" s="2" t="str">
        <f>=HYPERLINK("https://pgy.xiaohongshu.com/solar/pre-trade/blogger-detail/5ce8d7310000000011037774", "https://pgy.xiaohongshu.com/solar/pre-trade/blogger-detail/5ce8d7310000000011037774")</f>
        <v>https://pgy.xiaohongshu.com/solar/pre-trade/blogger-detail/5ce8d7310000000011037774</v>
      </c>
      <c r="D373" t="inlineStr">
        <is>
          <t>男</t>
        </is>
      </c>
      <c r="E373" t="inlineStr">
        <is>
          <t>Pipy777</t>
        </is>
      </c>
      <c r="F373" t="inlineStr">
        <is>
          <t>Pipy</t>
        </is>
      </c>
      <c r="G373" t="inlineStr">
        <is>
          <t>湖南 长沙 岳麓区</t>
        </is>
      </c>
      <c r="H373"/>
      <c r="I373" t="inlineStr">
        <is>
          <t>教育</t>
        </is>
      </c>
      <c r="J373">
        <v>86723</v>
      </c>
      <c r="K373" t="inlineStr">
        <is>
          <t>8.7</t>
        </is>
      </c>
      <c r="L373">
        <v>8522</v>
      </c>
      <c r="M373">
        <v>3315</v>
      </c>
      <c r="N373">
        <v>310</v>
      </c>
      <c r="O373">
        <v>2600</v>
      </c>
      <c r="P373">
        <v>0.077</v>
      </c>
      <c r="Q373">
        <v>0.615</v>
      </c>
      <c r="R373">
        <v>0</v>
      </c>
      <c r="S373">
        <v>0</v>
      </c>
      <c r="T373">
        <v>0</v>
      </c>
      <c r="U373">
        <v>0</v>
      </c>
      <c r="V373">
        <v>2600</v>
      </c>
      <c r="W373">
        <v>0</v>
      </c>
      <c r="X373">
        <v>0</v>
      </c>
      <c r="Y373">
        <v>0</v>
      </c>
      <c r="Z373">
        <v>0</v>
      </c>
      <c r="AA373">
        <v>8522</v>
      </c>
      <c r="AB373">
        <v>3315</v>
      </c>
      <c r="AC373">
        <v>318</v>
      </c>
      <c r="AD373">
        <v>3.01</v>
      </c>
      <c r="AE373">
        <v>5000</v>
      </c>
      <c r="AF373">
        <v>0.615</v>
      </c>
      <c r="AG373">
        <v>0.077</v>
      </c>
      <c r="AH373">
        <v>0.288</v>
      </c>
      <c r="AI373">
        <v>586.72</v>
      </c>
      <c r="AJ373">
        <v>16.13</v>
      </c>
      <c r="AK373">
        <v>0</v>
      </c>
      <c r="AL373">
        <v>0</v>
      </c>
      <c r="AM373">
        <v>0</v>
      </c>
      <c r="AN373">
        <v>0</v>
      </c>
      <c r="AO373">
        <v>0</v>
      </c>
      <c r="AP373">
        <v>0.767</v>
      </c>
      <c r="AQ373">
        <v>0.019</v>
      </c>
      <c r="AR373">
        <v>-0.002</v>
      </c>
      <c r="AS373" s="3">
        <v>46107.769224537034</v>
      </c>
    </row>
    <row r="374" ht="25.5" customHeight="1">
      <c r="A374" t="inlineStr">
        <is>
          <t>5e0b7fc60000000001005f83</t>
        </is>
      </c>
      <c r="B374" s="2" t="str">
        <f>=HYPERLINK("https://www.xiaohongshu.com/user/profile/5e0b7fc60000000001005f83", "https://www.xiaohongshu.com/user/profile/5e0b7fc60000000001005f83")</f>
        <v>https://www.xiaohongshu.com/user/profile/5e0b7fc60000000001005f83</v>
      </c>
      <c r="C374" s="2" t="str">
        <f>=HYPERLINK("https://pgy.xiaohongshu.com/solar/pre-trade/blogger-detail/5e0b7fc60000000001005f83", "https://pgy.xiaohongshu.com/solar/pre-trade/blogger-detail/5e0b7fc60000000001005f83")</f>
        <v>https://pgy.xiaohongshu.com/solar/pre-trade/blogger-detail/5e0b7fc60000000001005f83</v>
      </c>
      <c r="D374" t="inlineStr">
        <is>
          <t>女</t>
        </is>
      </c>
      <c r="E374" t="inlineStr">
        <is>
          <t>Gdyy0610</t>
        </is>
      </c>
      <c r="F374" t="inlineStr">
        <is>
          <t>无忧越的知识库</t>
        </is>
      </c>
      <c r="G374" t="inlineStr">
        <is>
          <t>广东 广州 海珠区</t>
        </is>
      </c>
      <c r="H374" t="inlineStr">
        <is>
          <t>考研过来人, 学生</t>
        </is>
      </c>
      <c r="I374" t="inlineStr">
        <is>
          <t>教育</t>
        </is>
      </c>
      <c r="J374">
        <v>21552</v>
      </c>
      <c r="K374" t="inlineStr">
        <is>
          <t>2.2</t>
        </is>
      </c>
      <c r="L374">
        <v>6462</v>
      </c>
      <c r="M374">
        <v>1076</v>
      </c>
      <c r="N374">
        <v>112</v>
      </c>
      <c r="O374">
        <v>835</v>
      </c>
      <c r="P374">
        <v>0</v>
      </c>
      <c r="Q374">
        <v>0.332999999999999</v>
      </c>
      <c r="R374">
        <v>5635</v>
      </c>
      <c r="S374">
        <v>1047</v>
      </c>
      <c r="T374">
        <v>15</v>
      </c>
      <c r="U374">
        <v>1.71</v>
      </c>
      <c r="V374">
        <v>835</v>
      </c>
      <c r="W374">
        <v>0</v>
      </c>
      <c r="X374">
        <v>0</v>
      </c>
      <c r="Y374">
        <v>203.26</v>
      </c>
      <c r="Z374">
        <v>55.67</v>
      </c>
      <c r="AA374">
        <v>7289</v>
      </c>
      <c r="AB374">
        <v>1106</v>
      </c>
      <c r="AC374">
        <v>118</v>
      </c>
      <c r="AD374">
        <v>3.39</v>
      </c>
      <c r="AE374">
        <v>2088</v>
      </c>
      <c r="AF374">
        <v>0.4</v>
      </c>
      <c r="AG374">
        <v>0</v>
      </c>
      <c r="AH374">
        <v>0.05</v>
      </c>
      <c r="AI374">
        <v>286.46</v>
      </c>
      <c r="AJ374">
        <v>16.7</v>
      </c>
      <c r="AK374">
        <v>2646</v>
      </c>
      <c r="AL374">
        <v>136</v>
      </c>
      <c r="AM374">
        <v>4</v>
      </c>
      <c r="AN374">
        <v>1</v>
      </c>
      <c r="AO374">
        <v>709.33</v>
      </c>
      <c r="AP374">
        <v>0.725</v>
      </c>
      <c r="AQ374">
        <v>0.022</v>
      </c>
      <c r="AR374">
        <v>0.004</v>
      </c>
      <c r="AS374" s="3">
        <v>46107.769224537034</v>
      </c>
    </row>
    <row r="375" ht="25.5" customHeight="1">
      <c r="A375" t="inlineStr">
        <is>
          <t>5ac71c88e8ac2b2936faa867</t>
        </is>
      </c>
      <c r="B375" s="2" t="str">
        <f>=HYPERLINK("https://www.xiaohongshu.com/user/profile/5ac71c88e8ac2b2936faa867", "https://www.xiaohongshu.com/user/profile/5ac71c88e8ac2b2936faa867")</f>
        <v>https://www.xiaohongshu.com/user/profile/5ac71c88e8ac2b2936faa867</v>
      </c>
      <c r="C375" s="2" t="str">
        <f>=HYPERLINK("https://pgy.xiaohongshu.com/solar/pre-trade/blogger-detail/5ac71c88e8ac2b2936faa867", "https://pgy.xiaohongshu.com/solar/pre-trade/blogger-detail/5ac71c88e8ac2b2936faa867")</f>
        <v>https://pgy.xiaohongshu.com/solar/pre-trade/blogger-detail/5ac71c88e8ac2b2936faa867</v>
      </c>
      <c r="D375" t="inlineStr">
        <is>
          <t>女</t>
        </is>
      </c>
      <c r="E375" t="inlineStr">
        <is>
          <t>187057537</t>
        </is>
      </c>
      <c r="F375" t="inlineStr">
        <is>
          <t>可可里💫</t>
        </is>
      </c>
      <c r="G375" t="inlineStr">
        <is>
          <t>天津</t>
        </is>
      </c>
      <c r="H375" t="inlineStr">
        <is>
          <t>考研过来人, 数码爱好者, 学生</t>
        </is>
      </c>
      <c r="I375" t="inlineStr">
        <is>
          <t>教育</t>
        </is>
      </c>
      <c r="J375">
        <v>3453</v>
      </c>
      <c r="K375" t="inlineStr">
        <is>
          <t>0.3</t>
        </is>
      </c>
      <c r="L375">
        <v>1744</v>
      </c>
      <c r="M375">
        <v>366</v>
      </c>
      <c r="N375">
        <v>248</v>
      </c>
      <c r="O375">
        <v>270</v>
      </c>
      <c r="P375">
        <v>0</v>
      </c>
      <c r="Q375">
        <v>1</v>
      </c>
      <c r="R375">
        <v>1609</v>
      </c>
      <c r="S375">
        <v>302</v>
      </c>
      <c r="T375">
        <v>238</v>
      </c>
      <c r="U375">
        <v>1.14</v>
      </c>
      <c r="V375">
        <v>270</v>
      </c>
      <c r="W375">
        <v>1</v>
      </c>
      <c r="X375">
        <v>0</v>
      </c>
      <c r="Y375">
        <v>155.98</v>
      </c>
      <c r="Z375">
        <v>1.1</v>
      </c>
      <c r="AA375">
        <v>2226</v>
      </c>
      <c r="AB375">
        <v>487</v>
      </c>
      <c r="AC375">
        <v>257</v>
      </c>
      <c r="AD375">
        <v>2.36</v>
      </c>
      <c r="AE375">
        <v>380</v>
      </c>
      <c r="AF375">
        <v>1</v>
      </c>
      <c r="AG375">
        <v>0</v>
      </c>
      <c r="AH375">
        <v>0.17</v>
      </c>
      <c r="AI375">
        <v>188.49</v>
      </c>
      <c r="AJ375">
        <v>1.48</v>
      </c>
      <c r="AK375">
        <v>2893</v>
      </c>
      <c r="AL375">
        <v>372</v>
      </c>
      <c r="AM375">
        <v>230</v>
      </c>
      <c r="AN375">
        <v>0</v>
      </c>
      <c r="AO375">
        <v>980.97</v>
      </c>
      <c r="AP375">
        <v>0.87</v>
      </c>
      <c r="AQ375">
        <v>0.111999999999999</v>
      </c>
      <c r="AR375">
        <v>0.096</v>
      </c>
      <c r="AS375" s="3">
        <v>46107.769224537034</v>
      </c>
    </row>
    <row r="376" ht="25.5" customHeight="1">
      <c r="A376" t="inlineStr">
        <is>
          <t>56ea907c1c07df5eb399c311</t>
        </is>
      </c>
      <c r="B376" s="2" t="str">
        <f>=HYPERLINK("https://www.xiaohongshu.com/user/profile/56ea907c1c07df5eb399c311", "https://www.xiaohongshu.com/user/profile/56ea907c1c07df5eb399c311")</f>
        <v>https://www.xiaohongshu.com/user/profile/56ea907c1c07df5eb399c311</v>
      </c>
      <c r="C376" s="2" t="str">
        <f>=HYPERLINK("https://pgy.xiaohongshu.com/solar/pre-trade/blogger-detail/56ea907c1c07df5eb399c311", "https://pgy.xiaohongshu.com/solar/pre-trade/blogger-detail/56ea907c1c07df5eb399c311")</f>
        <v>https://pgy.xiaohongshu.com/solar/pre-trade/blogger-detail/56ea907c1c07df5eb399c311</v>
      </c>
      <c r="D376" t="inlineStr">
        <is>
          <t>女</t>
        </is>
      </c>
      <c r="E376" t="inlineStr">
        <is>
          <t>533846861</t>
        </is>
      </c>
      <c r="F376" t="inlineStr">
        <is>
          <t>大钰大钰</t>
        </is>
      </c>
      <c r="G376" t="inlineStr">
        <is>
          <t>江苏 苏州 苏州工业园区</t>
        </is>
      </c>
      <c r="H376" t="inlineStr">
        <is>
          <t>手账爱好者, 学生, 翻译</t>
        </is>
      </c>
      <c r="I376" t="inlineStr">
        <is>
          <t>教育</t>
        </is>
      </c>
      <c r="J376">
        <v>8512</v>
      </c>
      <c r="K376" t="inlineStr">
        <is>
          <t>0.9</t>
        </is>
      </c>
      <c r="L376">
        <v>16638</v>
      </c>
      <c r="M376">
        <v>2503</v>
      </c>
      <c r="N376">
        <v>170</v>
      </c>
      <c r="O376">
        <v>178</v>
      </c>
      <c r="P376">
        <v>0.286</v>
      </c>
      <c r="Q376">
        <v>0.429</v>
      </c>
      <c r="R376">
        <v>0</v>
      </c>
      <c r="S376">
        <v>0</v>
      </c>
      <c r="T376">
        <v>0</v>
      </c>
      <c r="U376">
        <v>0</v>
      </c>
      <c r="V376">
        <v>178</v>
      </c>
      <c r="W376">
        <v>0</v>
      </c>
      <c r="X376">
        <v>0</v>
      </c>
      <c r="Y376">
        <v>0</v>
      </c>
      <c r="Z376">
        <v>0</v>
      </c>
      <c r="AA376">
        <v>16638</v>
      </c>
      <c r="AB376">
        <v>2503</v>
      </c>
      <c r="AC376">
        <v>125</v>
      </c>
      <c r="AD376">
        <v>1.57</v>
      </c>
      <c r="AE376">
        <v>238</v>
      </c>
      <c r="AF376">
        <v>0.429</v>
      </c>
      <c r="AG376">
        <v>0.286</v>
      </c>
      <c r="AH376">
        <v>0.015</v>
      </c>
      <c r="AI376">
        <v>12.36</v>
      </c>
      <c r="AJ376">
        <v>1.31</v>
      </c>
      <c r="AK376">
        <v>48449</v>
      </c>
      <c r="AL376">
        <v>12379</v>
      </c>
      <c r="AM376">
        <v>2231</v>
      </c>
      <c r="AN376">
        <v>0</v>
      </c>
      <c r="AO376">
        <v>0</v>
      </c>
      <c r="AP376">
        <v>0.948</v>
      </c>
      <c r="AQ376">
        <v>0.416</v>
      </c>
      <c r="AR376">
        <v>1.115</v>
      </c>
      <c r="AS376" s="3">
        <v>46107.769224537034</v>
      </c>
    </row>
    <row r="377" ht="25.5" customHeight="1">
      <c r="A377" t="inlineStr">
        <is>
          <t>5ba26a67469e01000113af63</t>
        </is>
      </c>
      <c r="B377" s="2" t="str">
        <f>=HYPERLINK("https://www.xiaohongshu.com/user/profile/5ba26a67469e01000113af63", "https://www.xiaohongshu.com/user/profile/5ba26a67469e01000113af63")</f>
        <v>https://www.xiaohongshu.com/user/profile/5ba26a67469e01000113af63</v>
      </c>
      <c r="C377" s="2" t="str">
        <f>=HYPERLINK("https://pgy.xiaohongshu.com/solar/pre-trade/blogger-detail/5ba26a67469e01000113af63", "https://pgy.xiaohongshu.com/solar/pre-trade/blogger-detail/5ba26a67469e01000113af63")</f>
        <v>https://pgy.xiaohongshu.com/solar/pre-trade/blogger-detail/5ba26a67469e01000113af63</v>
      </c>
      <c r="D377" t="inlineStr">
        <is>
          <t>女</t>
        </is>
      </c>
      <c r="E377" t="inlineStr">
        <is>
          <t>T2208821853</t>
        </is>
      </c>
      <c r="F377" t="inlineStr">
        <is>
          <t>酸辣粉鳕鱼</t>
        </is>
      </c>
      <c r="G377" t="inlineStr">
        <is>
          <t>加拿大</t>
        </is>
      </c>
      <c r="H377" t="inlineStr">
        <is>
          <t>留学背景, 学生</t>
        </is>
      </c>
      <c r="I377" t="inlineStr">
        <is>
          <t>教育</t>
        </is>
      </c>
      <c r="J377">
        <v>156160</v>
      </c>
      <c r="K377" t="inlineStr">
        <is>
          <t>15.6</t>
        </is>
      </c>
      <c r="L377">
        <v>39286</v>
      </c>
      <c r="M377">
        <v>6496</v>
      </c>
      <c r="N377">
        <v>755</v>
      </c>
      <c r="O377">
        <v>9000</v>
      </c>
      <c r="P377">
        <v>0</v>
      </c>
      <c r="Q377">
        <v>1</v>
      </c>
      <c r="R377">
        <v>0</v>
      </c>
      <c r="S377">
        <v>0</v>
      </c>
      <c r="T377">
        <v>0</v>
      </c>
      <c r="U377">
        <v>0</v>
      </c>
      <c r="V377">
        <v>9000</v>
      </c>
      <c r="W377">
        <v>0</v>
      </c>
      <c r="X377">
        <v>0</v>
      </c>
      <c r="Y377">
        <v>0</v>
      </c>
      <c r="Z377">
        <v>0</v>
      </c>
      <c r="AA377">
        <v>39286</v>
      </c>
      <c r="AB377">
        <v>6496</v>
      </c>
      <c r="AC377">
        <v>705</v>
      </c>
      <c r="AD377">
        <v>2.79</v>
      </c>
      <c r="AE377">
        <v>10000</v>
      </c>
      <c r="AF377">
        <v>1</v>
      </c>
      <c r="AG377">
        <v>0</v>
      </c>
      <c r="AH377">
        <v>0.153</v>
      </c>
      <c r="AI377">
        <v>223</v>
      </c>
      <c r="AJ377">
        <v>11.37</v>
      </c>
      <c r="AK377">
        <v>52693</v>
      </c>
      <c r="AL377">
        <v>9955</v>
      </c>
      <c r="AM377">
        <v>1047</v>
      </c>
      <c r="AN377">
        <v>0</v>
      </c>
      <c r="AO377">
        <v>6.16</v>
      </c>
      <c r="AP377">
        <v>0.706</v>
      </c>
      <c r="AQ377">
        <v>0.015</v>
      </c>
      <c r="AR377">
        <v>0</v>
      </c>
      <c r="AS377" s="3">
        <v>46107.769224537034</v>
      </c>
    </row>
    <row r="378" ht="25.5" customHeight="1">
      <c r="A378" t="inlineStr">
        <is>
          <t>5e36bc4b0000000001005af6</t>
        </is>
      </c>
      <c r="B378" s="2" t="str">
        <f>=HYPERLINK("https://www.xiaohongshu.com/user/profile/5e36bc4b0000000001005af6", "https://www.xiaohongshu.com/user/profile/5e36bc4b0000000001005af6")</f>
        <v>https://www.xiaohongshu.com/user/profile/5e36bc4b0000000001005af6</v>
      </c>
      <c r="C378" s="2" t="str">
        <f>=HYPERLINK("https://pgy.xiaohongshu.com/solar/pre-trade/blogger-detail/5e36bc4b0000000001005af6", "https://pgy.xiaohongshu.com/solar/pre-trade/blogger-detail/5e36bc4b0000000001005af6")</f>
        <v>https://pgy.xiaohongshu.com/solar/pre-trade/blogger-detail/5e36bc4b0000000001005af6</v>
      </c>
      <c r="D378" t="inlineStr">
        <is>
          <t>女</t>
        </is>
      </c>
      <c r="E378" t="inlineStr">
        <is>
          <t>487571710</t>
        </is>
      </c>
      <c r="F378" t="inlineStr">
        <is>
          <t>何佳轩Jessie</t>
        </is>
      </c>
      <c r="G378" t="inlineStr">
        <is>
          <t>北京</t>
        </is>
      </c>
      <c r="H378" t="inlineStr">
        <is>
          <t>学生</t>
        </is>
      </c>
      <c r="I378" t="inlineStr">
        <is>
          <t>教育, 生活记录</t>
        </is>
      </c>
      <c r="J378">
        <v>10700</v>
      </c>
      <c r="K378" t="inlineStr">
        <is>
          <t>1.1</t>
        </is>
      </c>
      <c r="L378">
        <v>3698</v>
      </c>
      <c r="M378">
        <v>1090</v>
      </c>
      <c r="N378">
        <v>219</v>
      </c>
      <c r="O378">
        <v>1200</v>
      </c>
      <c r="P378">
        <v>0</v>
      </c>
      <c r="Q378">
        <v>0.571</v>
      </c>
      <c r="R378">
        <v>9314</v>
      </c>
      <c r="S378">
        <v>1898</v>
      </c>
      <c r="T378">
        <v>169</v>
      </c>
      <c r="U378">
        <v>2.12</v>
      </c>
      <c r="V378">
        <v>1200</v>
      </c>
      <c r="W378">
        <v>0.5</v>
      </c>
      <c r="X378">
        <v>0</v>
      </c>
      <c r="Y378">
        <v>240.17</v>
      </c>
      <c r="Z378">
        <v>14.55</v>
      </c>
      <c r="AA378">
        <v>3370</v>
      </c>
      <c r="AB378">
        <v>1090</v>
      </c>
      <c r="AC378">
        <v>172</v>
      </c>
      <c r="AD378">
        <v>3.33</v>
      </c>
      <c r="AE378">
        <v>2000</v>
      </c>
      <c r="AF378">
        <v>0.667</v>
      </c>
      <c r="AG378">
        <v>0</v>
      </c>
      <c r="AH378">
        <v>0.203</v>
      </c>
      <c r="AI378">
        <v>593.47</v>
      </c>
      <c r="AJ378">
        <v>9.13</v>
      </c>
      <c r="AK378">
        <v>4855</v>
      </c>
      <c r="AL378">
        <v>323</v>
      </c>
      <c r="AM378">
        <v>24</v>
      </c>
      <c r="AN378">
        <v>9</v>
      </c>
      <c r="AO378">
        <v>152.33</v>
      </c>
      <c r="AP378">
        <v>0.743</v>
      </c>
      <c r="AQ378">
        <v>0.024</v>
      </c>
      <c r="AR378">
        <v>0.004</v>
      </c>
      <c r="AS378" s="3">
        <v>46107.769224537034</v>
      </c>
    </row>
    <row r="379" ht="25.5" customHeight="1">
      <c r="A379" t="inlineStr">
        <is>
          <t>5b6abbfb5b3877000118e08f</t>
        </is>
      </c>
      <c r="B379" s="2" t="str">
        <f>=HYPERLINK("https://www.xiaohongshu.com/user/profile/5b6abbfb5b3877000118e08f", "https://www.xiaohongshu.com/user/profile/5b6abbfb5b3877000118e08f")</f>
        <v>https://www.xiaohongshu.com/user/profile/5b6abbfb5b3877000118e08f</v>
      </c>
      <c r="C379" s="2" t="str">
        <f>=HYPERLINK("https://pgy.xiaohongshu.com/solar/pre-trade/blogger-detail/5b6abbfb5b3877000118e08f", "https://pgy.xiaohongshu.com/solar/pre-trade/blogger-detail/5b6abbfb5b3877000118e08f")</f>
        <v>https://pgy.xiaohongshu.com/solar/pre-trade/blogger-detail/5b6abbfb5b3877000118e08f</v>
      </c>
      <c r="D379" t="inlineStr">
        <is>
          <t>女</t>
        </is>
      </c>
      <c r="E379" t="inlineStr">
        <is>
          <t>602656106</t>
        </is>
      </c>
      <c r="F379" t="inlineStr">
        <is>
          <t>今天也想喝茉莉鸳鸯</t>
        </is>
      </c>
      <c r="G379" t="inlineStr">
        <is>
          <t>韩国</t>
        </is>
      </c>
      <c r="H379"/>
      <c r="I379" t="inlineStr">
        <is>
          <t>美食, 教育, 生活记录</t>
        </is>
      </c>
      <c r="J379">
        <v>21773</v>
      </c>
      <c r="K379" t="inlineStr">
        <is>
          <t>2.2</t>
        </is>
      </c>
      <c r="L379">
        <v>15757</v>
      </c>
      <c r="M379">
        <v>3970</v>
      </c>
      <c r="N379">
        <v>281</v>
      </c>
      <c r="O379">
        <v>1000</v>
      </c>
      <c r="P379">
        <v>0</v>
      </c>
      <c r="Q379">
        <v>0.875</v>
      </c>
      <c r="R379">
        <v>6518</v>
      </c>
      <c r="S379">
        <v>1023</v>
      </c>
      <c r="T379">
        <v>60</v>
      </c>
      <c r="U379">
        <v>1.28</v>
      </c>
      <c r="V379">
        <v>1000</v>
      </c>
      <c r="W379">
        <v>0</v>
      </c>
      <c r="X379">
        <v>0</v>
      </c>
      <c r="Y379">
        <v>153.41</v>
      </c>
      <c r="Z379">
        <v>16</v>
      </c>
      <c r="AA379">
        <v>16213</v>
      </c>
      <c r="AB379">
        <v>4241</v>
      </c>
      <c r="AC379">
        <v>264</v>
      </c>
      <c r="AD379">
        <v>2.15</v>
      </c>
      <c r="AE379">
        <v>2600</v>
      </c>
      <c r="AF379">
        <v>1</v>
      </c>
      <c r="AG379">
        <v>0</v>
      </c>
      <c r="AH379">
        <v>0.166</v>
      </c>
      <c r="AI379">
        <v>165.01</v>
      </c>
      <c r="AJ379">
        <v>9.25</v>
      </c>
      <c r="AK379">
        <v>11229</v>
      </c>
      <c r="AL379">
        <v>2661</v>
      </c>
      <c r="AM379">
        <v>195</v>
      </c>
      <c r="AN379">
        <v>0</v>
      </c>
      <c r="AO379">
        <v>0</v>
      </c>
      <c r="AP379">
        <v>0.831</v>
      </c>
      <c r="AQ379">
        <v>0.051</v>
      </c>
      <c r="AR379">
        <v>0.016</v>
      </c>
      <c r="AS379" s="3">
        <v>46107.769224537034</v>
      </c>
    </row>
    <row r="380" ht="25.5" customHeight="1">
      <c r="A380" t="inlineStr">
        <is>
          <t>5c551240000000001a00478f</t>
        </is>
      </c>
      <c r="B380" s="2" t="str">
        <f>=HYPERLINK("https://www.xiaohongshu.com/user/profile/5c551240000000001a00478f", "https://www.xiaohongshu.com/user/profile/5c551240000000001a00478f")</f>
        <v>https://www.xiaohongshu.com/user/profile/5c551240000000001a00478f</v>
      </c>
      <c r="C380" s="2" t="str">
        <f>=HYPERLINK("https://pgy.xiaohongshu.com/solar/pre-trade/blogger-detail/5c551240000000001a00478f", "https://pgy.xiaohongshu.com/solar/pre-trade/blogger-detail/5c551240000000001a00478f")</f>
        <v>https://pgy.xiaohongshu.com/solar/pre-trade/blogger-detail/5c551240000000001a00478f</v>
      </c>
      <c r="D380" t="inlineStr">
        <is>
          <t>女</t>
        </is>
      </c>
      <c r="E380" t="inlineStr">
        <is>
          <t>magicmimi</t>
        </is>
      </c>
      <c r="F380" t="inlineStr">
        <is>
          <t>神奇米米</t>
        </is>
      </c>
      <c r="G380" t="inlineStr">
        <is>
          <t>美国</t>
        </is>
      </c>
      <c r="H380" t="inlineStr">
        <is>
          <t>留学背景, 海外华人, 厨师</t>
        </is>
      </c>
      <c r="I380" t="inlineStr">
        <is>
          <t>美食</t>
        </is>
      </c>
      <c r="J380">
        <v>164910</v>
      </c>
      <c r="K380" t="inlineStr">
        <is>
          <t>16.5</t>
        </is>
      </c>
      <c r="L380">
        <v>199136</v>
      </c>
      <c r="M380">
        <v>119347</v>
      </c>
      <c r="N380">
        <v>4812</v>
      </c>
      <c r="O380">
        <v>9000</v>
      </c>
      <c r="P380">
        <v>0.667</v>
      </c>
      <c r="Q380">
        <v>1</v>
      </c>
      <c r="R380">
        <v>0</v>
      </c>
      <c r="S380">
        <v>0</v>
      </c>
      <c r="T380">
        <v>0</v>
      </c>
      <c r="U380">
        <v>0</v>
      </c>
      <c r="V380">
        <v>9000</v>
      </c>
      <c r="W380">
        <v>0</v>
      </c>
      <c r="X380">
        <v>0</v>
      </c>
      <c r="Y380">
        <v>0</v>
      </c>
      <c r="Z380">
        <v>0</v>
      </c>
      <c r="AA380">
        <v>199136</v>
      </c>
      <c r="AB380">
        <v>119347</v>
      </c>
      <c r="AC380">
        <v>4111</v>
      </c>
      <c r="AD380">
        <v>1.84</v>
      </c>
      <c r="AE380">
        <v>24000</v>
      </c>
      <c r="AF380">
        <v>1</v>
      </c>
      <c r="AG380">
        <v>0.667</v>
      </c>
      <c r="AH380">
        <v>0.301</v>
      </c>
      <c r="AI380">
        <v>148.67</v>
      </c>
      <c r="AJ380">
        <v>6.94</v>
      </c>
      <c r="AK380">
        <v>123726</v>
      </c>
      <c r="AL380">
        <v>20056</v>
      </c>
      <c r="AM380">
        <v>1886</v>
      </c>
      <c r="AN380">
        <v>0</v>
      </c>
      <c r="AO380">
        <v>0</v>
      </c>
      <c r="AP380">
        <v>0.904</v>
      </c>
      <c r="AQ380">
        <v>0.034</v>
      </c>
      <c r="AR380">
        <v>0.016</v>
      </c>
      <c r="AS380" s="3">
        <v>46107.769224537034</v>
      </c>
    </row>
    <row r="381" ht="25.5" customHeight="1">
      <c r="A381" t="inlineStr">
        <is>
          <t>5a8d96814eacab25557721a7</t>
        </is>
      </c>
      <c r="B381" s="2" t="str">
        <f>=HYPERLINK("https://www.xiaohongshu.com/user/profile/5a8d96814eacab25557721a7", "https://www.xiaohongshu.com/user/profile/5a8d96814eacab25557721a7")</f>
        <v>https://www.xiaohongshu.com/user/profile/5a8d96814eacab25557721a7</v>
      </c>
      <c r="C381" s="2" t="str">
        <f>=HYPERLINK("https://pgy.xiaohongshu.com/solar/pre-trade/blogger-detail/5a8d96814eacab25557721a7", "https://pgy.xiaohongshu.com/solar/pre-trade/blogger-detail/5a8d96814eacab25557721a7")</f>
        <v>https://pgy.xiaohongshu.com/solar/pre-trade/blogger-detail/5a8d96814eacab25557721a7</v>
      </c>
      <c r="D381" t="inlineStr">
        <is>
          <t>女</t>
        </is>
      </c>
      <c r="E381" t="inlineStr">
        <is>
          <t>277815490</t>
        </is>
      </c>
      <c r="F381" t="inlineStr">
        <is>
          <t>读博的秋秋</t>
        </is>
      </c>
      <c r="G381" t="inlineStr">
        <is>
          <t>上海</t>
        </is>
      </c>
      <c r="H381" t="inlineStr">
        <is>
          <t>学生</t>
        </is>
      </c>
      <c r="I381" t="inlineStr">
        <is>
          <t>教育</t>
        </is>
      </c>
      <c r="J381">
        <v>18303</v>
      </c>
      <c r="K381" t="inlineStr">
        <is>
          <t>1.8</t>
        </is>
      </c>
      <c r="L381">
        <v>74617</v>
      </c>
      <c r="M381">
        <v>17611</v>
      </c>
      <c r="N381">
        <v>464</v>
      </c>
      <c r="O381">
        <v>1300</v>
      </c>
      <c r="P381">
        <v>0.1</v>
      </c>
      <c r="Q381">
        <v>0.9</v>
      </c>
      <c r="R381">
        <v>115052</v>
      </c>
      <c r="S381">
        <v>23048</v>
      </c>
      <c r="T381">
        <v>660</v>
      </c>
      <c r="U381">
        <v>0.37</v>
      </c>
      <c r="V381">
        <v>1300</v>
      </c>
      <c r="W381">
        <v>1</v>
      </c>
      <c r="X381">
        <v>0.111</v>
      </c>
      <c r="Y381">
        <v>17.42</v>
      </c>
      <c r="Z381">
        <v>2.8</v>
      </c>
      <c r="AA381">
        <v>3</v>
      </c>
      <c r="AB381">
        <v>4</v>
      </c>
      <c r="AC381">
        <v>0</v>
      </c>
      <c r="AD381">
        <v>626.5</v>
      </c>
      <c r="AE381">
        <v>2500</v>
      </c>
      <c r="AF381">
        <v>0</v>
      </c>
      <c r="AG381">
        <v>0</v>
      </c>
      <c r="AH381">
        <v>1</v>
      </c>
      <c r="AI381">
        <v>833333.33</v>
      </c>
      <c r="AJ381">
        <v>0</v>
      </c>
      <c r="AK381">
        <v>6375</v>
      </c>
      <c r="AL381">
        <v>757</v>
      </c>
      <c r="AM381">
        <v>136</v>
      </c>
      <c r="AN381">
        <v>0</v>
      </c>
      <c r="AO381">
        <v>0</v>
      </c>
      <c r="AP381">
        <v>0.759</v>
      </c>
      <c r="AQ381">
        <v>0.027</v>
      </c>
      <c r="AR381">
        <v>0.01</v>
      </c>
      <c r="AS381" s="3">
        <v>46107.769224537034</v>
      </c>
    </row>
    <row r="382" ht="25.5" customHeight="1">
      <c r="A382" t="inlineStr">
        <is>
          <t>5bee3b3544363b03e044e372</t>
        </is>
      </c>
      <c r="B382" s="2" t="str">
        <f>=HYPERLINK("https://www.xiaohongshu.com/user/profile/5bee3b3544363b03e044e372", "https://www.xiaohongshu.com/user/profile/5bee3b3544363b03e044e372")</f>
        <v>https://www.xiaohongshu.com/user/profile/5bee3b3544363b03e044e372</v>
      </c>
      <c r="C382" s="2" t="str">
        <f>=HYPERLINK("https://pgy.xiaohongshu.com/solar/pre-trade/blogger-detail/5bee3b3544363b03e044e372", "https://pgy.xiaohongshu.com/solar/pre-trade/blogger-detail/5bee3b3544363b03e044e372")</f>
        <v>https://pgy.xiaohongshu.com/solar/pre-trade/blogger-detail/5bee3b3544363b03e044e372</v>
      </c>
      <c r="D382" t="inlineStr">
        <is>
          <t>女</t>
        </is>
      </c>
      <c r="E382" t="inlineStr">
        <is>
          <t>841313600</t>
        </is>
      </c>
      <c r="F382" t="inlineStr">
        <is>
          <t>Sunny说外语</t>
        </is>
      </c>
      <c r="G382" t="inlineStr">
        <is>
          <t>四川 成都 武侯区</t>
        </is>
      </c>
      <c r="H382" t="inlineStr">
        <is>
          <t>留学背景</t>
        </is>
      </c>
      <c r="I382" t="inlineStr">
        <is>
          <t>教育</t>
        </is>
      </c>
      <c r="J382">
        <v>8583</v>
      </c>
      <c r="K382" t="inlineStr">
        <is>
          <t>0.9</t>
        </is>
      </c>
      <c r="L382">
        <v>4258</v>
      </c>
      <c r="M382">
        <v>2077</v>
      </c>
      <c r="N382">
        <v>107</v>
      </c>
      <c r="O382">
        <v>200</v>
      </c>
      <c r="P382">
        <v>0</v>
      </c>
      <c r="Q382">
        <v>0.444</v>
      </c>
      <c r="R382">
        <v>0</v>
      </c>
      <c r="S382">
        <v>0</v>
      </c>
      <c r="T382">
        <v>0</v>
      </c>
      <c r="U382">
        <v>0</v>
      </c>
      <c r="V382">
        <v>200</v>
      </c>
      <c r="W382">
        <v>0</v>
      </c>
      <c r="X382">
        <v>0</v>
      </c>
      <c r="Y382">
        <v>0</v>
      </c>
      <c r="Z382">
        <v>0</v>
      </c>
      <c r="AA382">
        <v>4258</v>
      </c>
      <c r="AB382">
        <v>2077</v>
      </c>
      <c r="AC382">
        <v>89</v>
      </c>
      <c r="AD382">
        <v>1.85</v>
      </c>
      <c r="AE382">
        <v>729</v>
      </c>
      <c r="AF382">
        <v>0.444</v>
      </c>
      <c r="AG382">
        <v>0</v>
      </c>
      <c r="AH382">
        <v>0.243</v>
      </c>
      <c r="AI382">
        <v>171.21</v>
      </c>
      <c r="AJ382">
        <v>6.81</v>
      </c>
      <c r="AK382">
        <v>0</v>
      </c>
      <c r="AL382">
        <v>0</v>
      </c>
      <c r="AM382">
        <v>0</v>
      </c>
      <c r="AN382">
        <v>0</v>
      </c>
      <c r="AO382">
        <v>0</v>
      </c>
      <c r="AP382">
        <v>0.93</v>
      </c>
      <c r="AQ382">
        <v>0.063</v>
      </c>
      <c r="AR382">
        <v>0.039</v>
      </c>
      <c r="AS382" s="3">
        <v>46107.769467592596</v>
      </c>
    </row>
    <row r="383" ht="25.5" customHeight="1">
      <c r="A383" t="inlineStr">
        <is>
          <t>64c9ffe4000000002b00afcb</t>
        </is>
      </c>
      <c r="B383" s="2" t="str">
        <f>=HYPERLINK("https://www.xiaohongshu.com/user/profile/64c9ffe4000000002b00afcb", "https://www.xiaohongshu.com/user/profile/64c9ffe4000000002b00afcb")</f>
        <v>https://www.xiaohongshu.com/user/profile/64c9ffe4000000002b00afcb</v>
      </c>
      <c r="C383" s="2" t="str">
        <f>=HYPERLINK("https://pgy.xiaohongshu.com/solar/pre-trade/blogger-detail/64c9ffe4000000002b00afcb", "https://pgy.xiaohongshu.com/solar/pre-trade/blogger-detail/64c9ffe4000000002b00afcb")</f>
        <v>https://pgy.xiaohongshu.com/solar/pre-trade/blogger-detail/64c9ffe4000000002b00afcb</v>
      </c>
      <c r="D383" t="inlineStr">
        <is>
          <t>男</t>
        </is>
      </c>
      <c r="E383" t="inlineStr">
        <is>
          <t>asukalemontea</t>
        </is>
      </c>
      <c r="F383" t="inlineStr">
        <is>
          <t>西西弗柠</t>
        </is>
      </c>
      <c r="G383" t="inlineStr">
        <is>
          <t>四川 雅安 雨城区</t>
        </is>
      </c>
      <c r="H383" t="inlineStr">
        <is>
          <t>学生, 作家</t>
        </is>
      </c>
      <c r="I383" t="inlineStr">
        <is>
          <t>兴趣爱好</t>
        </is>
      </c>
      <c r="J383">
        <v>16029</v>
      </c>
      <c r="K383" t="inlineStr">
        <is>
          <t>1.6</t>
        </is>
      </c>
      <c r="L383">
        <v>83145</v>
      </c>
      <c r="M383">
        <v>11331</v>
      </c>
      <c r="N383">
        <v>683</v>
      </c>
      <c r="O383">
        <v>600</v>
      </c>
      <c r="P383">
        <v>0.444</v>
      </c>
      <c r="Q383">
        <v>0.889</v>
      </c>
      <c r="R383">
        <v>134843</v>
      </c>
      <c r="S383">
        <v>16519</v>
      </c>
      <c r="T383">
        <v>958</v>
      </c>
      <c r="U383">
        <v>0.34</v>
      </c>
      <c r="V383">
        <v>600</v>
      </c>
      <c r="W383">
        <v>0.889</v>
      </c>
      <c r="X383">
        <v>0.444</v>
      </c>
      <c r="Y383">
        <v>6.58</v>
      </c>
      <c r="Z383">
        <v>0.26</v>
      </c>
      <c r="AA383">
        <v>0</v>
      </c>
      <c r="AB383">
        <v>0</v>
      </c>
      <c r="AC383">
        <v>0</v>
      </c>
      <c r="AD383">
        <v>0</v>
      </c>
      <c r="AE383">
        <v>0</v>
      </c>
      <c r="AF383">
        <v>0</v>
      </c>
      <c r="AG383">
        <v>0</v>
      </c>
      <c r="AH383">
        <v>0</v>
      </c>
      <c r="AI383">
        <v>0</v>
      </c>
      <c r="AJ383">
        <v>0</v>
      </c>
      <c r="AK383">
        <v>55939</v>
      </c>
      <c r="AL383">
        <v>10705</v>
      </c>
      <c r="AM383">
        <v>3511</v>
      </c>
      <c r="AN383">
        <v>0</v>
      </c>
      <c r="AO383">
        <v>0</v>
      </c>
      <c r="AP383">
        <v>0.914</v>
      </c>
      <c r="AQ383">
        <v>0.181</v>
      </c>
      <c r="AR383">
        <v>0.163</v>
      </c>
      <c r="AS383" s="3">
        <v>46107.769467592596</v>
      </c>
    </row>
    <row r="384" ht="25.5" customHeight="1">
      <c r="A384" t="inlineStr">
        <is>
          <t>5b85722f11be1023b9a61093</t>
        </is>
      </c>
      <c r="B384" s="2" t="str">
        <f>=HYPERLINK("https://www.xiaohongshu.com/user/profile/5b85722f11be1023b9a61093", "https://www.xiaohongshu.com/user/profile/5b85722f11be1023b9a61093")</f>
        <v>https://www.xiaohongshu.com/user/profile/5b85722f11be1023b9a61093</v>
      </c>
      <c r="C384" s="2" t="str">
        <f>=HYPERLINK("https://pgy.xiaohongshu.com/solar/pre-trade/blogger-detail/5b85722f11be1023b9a61093", "https://pgy.xiaohongshu.com/solar/pre-trade/blogger-detail/5b85722f11be1023b9a61093")</f>
        <v>https://pgy.xiaohongshu.com/solar/pre-trade/blogger-detail/5b85722f11be1023b9a61093</v>
      </c>
      <c r="D384" t="inlineStr">
        <is>
          <t>女</t>
        </is>
      </c>
      <c r="E384" t="inlineStr">
        <is>
          <t>294157843</t>
        </is>
      </c>
      <c r="F384" t="inlineStr">
        <is>
          <t>麓麓同学（减脂中）</t>
        </is>
      </c>
      <c r="G384" t="inlineStr">
        <is>
          <t>江西 南昌 新建区</t>
        </is>
      </c>
      <c r="H384" t="inlineStr">
        <is>
          <t>学生</t>
        </is>
      </c>
      <c r="I384" t="inlineStr">
        <is>
          <t>运动健身</t>
        </is>
      </c>
      <c r="J384">
        <v>2716</v>
      </c>
      <c r="K384" t="inlineStr">
        <is>
          <t>0.3</t>
        </is>
      </c>
      <c r="L384">
        <v>29359</v>
      </c>
      <c r="M384">
        <v>5154</v>
      </c>
      <c r="N384">
        <v>476</v>
      </c>
      <c r="O384">
        <v>256</v>
      </c>
      <c r="P384">
        <v>0.308</v>
      </c>
      <c r="Q384">
        <v>0.615</v>
      </c>
      <c r="R384">
        <v>29359</v>
      </c>
      <c r="S384">
        <v>5154</v>
      </c>
      <c r="T384">
        <v>475</v>
      </c>
      <c r="U384">
        <v>0.37</v>
      </c>
      <c r="V384">
        <v>256</v>
      </c>
      <c r="W384">
        <v>0.615</v>
      </c>
      <c r="X384">
        <v>0.308</v>
      </c>
      <c r="Y384">
        <v>12.3</v>
      </c>
      <c r="Z384">
        <v>0.56</v>
      </c>
      <c r="AA384">
        <v>0</v>
      </c>
      <c r="AB384">
        <v>0</v>
      </c>
      <c r="AC384">
        <v>0</v>
      </c>
      <c r="AD384">
        <v>0</v>
      </c>
      <c r="AE384">
        <v>425</v>
      </c>
      <c r="AF384">
        <v>0</v>
      </c>
      <c r="AG384">
        <v>0</v>
      </c>
      <c r="AH384">
        <v>0</v>
      </c>
      <c r="AI384">
        <v>0</v>
      </c>
      <c r="AJ384">
        <v>0</v>
      </c>
      <c r="AK384">
        <v>4109</v>
      </c>
      <c r="AL384">
        <v>544</v>
      </c>
      <c r="AM384">
        <v>32</v>
      </c>
      <c r="AN384">
        <v>0</v>
      </c>
      <c r="AO384">
        <v>0</v>
      </c>
      <c r="AP384">
        <v>0.992</v>
      </c>
      <c r="AQ384">
        <v>0.402</v>
      </c>
      <c r="AR384">
        <v>0</v>
      </c>
      <c r="AS384" s="3">
        <v>46107.769467592596</v>
      </c>
    </row>
    <row r="385" ht="25.5" customHeight="1">
      <c r="A385" t="inlineStr">
        <is>
          <t>5eb2d8100000000001006d2c</t>
        </is>
      </c>
      <c r="B385" s="2" t="str">
        <f>=HYPERLINK("https://www.xiaohongshu.com/user/profile/5eb2d8100000000001006d2c", "https://www.xiaohongshu.com/user/profile/5eb2d8100000000001006d2c")</f>
        <v>https://www.xiaohongshu.com/user/profile/5eb2d8100000000001006d2c</v>
      </c>
      <c r="C385" s="2" t="str">
        <f>=HYPERLINK("https://pgy.xiaohongshu.com/solar/pre-trade/blogger-detail/5eb2d8100000000001006d2c", "https://pgy.xiaohongshu.com/solar/pre-trade/blogger-detail/5eb2d8100000000001006d2c")</f>
        <v>https://pgy.xiaohongshu.com/solar/pre-trade/blogger-detail/5eb2d8100000000001006d2c</v>
      </c>
      <c r="D385" t="inlineStr">
        <is>
          <t>女</t>
        </is>
      </c>
      <c r="E385" t="inlineStr">
        <is>
          <t>789671207</t>
        </is>
      </c>
      <c r="F385" t="inlineStr">
        <is>
          <t>雅绮maki</t>
        </is>
      </c>
      <c r="G385" t="inlineStr">
        <is>
          <t>日本</t>
        </is>
      </c>
      <c r="H385" t="inlineStr">
        <is>
          <t>海外华人, 留学背景</t>
        </is>
      </c>
      <c r="I385" t="inlineStr">
        <is>
          <t>教育</t>
        </is>
      </c>
      <c r="J385">
        <v>48406</v>
      </c>
      <c r="K385" t="inlineStr">
        <is>
          <t>4.8</t>
        </is>
      </c>
      <c r="L385">
        <v>40032</v>
      </c>
      <c r="M385">
        <v>8742</v>
      </c>
      <c r="N385">
        <v>859</v>
      </c>
      <c r="O385">
        <v>6000</v>
      </c>
      <c r="P385">
        <v>0.332999999999999</v>
      </c>
      <c r="Q385">
        <v>1</v>
      </c>
      <c r="R385">
        <v>0</v>
      </c>
      <c r="S385">
        <v>0</v>
      </c>
      <c r="T385">
        <v>0</v>
      </c>
      <c r="U385">
        <v>0</v>
      </c>
      <c r="V385">
        <v>6000</v>
      </c>
      <c r="W385">
        <v>0</v>
      </c>
      <c r="X385">
        <v>0</v>
      </c>
      <c r="Y385">
        <v>0</v>
      </c>
      <c r="Z385">
        <v>0</v>
      </c>
      <c r="AA385">
        <v>40032</v>
      </c>
      <c r="AB385">
        <v>8742</v>
      </c>
      <c r="AC385">
        <v>545</v>
      </c>
      <c r="AD385">
        <v>2.64</v>
      </c>
      <c r="AE385">
        <v>10000</v>
      </c>
      <c r="AF385">
        <v>1</v>
      </c>
      <c r="AG385">
        <v>0.332999999999999</v>
      </c>
      <c r="AH385">
        <v>0.195</v>
      </c>
      <c r="AI385">
        <v>249.8</v>
      </c>
      <c r="AJ385">
        <v>11.64</v>
      </c>
      <c r="AK385">
        <v>0</v>
      </c>
      <c r="AL385">
        <v>0</v>
      </c>
      <c r="AM385">
        <v>0</v>
      </c>
      <c r="AN385">
        <v>0</v>
      </c>
      <c r="AO385">
        <v>0</v>
      </c>
      <c r="AP385">
        <v>0.826</v>
      </c>
      <c r="AQ385">
        <v>0.053</v>
      </c>
      <c r="AR385">
        <v>0.11</v>
      </c>
      <c r="AS385" s="3">
        <v>46107.769467592596</v>
      </c>
    </row>
    <row r="386" ht="25.5" customHeight="1">
      <c r="A386" t="inlineStr">
        <is>
          <t>648468bb000000001c028ef5</t>
        </is>
      </c>
      <c r="B386" s="2" t="str">
        <f>=HYPERLINK("https://www.xiaohongshu.com/user/profile/648468bb000000001c028ef5", "https://www.xiaohongshu.com/user/profile/648468bb000000001c028ef5")</f>
        <v>https://www.xiaohongshu.com/user/profile/648468bb000000001c028ef5</v>
      </c>
      <c r="C386" s="2" t="str">
        <f>=HYPERLINK("https://pgy.xiaohongshu.com/solar/pre-trade/blogger-detail/648468bb000000001c028ef5", "https://pgy.xiaohongshu.com/solar/pre-trade/blogger-detail/648468bb000000001c028ef5")</f>
        <v>https://pgy.xiaohongshu.com/solar/pre-trade/blogger-detail/648468bb000000001c028ef5</v>
      </c>
      <c r="D386" t="inlineStr">
        <is>
          <t>女</t>
        </is>
      </c>
      <c r="E386" t="inlineStr">
        <is>
          <t>7437172983</t>
        </is>
      </c>
      <c r="F386" t="inlineStr">
        <is>
          <t>努力学英语的Grace</t>
        </is>
      </c>
      <c r="G386" t="inlineStr">
        <is>
          <t>湖北 武汉 洪山区</t>
        </is>
      </c>
      <c r="H386" t="inlineStr">
        <is>
          <t>学生</t>
        </is>
      </c>
      <c r="I386" t="inlineStr">
        <is>
          <t>教育</t>
        </is>
      </c>
      <c r="J386">
        <v>13511</v>
      </c>
      <c r="K386" t="inlineStr">
        <is>
          <t>1.4</t>
        </is>
      </c>
      <c r="L386">
        <v>11467</v>
      </c>
      <c r="M386">
        <v>1496</v>
      </c>
      <c r="N386">
        <v>111</v>
      </c>
      <c r="O386">
        <v>450</v>
      </c>
      <c r="P386">
        <v>0.143</v>
      </c>
      <c r="Q386">
        <v>0.286</v>
      </c>
      <c r="R386">
        <v>13556</v>
      </c>
      <c r="S386">
        <v>2417</v>
      </c>
      <c r="T386">
        <v>63</v>
      </c>
      <c r="U386">
        <v>0.49</v>
      </c>
      <c r="V386">
        <v>450</v>
      </c>
      <c r="W386">
        <v>0</v>
      </c>
      <c r="X386">
        <v>0</v>
      </c>
      <c r="Y386">
        <v>33.2</v>
      </c>
      <c r="Z386">
        <v>6.34</v>
      </c>
      <c r="AA386">
        <v>10250</v>
      </c>
      <c r="AB386">
        <v>1299</v>
      </c>
      <c r="AC386">
        <v>101</v>
      </c>
      <c r="AD386">
        <v>2.15</v>
      </c>
      <c r="AE386">
        <v>848</v>
      </c>
      <c r="AF386">
        <v>0.332999999999999</v>
      </c>
      <c r="AG386">
        <v>0.166999999999999</v>
      </c>
      <c r="AH386">
        <v>0.059</v>
      </c>
      <c r="AI386">
        <v>82.73</v>
      </c>
      <c r="AJ386">
        <v>6.38</v>
      </c>
      <c r="AK386">
        <v>0</v>
      </c>
      <c r="AL386">
        <v>0</v>
      </c>
      <c r="AM386">
        <v>0</v>
      </c>
      <c r="AN386">
        <v>0</v>
      </c>
      <c r="AO386">
        <v>0</v>
      </c>
      <c r="AP386">
        <v>0.951</v>
      </c>
      <c r="AQ386">
        <v>0.051</v>
      </c>
      <c r="AR386">
        <v>0.1</v>
      </c>
      <c r="AS386" s="3">
        <v>46107.769467592596</v>
      </c>
    </row>
    <row r="387" ht="25.5" customHeight="1">
      <c r="A387" t="inlineStr">
        <is>
          <t>6794a03f000000000e01cc46</t>
        </is>
      </c>
      <c r="B387" s="2" t="str">
        <f>=HYPERLINK("https://www.xiaohongshu.com/user/profile/6794a03f000000000e01cc46", "https://www.xiaohongshu.com/user/profile/6794a03f000000000e01cc46")</f>
        <v>https://www.xiaohongshu.com/user/profile/6794a03f000000000e01cc46</v>
      </c>
      <c r="C387" s="2" t="str">
        <f>=HYPERLINK("https://pgy.xiaohongshu.com/solar/pre-trade/blogger-detail/6794a03f000000000e01cc46", "https://pgy.xiaohongshu.com/solar/pre-trade/blogger-detail/6794a03f000000000e01cc46")</f>
        <v>https://pgy.xiaohongshu.com/solar/pre-trade/blogger-detail/6794a03f000000000e01cc46</v>
      </c>
      <c r="D387" t="inlineStr">
        <is>
          <t>女</t>
        </is>
      </c>
      <c r="E387" t="inlineStr">
        <is>
          <t>11519010120</t>
        </is>
      </c>
      <c r="F387" t="inlineStr">
        <is>
          <t>Jo大王（帅气学姐版</t>
        </is>
      </c>
      <c r="G387" t="inlineStr">
        <is>
          <t>上海</t>
        </is>
      </c>
      <c r="H387"/>
      <c r="I387" t="inlineStr">
        <is>
          <t>教育</t>
        </is>
      </c>
      <c r="J387">
        <v>3096</v>
      </c>
      <c r="K387" t="inlineStr">
        <is>
          <t>0.3</t>
        </is>
      </c>
      <c r="L387">
        <v>6279</v>
      </c>
      <c r="M387">
        <v>1969</v>
      </c>
      <c r="N387">
        <v>199</v>
      </c>
      <c r="O387">
        <v>500</v>
      </c>
      <c r="P387">
        <v>0.286</v>
      </c>
      <c r="Q387">
        <v>0.571</v>
      </c>
      <c r="R387">
        <v>0</v>
      </c>
      <c r="S387">
        <v>0</v>
      </c>
      <c r="T387">
        <v>0</v>
      </c>
      <c r="U387">
        <v>0</v>
      </c>
      <c r="V387">
        <v>500</v>
      </c>
      <c r="W387">
        <v>0</v>
      </c>
      <c r="X387">
        <v>0</v>
      </c>
      <c r="Y387">
        <v>0</v>
      </c>
      <c r="Z387">
        <v>0</v>
      </c>
      <c r="AA387">
        <v>6279</v>
      </c>
      <c r="AB387">
        <v>1969</v>
      </c>
      <c r="AC387">
        <v>141</v>
      </c>
      <c r="AD387">
        <v>1.9</v>
      </c>
      <c r="AE387">
        <v>800</v>
      </c>
      <c r="AF387">
        <v>0.571</v>
      </c>
      <c r="AG387">
        <v>0.286</v>
      </c>
      <c r="AH387">
        <v>0.268</v>
      </c>
      <c r="AI387">
        <v>112.12</v>
      </c>
      <c r="AJ387">
        <v>3.71</v>
      </c>
      <c r="AK387">
        <v>383148</v>
      </c>
      <c r="AL387">
        <v>10534</v>
      </c>
      <c r="AM387">
        <v>1805</v>
      </c>
      <c r="AN387">
        <v>0</v>
      </c>
      <c r="AO387">
        <v>0</v>
      </c>
      <c r="AP387">
        <v>0.704</v>
      </c>
      <c r="AQ387">
        <v>0.09</v>
      </c>
      <c r="AR387">
        <v>0.148</v>
      </c>
      <c r="AS387" s="3">
        <v>46107.769467592596</v>
      </c>
    </row>
    <row r="388" ht="25.5" customHeight="1">
      <c r="A388" t="inlineStr">
        <is>
          <t>66b08c6f000000001d023699</t>
        </is>
      </c>
      <c r="B388" s="2" t="str">
        <f>=HYPERLINK("https://www.xiaohongshu.com/user/profile/66b08c6f000000001d023699", "https://www.xiaohongshu.com/user/profile/66b08c6f000000001d023699")</f>
        <v>https://www.xiaohongshu.com/user/profile/66b08c6f000000001d023699</v>
      </c>
      <c r="C388" s="2" t="str">
        <f>=HYPERLINK("https://pgy.xiaohongshu.com/solar/pre-trade/blogger-detail/66b08c6f000000001d023699", "https://pgy.xiaohongshu.com/solar/pre-trade/blogger-detail/66b08c6f000000001d023699")</f>
        <v>https://pgy.xiaohongshu.com/solar/pre-trade/blogger-detail/66b08c6f000000001d023699</v>
      </c>
      <c r="D388" t="inlineStr">
        <is>
          <t>女</t>
        </is>
      </c>
      <c r="E388" t="inlineStr">
        <is>
          <t>malilun521</t>
        </is>
      </c>
      <c r="F388" t="inlineStr">
        <is>
          <t>马理论有出路（干货满满版）</t>
        </is>
      </c>
      <c r="G388" t="inlineStr">
        <is>
          <t>广东 中山</t>
        </is>
      </c>
      <c r="H388" t="inlineStr">
        <is>
          <t>考研过来人</t>
        </is>
      </c>
      <c r="I388" t="inlineStr">
        <is>
          <t>教育, 健康养生</t>
        </is>
      </c>
      <c r="J388">
        <v>2599</v>
      </c>
      <c r="K388" t="inlineStr">
        <is>
          <t>0.3</t>
        </is>
      </c>
      <c r="L388">
        <v>21041</v>
      </c>
      <c r="M388">
        <v>4746</v>
      </c>
      <c r="N388">
        <v>399</v>
      </c>
      <c r="O388">
        <v>200</v>
      </c>
      <c r="P388">
        <v>0</v>
      </c>
      <c r="Q388">
        <v>1</v>
      </c>
      <c r="R388">
        <v>21041</v>
      </c>
      <c r="S388">
        <v>4746</v>
      </c>
      <c r="T388">
        <v>333</v>
      </c>
      <c r="U388">
        <v>0.36</v>
      </c>
      <c r="V388">
        <v>200</v>
      </c>
      <c r="W388">
        <v>1</v>
      </c>
      <c r="X388">
        <v>0</v>
      </c>
      <c r="Y388">
        <v>13.04</v>
      </c>
      <c r="Z388">
        <v>0.78</v>
      </c>
      <c r="AA388">
        <v>0</v>
      </c>
      <c r="AB388">
        <v>0</v>
      </c>
      <c r="AC388">
        <v>0</v>
      </c>
      <c r="AD388">
        <v>0</v>
      </c>
      <c r="AE388">
        <v>300</v>
      </c>
      <c r="AF388">
        <v>0</v>
      </c>
      <c r="AG388">
        <v>0</v>
      </c>
      <c r="AH388">
        <v>0</v>
      </c>
      <c r="AI388">
        <v>0</v>
      </c>
      <c r="AJ388">
        <v>0</v>
      </c>
      <c r="AK388">
        <v>1608</v>
      </c>
      <c r="AL388">
        <v>161</v>
      </c>
      <c r="AM388">
        <v>2</v>
      </c>
      <c r="AN388">
        <v>13</v>
      </c>
      <c r="AO388">
        <v>13.44</v>
      </c>
      <c r="AP388">
        <v>0.895</v>
      </c>
      <c r="AQ388">
        <v>0.105</v>
      </c>
      <c r="AR388">
        <v>0.21</v>
      </c>
      <c r="AS388" s="3">
        <v>46107.769467592596</v>
      </c>
    </row>
    <row r="389" ht="25.5" customHeight="1">
      <c r="A389" t="inlineStr">
        <is>
          <t>5db5c5c80000000001005ce0</t>
        </is>
      </c>
      <c r="B389" s="2" t="str">
        <f>=HYPERLINK("https://www.xiaohongshu.com/user/profile/5db5c5c80000000001005ce0", "https://www.xiaohongshu.com/user/profile/5db5c5c80000000001005ce0")</f>
        <v>https://www.xiaohongshu.com/user/profile/5db5c5c80000000001005ce0</v>
      </c>
      <c r="C389" s="2" t="str">
        <f>=HYPERLINK("https://pgy.xiaohongshu.com/solar/pre-trade/blogger-detail/5db5c5c80000000001005ce0", "https://pgy.xiaohongshu.com/solar/pre-trade/blogger-detail/5db5c5c80000000001005ce0")</f>
        <v>https://pgy.xiaohongshu.com/solar/pre-trade/blogger-detail/5db5c5c80000000001005ce0</v>
      </c>
      <c r="D389" t="inlineStr">
        <is>
          <t>女</t>
        </is>
      </c>
      <c r="E389" t="inlineStr">
        <is>
          <t>LLLier030129</t>
        </is>
      </c>
      <c r="F389" t="inlineStr">
        <is>
          <t>Lee李不清_</t>
        </is>
      </c>
      <c r="G389" t="inlineStr">
        <is>
          <t>英国</t>
        </is>
      </c>
      <c r="H389"/>
      <c r="I389" t="inlineStr">
        <is>
          <t>教育</t>
        </is>
      </c>
      <c r="J389">
        <v>5222</v>
      </c>
      <c r="K389" t="inlineStr">
        <is>
          <t>0.5</t>
        </is>
      </c>
      <c r="L389">
        <v>15735</v>
      </c>
      <c r="M389">
        <v>2761</v>
      </c>
      <c r="N389">
        <v>182</v>
      </c>
      <c r="O389">
        <v>1500</v>
      </c>
      <c r="P389">
        <v>0</v>
      </c>
      <c r="Q389">
        <v>0.667</v>
      </c>
      <c r="R389">
        <v>0</v>
      </c>
      <c r="S389">
        <v>0</v>
      </c>
      <c r="T389">
        <v>0</v>
      </c>
      <c r="U389">
        <v>0</v>
      </c>
      <c r="V389">
        <v>1500</v>
      </c>
      <c r="W389">
        <v>0</v>
      </c>
      <c r="X389">
        <v>0</v>
      </c>
      <c r="Y389">
        <v>0</v>
      </c>
      <c r="Z389">
        <v>0</v>
      </c>
      <c r="AA389">
        <v>15735</v>
      </c>
      <c r="AB389">
        <v>2761</v>
      </c>
      <c r="AC389">
        <v>162</v>
      </c>
      <c r="AD389">
        <v>2.16</v>
      </c>
      <c r="AE389">
        <v>1800</v>
      </c>
      <c r="AF389">
        <v>0.667</v>
      </c>
      <c r="AG389">
        <v>0</v>
      </c>
      <c r="AH389">
        <v>0.111</v>
      </c>
      <c r="AI389">
        <v>117.27</v>
      </c>
      <c r="AJ389">
        <v>10.17</v>
      </c>
      <c r="AK389">
        <v>2535</v>
      </c>
      <c r="AL389">
        <v>606</v>
      </c>
      <c r="AM389">
        <v>45</v>
      </c>
      <c r="AN389">
        <v>0</v>
      </c>
      <c r="AO389">
        <v>0</v>
      </c>
      <c r="AP389">
        <v>0.76</v>
      </c>
      <c r="AQ389">
        <v>0.054</v>
      </c>
      <c r="AR389">
        <v>0.026</v>
      </c>
      <c r="AS389" s="3">
        <v>46107.769467592596</v>
      </c>
    </row>
    <row r="390" ht="25.5" customHeight="1">
      <c r="A390" t="inlineStr">
        <is>
          <t>640012ba00000000290117bf</t>
        </is>
      </c>
      <c r="B390" s="2" t="str">
        <f>=HYPERLINK("https://www.xiaohongshu.com/user/profile/640012ba00000000290117bf", "https://www.xiaohongshu.com/user/profile/640012ba00000000290117bf")</f>
        <v>https://www.xiaohongshu.com/user/profile/640012ba00000000290117bf</v>
      </c>
      <c r="C390" s="2" t="str">
        <f>=HYPERLINK("https://pgy.xiaohongshu.com/solar/pre-trade/blogger-detail/640012ba00000000290117bf", "https://pgy.xiaohongshu.com/solar/pre-trade/blogger-detail/640012ba00000000290117bf")</f>
        <v>https://pgy.xiaohongshu.com/solar/pre-trade/blogger-detail/640012ba00000000290117bf</v>
      </c>
      <c r="D390" t="inlineStr">
        <is>
          <t>男</t>
        </is>
      </c>
      <c r="E390" t="inlineStr">
        <is>
          <t>7498697418</t>
        </is>
      </c>
      <c r="F390" t="inlineStr">
        <is>
          <t>任意常数大于零</t>
        </is>
      </c>
      <c r="G390" t="inlineStr">
        <is>
          <t>陕西 西安 碑林区</t>
        </is>
      </c>
      <c r="H390"/>
      <c r="I390" t="inlineStr">
        <is>
          <t>教育, 科技数码</t>
        </is>
      </c>
      <c r="J390">
        <v>127707</v>
      </c>
      <c r="K390" t="inlineStr">
        <is>
          <t>12.8</t>
        </is>
      </c>
      <c r="L390">
        <v>254651</v>
      </c>
      <c r="M390">
        <v>136634</v>
      </c>
      <c r="N390">
        <v>11430</v>
      </c>
      <c r="O390">
        <v>7000</v>
      </c>
      <c r="P390">
        <v>0.75</v>
      </c>
      <c r="Q390">
        <v>1</v>
      </c>
      <c r="R390">
        <v>0</v>
      </c>
      <c r="S390">
        <v>0</v>
      </c>
      <c r="T390">
        <v>0</v>
      </c>
      <c r="U390">
        <v>0</v>
      </c>
      <c r="V390">
        <v>7000</v>
      </c>
      <c r="W390">
        <v>0</v>
      </c>
      <c r="X390">
        <v>0</v>
      </c>
      <c r="Y390">
        <v>0</v>
      </c>
      <c r="Z390">
        <v>0</v>
      </c>
      <c r="AA390">
        <v>254651</v>
      </c>
      <c r="AB390">
        <v>136634</v>
      </c>
      <c r="AC390">
        <v>8760</v>
      </c>
      <c r="AD390">
        <v>1.59</v>
      </c>
      <c r="AE390">
        <v>12000</v>
      </c>
      <c r="AF390">
        <v>1</v>
      </c>
      <c r="AG390">
        <v>0.75</v>
      </c>
      <c r="AH390">
        <v>0.061</v>
      </c>
      <c r="AI390">
        <v>47.12</v>
      </c>
      <c r="AJ390">
        <v>1.05</v>
      </c>
      <c r="AK390">
        <v>0</v>
      </c>
      <c r="AL390">
        <v>0</v>
      </c>
      <c r="AM390">
        <v>0</v>
      </c>
      <c r="AN390">
        <v>0</v>
      </c>
      <c r="AO390">
        <v>0</v>
      </c>
      <c r="AP390">
        <v>0.885</v>
      </c>
      <c r="AQ390">
        <v>0.088</v>
      </c>
      <c r="AR390">
        <v>0.035</v>
      </c>
      <c r="AS390" s="3">
        <v>46107.769467592596</v>
      </c>
    </row>
    <row r="391" ht="25.5" customHeight="1">
      <c r="A391" t="inlineStr">
        <is>
          <t>5bee3c3720def1000110c119</t>
        </is>
      </c>
      <c r="B391" s="2" t="str">
        <f>=HYPERLINK("https://www.xiaohongshu.com/user/profile/5bee3c3720def1000110c119", "https://www.xiaohongshu.com/user/profile/5bee3c3720def1000110c119")</f>
        <v>https://www.xiaohongshu.com/user/profile/5bee3c3720def1000110c119</v>
      </c>
      <c r="C391" s="2" t="str">
        <f>=HYPERLINK("https://pgy.xiaohongshu.com/solar/pre-trade/blogger-detail/5bee3c3720def1000110c119", "https://pgy.xiaohongshu.com/solar/pre-trade/blogger-detail/5bee3c3720def1000110c119")</f>
        <v>https://pgy.xiaohongshu.com/solar/pre-trade/blogger-detail/5bee3c3720def1000110c119</v>
      </c>
      <c r="D391" t="inlineStr">
        <is>
          <t>女</t>
        </is>
      </c>
      <c r="E391" t="inlineStr">
        <is>
          <t>387466418</t>
        </is>
      </c>
      <c r="F391" t="inlineStr">
        <is>
          <t>括号</t>
        </is>
      </c>
      <c r="G391" t="inlineStr">
        <is>
          <t>泰国</t>
        </is>
      </c>
      <c r="H391" t="inlineStr">
        <is>
          <t>留学背景, 海外华人</t>
        </is>
      </c>
      <c r="I391" t="inlineStr">
        <is>
          <t>教育</t>
        </is>
      </c>
      <c r="J391">
        <v>17922</v>
      </c>
      <c r="K391" t="inlineStr">
        <is>
          <t>1.8</t>
        </is>
      </c>
      <c r="L391">
        <v>54426</v>
      </c>
      <c r="M391">
        <v>17062</v>
      </c>
      <c r="N391">
        <v>990</v>
      </c>
      <c r="O391">
        <v>2400</v>
      </c>
      <c r="P391">
        <v>0.286</v>
      </c>
      <c r="Q391">
        <v>0.929</v>
      </c>
      <c r="R391">
        <v>0</v>
      </c>
      <c r="S391">
        <v>0</v>
      </c>
      <c r="T391">
        <v>0</v>
      </c>
      <c r="U391">
        <v>0</v>
      </c>
      <c r="V391">
        <v>0</v>
      </c>
      <c r="W391">
        <v>0</v>
      </c>
      <c r="X391">
        <v>0</v>
      </c>
      <c r="Y391">
        <v>0</v>
      </c>
      <c r="Z391">
        <v>0</v>
      </c>
      <c r="AA391">
        <v>54426</v>
      </c>
      <c r="AB391">
        <v>17062</v>
      </c>
      <c r="AC391">
        <v>886</v>
      </c>
      <c r="AD391">
        <v>1.65</v>
      </c>
      <c r="AE391">
        <v>2400</v>
      </c>
      <c r="AF391">
        <v>0.929</v>
      </c>
      <c r="AG391">
        <v>0.286</v>
      </c>
      <c r="AH391">
        <v>0.074</v>
      </c>
      <c r="AI391">
        <v>52.6</v>
      </c>
      <c r="AJ391">
        <v>2.81</v>
      </c>
      <c r="AK391">
        <v>17227</v>
      </c>
      <c r="AL391">
        <v>5333</v>
      </c>
      <c r="AM391">
        <v>400</v>
      </c>
      <c r="AN391">
        <v>0</v>
      </c>
      <c r="AO391">
        <v>0</v>
      </c>
      <c r="AP391">
        <v>0.917999999999999</v>
      </c>
      <c r="AQ391">
        <v>0.161</v>
      </c>
      <c r="AR391">
        <v>0.083</v>
      </c>
      <c r="AS391" s="3">
        <v>46107.769467592596</v>
      </c>
    </row>
    <row r="392" ht="25.5" customHeight="1">
      <c r="A392" t="inlineStr">
        <is>
          <t>5eb910e80000000001001882</t>
        </is>
      </c>
      <c r="B392" s="2" t="str">
        <f>=HYPERLINK("https://www.xiaohongshu.com/user/profile/5eb910e80000000001001882", "https://www.xiaohongshu.com/user/profile/5eb910e80000000001001882")</f>
        <v>https://www.xiaohongshu.com/user/profile/5eb910e80000000001001882</v>
      </c>
      <c r="C392" s="2" t="str">
        <f>=HYPERLINK("https://pgy.xiaohongshu.com/solar/pre-trade/blogger-detail/5eb910e80000000001001882", "https://pgy.xiaohongshu.com/solar/pre-trade/blogger-detail/5eb910e80000000001001882")</f>
        <v>https://pgy.xiaohongshu.com/solar/pre-trade/blogger-detail/5eb910e80000000001001882</v>
      </c>
      <c r="D392" t="inlineStr">
        <is>
          <t>男</t>
        </is>
      </c>
      <c r="E392" t="inlineStr">
        <is>
          <t>197174725</t>
        </is>
      </c>
      <c r="F392" t="inlineStr">
        <is>
          <t>杨芝芝芝</t>
        </is>
      </c>
      <c r="G392" t="inlineStr">
        <is>
          <t>韩国</t>
        </is>
      </c>
      <c r="H392" t="inlineStr">
        <is>
          <t>学生, 留学背景</t>
        </is>
      </c>
      <c r="I392" t="inlineStr">
        <is>
          <t>教育, 生活记录</t>
        </is>
      </c>
      <c r="J392">
        <v>10111</v>
      </c>
      <c r="K392" t="inlineStr">
        <is>
          <t>1.0</t>
        </is>
      </c>
      <c r="L392">
        <v>6323</v>
      </c>
      <c r="M392">
        <v>1009</v>
      </c>
      <c r="N392">
        <v>133</v>
      </c>
      <c r="O392">
        <v>1200</v>
      </c>
      <c r="P392">
        <v>0</v>
      </c>
      <c r="Q392">
        <v>0.364</v>
      </c>
      <c r="R392">
        <v>0</v>
      </c>
      <c r="S392">
        <v>0</v>
      </c>
      <c r="T392">
        <v>0</v>
      </c>
      <c r="U392">
        <v>0</v>
      </c>
      <c r="V392">
        <v>800</v>
      </c>
      <c r="W392">
        <v>0</v>
      </c>
      <c r="X392">
        <v>0</v>
      </c>
      <c r="Y392">
        <v>0</v>
      </c>
      <c r="Z392">
        <v>0</v>
      </c>
      <c r="AA392">
        <v>6323</v>
      </c>
      <c r="AB392">
        <v>1009</v>
      </c>
      <c r="AC392">
        <v>119</v>
      </c>
      <c r="AD392">
        <v>2.47</v>
      </c>
      <c r="AE392">
        <v>1200</v>
      </c>
      <c r="AF392">
        <v>0.364</v>
      </c>
      <c r="AG392">
        <v>0</v>
      </c>
      <c r="AH392">
        <v>0.152</v>
      </c>
      <c r="AI392">
        <v>183.78</v>
      </c>
      <c r="AJ392">
        <v>8.3</v>
      </c>
      <c r="AK392">
        <v>22567</v>
      </c>
      <c r="AL392">
        <v>2964</v>
      </c>
      <c r="AM392">
        <v>252</v>
      </c>
      <c r="AN392">
        <v>0</v>
      </c>
      <c r="AO392">
        <v>0</v>
      </c>
      <c r="AP392">
        <v>0.809</v>
      </c>
      <c r="AQ392">
        <v>0.0279999999999999</v>
      </c>
      <c r="AR392">
        <v>0.004</v>
      </c>
      <c r="AS392" s="3">
        <v>46107.769467592596</v>
      </c>
    </row>
    <row r="393" ht="25.5" customHeight="1">
      <c r="A393" t="inlineStr">
        <is>
          <t>66c2db8b000000001d030474</t>
        </is>
      </c>
      <c r="B393" s="2" t="str">
        <f>=HYPERLINK("https://www.xiaohongshu.com/user/profile/66c2db8b000000001d030474", "https://www.xiaohongshu.com/user/profile/66c2db8b000000001d030474")</f>
        <v>https://www.xiaohongshu.com/user/profile/66c2db8b000000001d030474</v>
      </c>
      <c r="C393" s="2" t="str">
        <f>=HYPERLINK("https://pgy.xiaohongshu.com/solar/pre-trade/blogger-detail/66c2db8b000000001d030474", "https://pgy.xiaohongshu.com/solar/pre-trade/blogger-detail/66c2db8b000000001d030474")</f>
        <v>https://pgy.xiaohongshu.com/solar/pre-trade/blogger-detail/66c2db8b000000001d030474</v>
      </c>
      <c r="D393" t="inlineStr">
        <is>
          <t>女</t>
        </is>
      </c>
      <c r="E393" t="inlineStr">
        <is>
          <t>95496213239</t>
        </is>
      </c>
      <c r="F393" t="inlineStr">
        <is>
          <t>吉吉英语社</t>
        </is>
      </c>
      <c r="G393" t="inlineStr">
        <is>
          <t>北京</t>
        </is>
      </c>
      <c r="H393" t="inlineStr">
        <is>
          <t>留学背景</t>
        </is>
      </c>
      <c r="I393" t="inlineStr">
        <is>
          <t>教育</t>
        </is>
      </c>
      <c r="J393">
        <v>18154</v>
      </c>
      <c r="K393" t="inlineStr">
        <is>
          <t>1.8</t>
        </is>
      </c>
      <c r="L393">
        <v>67290</v>
      </c>
      <c r="M393">
        <v>13138</v>
      </c>
      <c r="N393">
        <v>1912</v>
      </c>
      <c r="O393">
        <v>540</v>
      </c>
      <c r="P393">
        <v>0.556</v>
      </c>
      <c r="Q393">
        <v>0.889</v>
      </c>
      <c r="R393">
        <v>67290</v>
      </c>
      <c r="S393">
        <v>13138</v>
      </c>
      <c r="T393">
        <v>1605</v>
      </c>
      <c r="U393">
        <v>0.34</v>
      </c>
      <c r="V393">
        <v>540</v>
      </c>
      <c r="W393">
        <v>0.889</v>
      </c>
      <c r="X393">
        <v>0.556</v>
      </c>
      <c r="Y393">
        <v>8.02</v>
      </c>
      <c r="Z393">
        <v>0.28</v>
      </c>
      <c r="AA393">
        <v>0</v>
      </c>
      <c r="AB393">
        <v>0</v>
      </c>
      <c r="AC393">
        <v>0</v>
      </c>
      <c r="AD393">
        <v>0</v>
      </c>
      <c r="AE393">
        <v>0</v>
      </c>
      <c r="AF393">
        <v>0</v>
      </c>
      <c r="AG393">
        <v>0</v>
      </c>
      <c r="AH393">
        <v>0</v>
      </c>
      <c r="AI393">
        <v>0</v>
      </c>
      <c r="AJ393">
        <v>0</v>
      </c>
      <c r="AK393">
        <v>63993</v>
      </c>
      <c r="AL393">
        <v>18294</v>
      </c>
      <c r="AM393">
        <v>1998</v>
      </c>
      <c r="AN393">
        <v>0</v>
      </c>
      <c r="AO393">
        <v>0</v>
      </c>
      <c r="AP393">
        <v>0.882</v>
      </c>
      <c r="AQ393">
        <v>0.078</v>
      </c>
      <c r="AR393">
        <v>0.034</v>
      </c>
      <c r="AS393" s="3">
        <v>46107.769467592596</v>
      </c>
    </row>
    <row r="394" ht="25.5" customHeight="1">
      <c r="A394" t="inlineStr">
        <is>
          <t>5a7b26ff4eacab17896cc3c9</t>
        </is>
      </c>
      <c r="B394" s="2" t="str">
        <f>=HYPERLINK("https://www.xiaohongshu.com/user/profile/5a7b26ff4eacab17896cc3c9", "https://www.xiaohongshu.com/user/profile/5a7b26ff4eacab17896cc3c9")</f>
        <v>https://www.xiaohongshu.com/user/profile/5a7b26ff4eacab17896cc3c9</v>
      </c>
      <c r="C394" s="2" t="str">
        <f>=HYPERLINK("https://pgy.xiaohongshu.com/solar/pre-trade/blogger-detail/5a7b26ff4eacab17896cc3c9", "https://pgy.xiaohongshu.com/solar/pre-trade/blogger-detail/5a7b26ff4eacab17896cc3c9")</f>
        <v>https://pgy.xiaohongshu.com/solar/pre-trade/blogger-detail/5a7b26ff4eacab17896cc3c9</v>
      </c>
      <c r="D394" t="inlineStr">
        <is>
          <t>女</t>
        </is>
      </c>
      <c r="E394" t="inlineStr">
        <is>
          <t>264597641</t>
        </is>
      </c>
      <c r="F394" t="inlineStr">
        <is>
          <t>桃桃蜜柚</t>
        </is>
      </c>
      <c r="G394" t="inlineStr">
        <is>
          <t>上海</t>
        </is>
      </c>
      <c r="H394" t="inlineStr">
        <is>
          <t>学生</t>
        </is>
      </c>
      <c r="I394" t="inlineStr">
        <is>
          <t>教育, 生活记录</t>
        </is>
      </c>
      <c r="J394">
        <v>8494</v>
      </c>
      <c r="K394" t="inlineStr">
        <is>
          <t>0.8</t>
        </is>
      </c>
      <c r="L394">
        <v>22426</v>
      </c>
      <c r="M394">
        <v>5079</v>
      </c>
      <c r="N394">
        <v>564</v>
      </c>
      <c r="O394">
        <v>800</v>
      </c>
      <c r="P394">
        <v>0</v>
      </c>
      <c r="Q394">
        <v>0.5</v>
      </c>
      <c r="R394">
        <v>22426</v>
      </c>
      <c r="S394">
        <v>5079</v>
      </c>
      <c r="T394">
        <v>484</v>
      </c>
      <c r="U394">
        <v>0.39</v>
      </c>
      <c r="V394">
        <v>800</v>
      </c>
      <c r="W394">
        <v>0.5</v>
      </c>
      <c r="X394">
        <v>0</v>
      </c>
      <c r="Y394">
        <v>23.12</v>
      </c>
      <c r="Z394">
        <v>4.37</v>
      </c>
      <c r="AA394">
        <v>0</v>
      </c>
      <c r="AB394">
        <v>0</v>
      </c>
      <c r="AC394">
        <v>0</v>
      </c>
      <c r="AD394">
        <v>0</v>
      </c>
      <c r="AE394">
        <v>1200</v>
      </c>
      <c r="AF394">
        <v>0</v>
      </c>
      <c r="AG394">
        <v>0</v>
      </c>
      <c r="AH394">
        <v>0</v>
      </c>
      <c r="AI394">
        <v>0</v>
      </c>
      <c r="AJ394">
        <v>0</v>
      </c>
      <c r="AK394">
        <v>542170</v>
      </c>
      <c r="AL394">
        <v>87586</v>
      </c>
      <c r="AM394">
        <v>151</v>
      </c>
      <c r="AN394">
        <v>0</v>
      </c>
      <c r="AO394">
        <v>0</v>
      </c>
      <c r="AP394">
        <v>0.727</v>
      </c>
      <c r="AQ394">
        <v>0.025</v>
      </c>
      <c r="AR394">
        <v>0.0139999999999999</v>
      </c>
      <c r="AS394" s="3">
        <v>46107.769467592596</v>
      </c>
    </row>
    <row r="395" ht="25.5" customHeight="1">
      <c r="A395" t="inlineStr">
        <is>
          <t>54844d35d6e4a97e840a8822</t>
        </is>
      </c>
      <c r="B395" s="2" t="str">
        <f>=HYPERLINK("https://www.xiaohongshu.com/user/profile/54844d35d6e4a97e840a8822", "https://www.xiaohongshu.com/user/profile/54844d35d6e4a97e840a8822")</f>
        <v>https://www.xiaohongshu.com/user/profile/54844d35d6e4a97e840a8822</v>
      </c>
      <c r="C395" s="2" t="str">
        <f>=HYPERLINK("https://pgy.xiaohongshu.com/solar/pre-trade/blogger-detail/54844d35d6e4a97e840a8822", "https://pgy.xiaohongshu.com/solar/pre-trade/blogger-detail/54844d35d6e4a97e840a8822")</f>
        <v>https://pgy.xiaohongshu.com/solar/pre-trade/blogger-detail/54844d35d6e4a97e840a8822</v>
      </c>
      <c r="D395" t="inlineStr">
        <is>
          <t>女</t>
        </is>
      </c>
      <c r="E395" t="inlineStr">
        <is>
          <t>115734678</t>
        </is>
      </c>
      <c r="F395" t="inlineStr">
        <is>
          <t>Noraaaa</t>
        </is>
      </c>
      <c r="G395" t="inlineStr">
        <is>
          <t>澳大利亚</t>
        </is>
      </c>
      <c r="H395" t="inlineStr">
        <is>
          <t>学生, 留学背景, 海外华人, 情侣</t>
        </is>
      </c>
      <c r="I395" t="inlineStr">
        <is>
          <t>美食</t>
        </is>
      </c>
      <c r="J395">
        <v>32601</v>
      </c>
      <c r="K395" t="inlineStr">
        <is>
          <t>3.3</t>
        </is>
      </c>
      <c r="L395">
        <v>29889</v>
      </c>
      <c r="M395">
        <v>5597</v>
      </c>
      <c r="N395">
        <v>220</v>
      </c>
      <c r="O395">
        <v>1500</v>
      </c>
      <c r="P395">
        <v>0.2</v>
      </c>
      <c r="Q395">
        <v>0.733</v>
      </c>
      <c r="R395">
        <v>30006</v>
      </c>
      <c r="S395">
        <v>4418</v>
      </c>
      <c r="T395">
        <v>211</v>
      </c>
      <c r="U395">
        <v>0.64</v>
      </c>
      <c r="V395">
        <v>1500</v>
      </c>
      <c r="W395">
        <v>0.714</v>
      </c>
      <c r="X395">
        <v>0</v>
      </c>
      <c r="Y395">
        <v>49.99</v>
      </c>
      <c r="Z395">
        <v>6.82</v>
      </c>
      <c r="AA395">
        <v>28666</v>
      </c>
      <c r="AB395">
        <v>7071</v>
      </c>
      <c r="AC395">
        <v>224</v>
      </c>
      <c r="AD395">
        <v>1.87</v>
      </c>
      <c r="AE395">
        <v>2600</v>
      </c>
      <c r="AF395">
        <v>0.75</v>
      </c>
      <c r="AG395">
        <v>0.375</v>
      </c>
      <c r="AH395">
        <v>0.146</v>
      </c>
      <c r="AI395">
        <v>90.7</v>
      </c>
      <c r="AJ395">
        <v>10.46</v>
      </c>
      <c r="AK395">
        <v>0</v>
      </c>
      <c r="AL395">
        <v>0</v>
      </c>
      <c r="AM395">
        <v>0</v>
      </c>
      <c r="AN395">
        <v>0</v>
      </c>
      <c r="AO395">
        <v>0</v>
      </c>
      <c r="AP395">
        <v>0.841</v>
      </c>
      <c r="AQ395">
        <v>0.066</v>
      </c>
      <c r="AR395">
        <v>0.046</v>
      </c>
      <c r="AS395" s="3">
        <v>46107.769467592596</v>
      </c>
    </row>
    <row r="396" ht="25.5" customHeight="1">
      <c r="A396" t="inlineStr">
        <is>
          <t>618b4368000000001000ca42</t>
        </is>
      </c>
      <c r="B396" s="2" t="str">
        <f>=HYPERLINK("https://www.xiaohongshu.com/user/profile/618b4368000000001000ca42", "https://www.xiaohongshu.com/user/profile/618b4368000000001000ca42")</f>
        <v>https://www.xiaohongshu.com/user/profile/618b4368000000001000ca42</v>
      </c>
      <c r="C396" s="2" t="str">
        <f>=HYPERLINK("https://pgy.xiaohongshu.com/solar/pre-trade/blogger-detail/618b4368000000001000ca42", "https://pgy.xiaohongshu.com/solar/pre-trade/blogger-detail/618b4368000000001000ca42")</f>
        <v>https://pgy.xiaohongshu.com/solar/pre-trade/blogger-detail/618b4368000000001000ca42</v>
      </c>
      <c r="D396" t="inlineStr">
        <is>
          <t>男</t>
        </is>
      </c>
      <c r="E396" t="inlineStr">
        <is>
          <t>6344556504</t>
        </is>
      </c>
      <c r="F396" t="inlineStr">
        <is>
          <t>蛋蛋爱发疯</t>
        </is>
      </c>
      <c r="G396" t="inlineStr">
        <is>
          <t>黑龙江 牡丹江 爱民区</t>
        </is>
      </c>
      <c r="H396" t="inlineStr">
        <is>
          <t>二次元人群, 学生</t>
        </is>
      </c>
      <c r="I396" t="inlineStr">
        <is>
          <t>教育</t>
        </is>
      </c>
      <c r="J396">
        <v>202655</v>
      </c>
      <c r="K396" t="inlineStr">
        <is>
          <t>20.3</t>
        </is>
      </c>
      <c r="L396">
        <v>28165</v>
      </c>
      <c r="M396">
        <v>7390</v>
      </c>
      <c r="N396">
        <v>600</v>
      </c>
      <c r="O396">
        <v>6000</v>
      </c>
      <c r="P396">
        <v>0.4</v>
      </c>
      <c r="Q396">
        <v>1</v>
      </c>
      <c r="R396">
        <v>0</v>
      </c>
      <c r="S396">
        <v>0</v>
      </c>
      <c r="T396">
        <v>0</v>
      </c>
      <c r="U396">
        <v>0</v>
      </c>
      <c r="V396">
        <v>6000</v>
      </c>
      <c r="W396">
        <v>0</v>
      </c>
      <c r="X396">
        <v>0</v>
      </c>
      <c r="Y396">
        <v>0</v>
      </c>
      <c r="Z396">
        <v>0</v>
      </c>
      <c r="AA396">
        <v>28165</v>
      </c>
      <c r="AB396">
        <v>7390</v>
      </c>
      <c r="AC396">
        <v>597</v>
      </c>
      <c r="AD396">
        <v>3.2</v>
      </c>
      <c r="AE396">
        <v>12000</v>
      </c>
      <c r="AF396">
        <v>1</v>
      </c>
      <c r="AG396">
        <v>0.4</v>
      </c>
      <c r="AH396">
        <v>0.29</v>
      </c>
      <c r="AI396">
        <v>478.7</v>
      </c>
      <c r="AJ396">
        <v>22.3</v>
      </c>
      <c r="AK396">
        <v>17341</v>
      </c>
      <c r="AL396">
        <v>2855</v>
      </c>
      <c r="AM396">
        <v>126</v>
      </c>
      <c r="AN396">
        <v>0</v>
      </c>
      <c r="AO396">
        <v>0</v>
      </c>
      <c r="AP396">
        <v>0.775999999999999</v>
      </c>
      <c r="AQ396">
        <v>0.047</v>
      </c>
      <c r="AR396">
        <v>0.024</v>
      </c>
      <c r="AS396" s="3">
        <v>46107.769467592596</v>
      </c>
    </row>
    <row r="397" ht="25.5" customHeight="1">
      <c r="A397" t="inlineStr">
        <is>
          <t>5d614330000000000100a1de</t>
        </is>
      </c>
      <c r="B397" s="2" t="str">
        <f>=HYPERLINK("https://www.xiaohongshu.com/user/profile/5d614330000000000100a1de", "https://www.xiaohongshu.com/user/profile/5d614330000000000100a1de")</f>
        <v>https://www.xiaohongshu.com/user/profile/5d614330000000000100a1de</v>
      </c>
      <c r="C397" s="2" t="str">
        <f>=HYPERLINK("https://pgy.xiaohongshu.com/solar/pre-trade/blogger-detail/5d614330000000000100a1de", "https://pgy.xiaohongshu.com/solar/pre-trade/blogger-detail/5d614330000000000100a1de")</f>
        <v>https://pgy.xiaohongshu.com/solar/pre-trade/blogger-detail/5d614330000000000100a1de</v>
      </c>
      <c r="D397" t="inlineStr">
        <is>
          <t>女</t>
        </is>
      </c>
      <c r="E397" t="inlineStr">
        <is>
          <t>368215090</t>
        </is>
      </c>
      <c r="F397" t="inlineStr">
        <is>
          <t>小聆的日记</t>
        </is>
      </c>
      <c r="G397" t="inlineStr">
        <is>
          <t>浙江 杭州 余杭区</t>
        </is>
      </c>
      <c r="H397" t="inlineStr">
        <is>
          <t>考研过来人, 学生</t>
        </is>
      </c>
      <c r="I397" t="inlineStr">
        <is>
          <t>教育</t>
        </is>
      </c>
      <c r="J397">
        <v>2718</v>
      </c>
      <c r="K397" t="inlineStr">
        <is>
          <t>0.3</t>
        </is>
      </c>
      <c r="L397">
        <v>24339</v>
      </c>
      <c r="M397">
        <v>6411</v>
      </c>
      <c r="N397">
        <v>1077</v>
      </c>
      <c r="O397">
        <v>238</v>
      </c>
      <c r="P397">
        <v>0</v>
      </c>
      <c r="Q397">
        <v>0.727</v>
      </c>
      <c r="R397">
        <v>24339</v>
      </c>
      <c r="S397">
        <v>6411</v>
      </c>
      <c r="T397">
        <v>827</v>
      </c>
      <c r="U397">
        <v>0.34</v>
      </c>
      <c r="V397">
        <v>238</v>
      </c>
      <c r="W397">
        <v>0.727</v>
      </c>
      <c r="X397">
        <v>0</v>
      </c>
      <c r="Y397">
        <v>10.85</v>
      </c>
      <c r="Z397">
        <v>0.27</v>
      </c>
      <c r="AA397">
        <v>0</v>
      </c>
      <c r="AB397">
        <v>0</v>
      </c>
      <c r="AC397">
        <v>0</v>
      </c>
      <c r="AD397">
        <v>0</v>
      </c>
      <c r="AE397">
        <v>417</v>
      </c>
      <c r="AF397">
        <v>0</v>
      </c>
      <c r="AG397">
        <v>0</v>
      </c>
      <c r="AH397">
        <v>0</v>
      </c>
      <c r="AI397">
        <v>0</v>
      </c>
      <c r="AJ397">
        <v>0</v>
      </c>
      <c r="AK397">
        <v>3006</v>
      </c>
      <c r="AL397">
        <v>381</v>
      </c>
      <c r="AM397">
        <v>30</v>
      </c>
      <c r="AN397">
        <v>0</v>
      </c>
      <c r="AO397">
        <v>0</v>
      </c>
      <c r="AP397">
        <v>0.963</v>
      </c>
      <c r="AQ397">
        <v>0.361</v>
      </c>
      <c r="AR397">
        <v>0</v>
      </c>
      <c r="AS397" s="3">
        <v>46107.769467592596</v>
      </c>
    </row>
    <row r="398" ht="25.5" customHeight="1">
      <c r="A398" t="inlineStr">
        <is>
          <t>5beabadc5c93790001e9b7a0</t>
        </is>
      </c>
      <c r="B398" s="2" t="str">
        <f>=HYPERLINK("https://www.xiaohongshu.com/user/profile/5beabadc5c93790001e9b7a0", "https://www.xiaohongshu.com/user/profile/5beabadc5c93790001e9b7a0")</f>
        <v>https://www.xiaohongshu.com/user/profile/5beabadc5c93790001e9b7a0</v>
      </c>
      <c r="C398" s="2" t="str">
        <f>=HYPERLINK("https://pgy.xiaohongshu.com/solar/pre-trade/blogger-detail/5beabadc5c93790001e9b7a0", "https://pgy.xiaohongshu.com/solar/pre-trade/blogger-detail/5beabadc5c93790001e9b7a0")</f>
        <v>https://pgy.xiaohongshu.com/solar/pre-trade/blogger-detail/5beabadc5c93790001e9b7a0</v>
      </c>
      <c r="D398" t="inlineStr">
        <is>
          <t>女</t>
        </is>
      </c>
      <c r="E398" t="inlineStr">
        <is>
          <t>545387226</t>
        </is>
      </c>
      <c r="F398" t="inlineStr">
        <is>
          <t>顽皮子</t>
        </is>
      </c>
      <c r="G398" t="inlineStr">
        <is>
          <t>吉林 长春 朝阳区</t>
        </is>
      </c>
      <c r="H398" t="inlineStr">
        <is>
          <t>1-3岁, 考研过来人, 妈妈, 学生, 家庭, 孕妈</t>
        </is>
      </c>
      <c r="I398" t="inlineStr">
        <is>
          <t>职场, 生活记录</t>
        </is>
      </c>
      <c r="J398">
        <v>3797</v>
      </c>
      <c r="K398" t="inlineStr">
        <is>
          <t>0.4</t>
        </is>
      </c>
      <c r="L398">
        <v>6009</v>
      </c>
      <c r="M398">
        <v>537</v>
      </c>
      <c r="N398">
        <v>381</v>
      </c>
      <c r="O398">
        <v>207</v>
      </c>
      <c r="P398">
        <v>0</v>
      </c>
      <c r="Q398">
        <v>0.857</v>
      </c>
      <c r="R398">
        <v>6009</v>
      </c>
      <c r="S398">
        <v>537</v>
      </c>
      <c r="T398">
        <v>338</v>
      </c>
      <c r="U398">
        <v>0.69</v>
      </c>
      <c r="V398">
        <v>207</v>
      </c>
      <c r="W398">
        <v>0.857</v>
      </c>
      <c r="X398">
        <v>0</v>
      </c>
      <c r="Y398">
        <v>35.79</v>
      </c>
      <c r="Z398">
        <v>0.54</v>
      </c>
      <c r="AA398">
        <v>0</v>
      </c>
      <c r="AB398">
        <v>0</v>
      </c>
      <c r="AC398">
        <v>0</v>
      </c>
      <c r="AD398">
        <v>0</v>
      </c>
      <c r="AE398">
        <v>284</v>
      </c>
      <c r="AF398">
        <v>0</v>
      </c>
      <c r="AG398">
        <v>0</v>
      </c>
      <c r="AH398">
        <v>0</v>
      </c>
      <c r="AI398">
        <v>0</v>
      </c>
      <c r="AJ398">
        <v>0</v>
      </c>
      <c r="AK398">
        <v>3712</v>
      </c>
      <c r="AL398">
        <v>453</v>
      </c>
      <c r="AM398">
        <v>286</v>
      </c>
      <c r="AN398">
        <v>0</v>
      </c>
      <c r="AO398">
        <v>0</v>
      </c>
      <c r="AP398">
        <v>0.958</v>
      </c>
      <c r="AQ398">
        <v>0.278999999999999</v>
      </c>
      <c r="AR398">
        <v>0</v>
      </c>
      <c r="AS398" s="3">
        <v>46107.769467592596</v>
      </c>
    </row>
    <row r="399" ht="25.5" customHeight="1">
      <c r="A399" t="inlineStr">
        <is>
          <t>5a58c62911be105a1bbc8541</t>
        </is>
      </c>
      <c r="B399" s="2" t="str">
        <f>=HYPERLINK("https://www.xiaohongshu.com/user/profile/5a58c62911be105a1bbc8541", "https://www.xiaohongshu.com/user/profile/5a58c62911be105a1bbc8541")</f>
        <v>https://www.xiaohongshu.com/user/profile/5a58c62911be105a1bbc8541</v>
      </c>
      <c r="C399" s="2" t="str">
        <f>=HYPERLINK("https://pgy.xiaohongshu.com/solar/pre-trade/blogger-detail/5a58c62911be105a1bbc8541", "https://pgy.xiaohongshu.com/solar/pre-trade/blogger-detail/5a58c62911be105a1bbc8541")</f>
        <v>https://pgy.xiaohongshu.com/solar/pre-trade/blogger-detail/5a58c62911be105a1bbc8541</v>
      </c>
      <c r="D399" t="inlineStr">
        <is>
          <t>女</t>
        </is>
      </c>
      <c r="E399" t="inlineStr">
        <is>
          <t>493868516</t>
        </is>
      </c>
      <c r="F399" t="inlineStr">
        <is>
          <t>梨pp</t>
        </is>
      </c>
      <c r="G399" t="inlineStr">
        <is>
          <t>英国</t>
        </is>
      </c>
      <c r="H399" t="inlineStr">
        <is>
          <t>留学背景</t>
        </is>
      </c>
      <c r="I399" t="inlineStr">
        <is>
          <t>教育, 出行旅游</t>
        </is>
      </c>
      <c r="J399">
        <v>4978</v>
      </c>
      <c r="K399" t="inlineStr">
        <is>
          <t>0.5</t>
        </is>
      </c>
      <c r="L399">
        <v>10792</v>
      </c>
      <c r="M399">
        <v>1919</v>
      </c>
      <c r="N399">
        <v>237</v>
      </c>
      <c r="O399">
        <v>666</v>
      </c>
      <c r="P399">
        <v>0</v>
      </c>
      <c r="Q399">
        <v>0.8</v>
      </c>
      <c r="R399">
        <v>9479</v>
      </c>
      <c r="S399">
        <v>1603</v>
      </c>
      <c r="T399">
        <v>161</v>
      </c>
      <c r="U399">
        <v>1.49</v>
      </c>
      <c r="V399">
        <v>666</v>
      </c>
      <c r="W399">
        <v>0.714</v>
      </c>
      <c r="X399">
        <v>0</v>
      </c>
      <c r="Y399">
        <v>163.52</v>
      </c>
      <c r="Z399">
        <v>4.24</v>
      </c>
      <c r="AA399">
        <v>19337</v>
      </c>
      <c r="AB399">
        <v>2643</v>
      </c>
      <c r="AC399">
        <v>211</v>
      </c>
      <c r="AD399">
        <v>1.99</v>
      </c>
      <c r="AE399">
        <v>888</v>
      </c>
      <c r="AF399">
        <v>1</v>
      </c>
      <c r="AG399">
        <v>0</v>
      </c>
      <c r="AH399">
        <v>0.136999999999999</v>
      </c>
      <c r="AI399">
        <v>191.34</v>
      </c>
      <c r="AJ399">
        <v>3.75</v>
      </c>
      <c r="AK399">
        <v>2430</v>
      </c>
      <c r="AL399">
        <v>498</v>
      </c>
      <c r="AM399">
        <v>174</v>
      </c>
      <c r="AN399">
        <v>0</v>
      </c>
      <c r="AO399">
        <v>0</v>
      </c>
      <c r="AP399">
        <v>0.819</v>
      </c>
      <c r="AQ399">
        <v>0.038</v>
      </c>
      <c r="AR399">
        <v>0.01</v>
      </c>
      <c r="AS399" s="3">
        <v>46107.769467592596</v>
      </c>
    </row>
    <row r="400" ht="25.5" customHeight="1">
      <c r="A400" t="inlineStr">
        <is>
          <t>6234ac6b00000000100091fb</t>
        </is>
      </c>
      <c r="B400" s="2" t="str">
        <f>=HYPERLINK("https://www.xiaohongshu.com/user/profile/6234ac6b00000000100091fb", "https://www.xiaohongshu.com/user/profile/6234ac6b00000000100091fb")</f>
        <v>https://www.xiaohongshu.com/user/profile/6234ac6b00000000100091fb</v>
      </c>
      <c r="C400" s="2" t="str">
        <f>=HYPERLINK("https://pgy.xiaohongshu.com/solar/pre-trade/blogger-detail/6234ac6b00000000100091fb", "https://pgy.xiaohongshu.com/solar/pre-trade/blogger-detail/6234ac6b00000000100091fb")</f>
        <v>https://pgy.xiaohongshu.com/solar/pre-trade/blogger-detail/6234ac6b00000000100091fb</v>
      </c>
      <c r="D400" t="inlineStr">
        <is>
          <t>男</t>
        </is>
      </c>
      <c r="E400" t="inlineStr">
        <is>
          <t>2830494680</t>
        </is>
      </c>
      <c r="F400" t="inlineStr">
        <is>
          <t>Ryan的英语小站</t>
        </is>
      </c>
      <c r="G400" t="inlineStr">
        <is>
          <t>湖北 武汉 洪山区</t>
        </is>
      </c>
      <c r="H400" t="inlineStr">
        <is>
          <t>学生</t>
        </is>
      </c>
      <c r="I400" t="inlineStr">
        <is>
          <t>教育</t>
        </is>
      </c>
      <c r="J400">
        <v>8409</v>
      </c>
      <c r="K400" t="inlineStr">
        <is>
          <t>0.8</t>
        </is>
      </c>
      <c r="L400">
        <v>6867</v>
      </c>
      <c r="M400">
        <v>946</v>
      </c>
      <c r="N400">
        <v>131</v>
      </c>
      <c r="O400">
        <v>200</v>
      </c>
      <c r="P400">
        <v>0</v>
      </c>
      <c r="Q400">
        <v>0.222</v>
      </c>
      <c r="R400">
        <v>6867</v>
      </c>
      <c r="S400">
        <v>946</v>
      </c>
      <c r="T400">
        <v>112</v>
      </c>
      <c r="U400">
        <v>0.51</v>
      </c>
      <c r="V400">
        <v>200</v>
      </c>
      <c r="W400">
        <v>0.222</v>
      </c>
      <c r="X400">
        <v>0</v>
      </c>
      <c r="Y400">
        <v>27.31</v>
      </c>
      <c r="Z400">
        <v>1.39</v>
      </c>
      <c r="AA400">
        <v>0</v>
      </c>
      <c r="AB400">
        <v>0</v>
      </c>
      <c r="AC400">
        <v>0</v>
      </c>
      <c r="AD400">
        <v>0</v>
      </c>
      <c r="AE400">
        <v>500</v>
      </c>
      <c r="AF400">
        <v>0</v>
      </c>
      <c r="AG400">
        <v>0</v>
      </c>
      <c r="AH400">
        <v>0</v>
      </c>
      <c r="AI400">
        <v>0</v>
      </c>
      <c r="AJ400">
        <v>0</v>
      </c>
      <c r="AK400">
        <v>75777</v>
      </c>
      <c r="AL400">
        <v>12268</v>
      </c>
      <c r="AM400">
        <v>3984</v>
      </c>
      <c r="AN400">
        <v>0</v>
      </c>
      <c r="AO400">
        <v>0</v>
      </c>
      <c r="AP400">
        <v>0.976</v>
      </c>
      <c r="AQ400">
        <v>0.186</v>
      </c>
      <c r="AR400">
        <v>0.527</v>
      </c>
      <c r="AS400" s="3">
        <v>46107.769467592596</v>
      </c>
    </row>
    <row r="401" ht="25.5" customHeight="1">
      <c r="A401" t="inlineStr">
        <is>
          <t>56e181964775a778c6745ff1</t>
        </is>
      </c>
      <c r="B401" s="2" t="str">
        <f>=HYPERLINK("https://www.xiaohongshu.com/user/profile/56e181964775a778c6745ff1", "https://www.xiaohongshu.com/user/profile/56e181964775a778c6745ff1")</f>
        <v>https://www.xiaohongshu.com/user/profile/56e181964775a778c6745ff1</v>
      </c>
      <c r="C401" s="2" t="str">
        <f>=HYPERLINK("https://pgy.xiaohongshu.com/solar/pre-trade/blogger-detail/56e181964775a778c6745ff1", "https://pgy.xiaohongshu.com/solar/pre-trade/blogger-detail/56e181964775a778c6745ff1")</f>
        <v>https://pgy.xiaohongshu.com/solar/pre-trade/blogger-detail/56e181964775a778c6745ff1</v>
      </c>
      <c r="D401" t="inlineStr">
        <is>
          <t>女</t>
        </is>
      </c>
      <c r="E401" t="inlineStr">
        <is>
          <t>678618774</t>
        </is>
      </c>
      <c r="F401" t="inlineStr">
        <is>
          <t>我要成为羽毛球高手</t>
        </is>
      </c>
      <c r="G401" t="inlineStr">
        <is>
          <t>北京</t>
        </is>
      </c>
      <c r="H401" t="inlineStr">
        <is>
          <t>户外爱好者, 学生</t>
        </is>
      </c>
      <c r="I401" t="inlineStr">
        <is>
          <t>教育, 生活记录</t>
        </is>
      </c>
      <c r="J401">
        <v>4859</v>
      </c>
      <c r="K401" t="inlineStr">
        <is>
          <t>0.5</t>
        </is>
      </c>
      <c r="L401">
        <v>7144</v>
      </c>
      <c r="M401">
        <v>770</v>
      </c>
      <c r="N401">
        <v>103</v>
      </c>
      <c r="O401">
        <v>800</v>
      </c>
      <c r="P401">
        <v>0</v>
      </c>
      <c r="Q401">
        <v>0.308</v>
      </c>
      <c r="R401">
        <v>7144</v>
      </c>
      <c r="S401">
        <v>770</v>
      </c>
      <c r="T401">
        <v>97</v>
      </c>
      <c r="U401">
        <v>1.12</v>
      </c>
      <c r="V401">
        <v>800</v>
      </c>
      <c r="W401">
        <v>0.308</v>
      </c>
      <c r="X401">
        <v>0</v>
      </c>
      <c r="Y401">
        <v>119.01</v>
      </c>
      <c r="Z401">
        <v>8</v>
      </c>
      <c r="AA401">
        <v>0</v>
      </c>
      <c r="AB401">
        <v>0</v>
      </c>
      <c r="AC401">
        <v>0</v>
      </c>
      <c r="AD401">
        <v>0</v>
      </c>
      <c r="AE401">
        <v>1200</v>
      </c>
      <c r="AF401">
        <v>0</v>
      </c>
      <c r="AG401">
        <v>0</v>
      </c>
      <c r="AH401">
        <v>0</v>
      </c>
      <c r="AI401">
        <v>0</v>
      </c>
      <c r="AJ401">
        <v>0</v>
      </c>
      <c r="AK401">
        <v>6300</v>
      </c>
      <c r="AL401">
        <v>1189</v>
      </c>
      <c r="AM401">
        <v>73</v>
      </c>
      <c r="AN401">
        <v>0</v>
      </c>
      <c r="AO401">
        <v>397.38</v>
      </c>
      <c r="AP401">
        <v>0.847</v>
      </c>
      <c r="AQ401">
        <v>0.057</v>
      </c>
      <c r="AR401">
        <v>0.073</v>
      </c>
      <c r="AS401" s="3">
        <v>46107.769467592596</v>
      </c>
    </row>
    <row r="402" ht="25.5" customHeight="1">
      <c r="A402" t="inlineStr">
        <is>
          <t>6094eeba0000000001006e20</t>
        </is>
      </c>
      <c r="B402" s="2" t="str">
        <f>=HYPERLINK("https://www.xiaohongshu.com/user/profile/6094eeba0000000001006e20", "https://www.xiaohongshu.com/user/profile/6094eeba0000000001006e20")</f>
        <v>https://www.xiaohongshu.com/user/profile/6094eeba0000000001006e20</v>
      </c>
      <c r="C402" s="2" t="str">
        <f>=HYPERLINK("https://pgy.xiaohongshu.com/solar/pre-trade/blogger-detail/6094eeba0000000001006e20", "https://pgy.xiaohongshu.com/solar/pre-trade/blogger-detail/6094eeba0000000001006e20")</f>
        <v>https://pgy.xiaohongshu.com/solar/pre-trade/blogger-detail/6094eeba0000000001006e20</v>
      </c>
      <c r="D402" t="inlineStr">
        <is>
          <t>女</t>
        </is>
      </c>
      <c r="E402" t="inlineStr">
        <is>
          <t>9525511955</t>
        </is>
      </c>
      <c r="F402" t="inlineStr">
        <is>
          <t>勤勤恳恳读研人</t>
        </is>
      </c>
      <c r="G402" t="inlineStr">
        <is>
          <t>辽宁 沈阳 沈北新区</t>
        </is>
      </c>
      <c r="H402" t="inlineStr">
        <is>
          <t>考研过来人, 学生</t>
        </is>
      </c>
      <c r="I402" t="inlineStr">
        <is>
          <t>教育</t>
        </is>
      </c>
      <c r="J402">
        <v>47152</v>
      </c>
      <c r="K402" t="inlineStr">
        <is>
          <t>4.7</t>
        </is>
      </c>
      <c r="L402">
        <v>8315</v>
      </c>
      <c r="M402">
        <v>1417</v>
      </c>
      <c r="N402">
        <v>117</v>
      </c>
      <c r="O402">
        <v>1200</v>
      </c>
      <c r="P402">
        <v>0.027</v>
      </c>
      <c r="Q402">
        <v>0.375</v>
      </c>
      <c r="R402">
        <v>10425</v>
      </c>
      <c r="S402">
        <v>1495</v>
      </c>
      <c r="T402">
        <v>45</v>
      </c>
      <c r="U402">
        <v>1.1</v>
      </c>
      <c r="V402">
        <v>1200</v>
      </c>
      <c r="W402">
        <v>0</v>
      </c>
      <c r="X402">
        <v>0</v>
      </c>
      <c r="Y402">
        <v>115.1</v>
      </c>
      <c r="Z402">
        <v>21.43</v>
      </c>
      <c r="AA402">
        <v>8394</v>
      </c>
      <c r="AB402">
        <v>1533</v>
      </c>
      <c r="AC402">
        <v>118</v>
      </c>
      <c r="AD402">
        <v>3.28</v>
      </c>
      <c r="AE402">
        <v>2730</v>
      </c>
      <c r="AF402">
        <v>0.382</v>
      </c>
      <c r="AG402">
        <v>0.027</v>
      </c>
      <c r="AH402">
        <v>0.031</v>
      </c>
      <c r="AI402">
        <v>325.23</v>
      </c>
      <c r="AJ402">
        <v>20.76</v>
      </c>
      <c r="AK402">
        <v>0</v>
      </c>
      <c r="AL402">
        <v>0</v>
      </c>
      <c r="AM402">
        <v>0</v>
      </c>
      <c r="AN402">
        <v>0</v>
      </c>
      <c r="AO402">
        <v>0</v>
      </c>
      <c r="AP402">
        <v>0.865</v>
      </c>
      <c r="AQ402">
        <v>0.128</v>
      </c>
      <c r="AR402">
        <v>0.177</v>
      </c>
      <c r="AS402" s="3">
        <v>46107.77005787037</v>
      </c>
    </row>
    <row r="403" ht="25.5" customHeight="1">
      <c r="A403" t="inlineStr">
        <is>
          <t>672a05b6000000001d02c8b3</t>
        </is>
      </c>
      <c r="B403" s="2" t="str">
        <f>=HYPERLINK("https://www.xiaohongshu.com/user/profile/672a05b6000000001d02c8b3", "https://www.xiaohongshu.com/user/profile/672a05b6000000001d02c8b3")</f>
        <v>https://www.xiaohongshu.com/user/profile/672a05b6000000001d02c8b3</v>
      </c>
      <c r="C403" s="2" t="str">
        <f>=HYPERLINK("https://pgy.xiaohongshu.com/solar/pre-trade/blogger-detail/672a05b6000000001d02c8b3", "https://pgy.xiaohongshu.com/solar/pre-trade/blogger-detail/672a05b6000000001d02c8b3")</f>
        <v>https://pgy.xiaohongshu.com/solar/pre-trade/blogger-detail/672a05b6000000001d02c8b3</v>
      </c>
      <c r="D403" t="inlineStr">
        <is>
          <t>女</t>
        </is>
      </c>
      <c r="E403" t="inlineStr">
        <is>
          <t>95475496004</t>
        </is>
      </c>
      <c r="F403" t="inlineStr">
        <is>
          <t>她生活无限</t>
        </is>
      </c>
      <c r="G403" t="inlineStr">
        <is>
          <t>福建 厦门 湖里区</t>
        </is>
      </c>
      <c r="H403"/>
      <c r="I403" t="inlineStr">
        <is>
          <t>教育</t>
        </is>
      </c>
      <c r="J403">
        <v>34052</v>
      </c>
      <c r="K403" t="inlineStr">
        <is>
          <t>3.4</t>
        </is>
      </c>
      <c r="L403">
        <v>11257</v>
      </c>
      <c r="M403">
        <v>745</v>
      </c>
      <c r="N403">
        <v>196</v>
      </c>
      <c r="O403">
        <v>1200</v>
      </c>
      <c r="P403">
        <v>0.053</v>
      </c>
      <c r="Q403">
        <v>0.526</v>
      </c>
      <c r="R403">
        <v>11633</v>
      </c>
      <c r="S403">
        <v>874</v>
      </c>
      <c r="T403">
        <v>179</v>
      </c>
      <c r="U403">
        <v>1.67</v>
      </c>
      <c r="V403">
        <v>1200</v>
      </c>
      <c r="W403">
        <v>0.556</v>
      </c>
      <c r="X403">
        <v>0.0559999999999999</v>
      </c>
      <c r="Y403">
        <v>103.15</v>
      </c>
      <c r="Z403">
        <v>5.99</v>
      </c>
      <c r="AA403">
        <v>3515</v>
      </c>
      <c r="AB403">
        <v>424</v>
      </c>
      <c r="AC403">
        <v>38</v>
      </c>
      <c r="AD403">
        <v>5.04</v>
      </c>
      <c r="AE403">
        <v>1500</v>
      </c>
      <c r="AF403">
        <v>0</v>
      </c>
      <c r="AG403">
        <v>0</v>
      </c>
      <c r="AH403">
        <v>0.065</v>
      </c>
      <c r="AI403">
        <v>426.74</v>
      </c>
      <c r="AJ403">
        <v>33.33</v>
      </c>
      <c r="AK403">
        <v>0</v>
      </c>
      <c r="AL403">
        <v>0</v>
      </c>
      <c r="AM403">
        <v>0</v>
      </c>
      <c r="AN403">
        <v>0</v>
      </c>
      <c r="AO403">
        <v>0</v>
      </c>
      <c r="AP403">
        <v>0.924</v>
      </c>
      <c r="AQ403">
        <v>0.037</v>
      </c>
      <c r="AR403">
        <v>0.015</v>
      </c>
      <c r="AS403" s="3">
        <v>46107.77005787037</v>
      </c>
    </row>
    <row r="404" ht="25.5" customHeight="1">
      <c r="A404" t="inlineStr">
        <is>
          <t>5a9570f811be106b4bdae2da</t>
        </is>
      </c>
      <c r="B404" s="2" t="str">
        <f>=HYPERLINK("https://www.xiaohongshu.com/user/profile/5a9570f811be106b4bdae2da", "https://www.xiaohongshu.com/user/profile/5a9570f811be106b4bdae2da")</f>
        <v>https://www.xiaohongshu.com/user/profile/5a9570f811be106b4bdae2da</v>
      </c>
      <c r="C404" s="2" t="str">
        <f>=HYPERLINK("https://pgy.xiaohongshu.com/solar/pre-trade/blogger-detail/5a9570f811be106b4bdae2da", "https://pgy.xiaohongshu.com/solar/pre-trade/blogger-detail/5a9570f811be106b4bdae2da")</f>
        <v>https://pgy.xiaohongshu.com/solar/pre-trade/blogger-detail/5a9570f811be106b4bdae2da</v>
      </c>
      <c r="D404" t="inlineStr">
        <is>
          <t>女</t>
        </is>
      </c>
      <c r="E404" t="inlineStr">
        <is>
          <t>26433330906</t>
        </is>
      </c>
      <c r="F404" t="inlineStr">
        <is>
          <t>SydneyW</t>
        </is>
      </c>
      <c r="G404" t="inlineStr">
        <is>
          <t>美国</t>
        </is>
      </c>
      <c r="H404" t="inlineStr">
        <is>
          <t>留学背景, 海外华人, 学生</t>
        </is>
      </c>
      <c r="I404" t="inlineStr">
        <is>
          <t>教育</t>
        </is>
      </c>
      <c r="J404">
        <v>6202</v>
      </c>
      <c r="K404" t="inlineStr">
        <is>
          <t>0.6</t>
        </is>
      </c>
      <c r="L404">
        <v>8110</v>
      </c>
      <c r="M404">
        <v>1197</v>
      </c>
      <c r="N404">
        <v>168</v>
      </c>
      <c r="O404">
        <v>890</v>
      </c>
      <c r="P404">
        <v>0</v>
      </c>
      <c r="Q404">
        <v>0.5</v>
      </c>
      <c r="R404">
        <v>6072</v>
      </c>
      <c r="S404">
        <v>958</v>
      </c>
      <c r="T404">
        <v>51</v>
      </c>
      <c r="U404">
        <v>0.73</v>
      </c>
      <c r="V404">
        <v>890</v>
      </c>
      <c r="W404">
        <v>0.25</v>
      </c>
      <c r="X404">
        <v>0</v>
      </c>
      <c r="Y404">
        <v>52.11</v>
      </c>
      <c r="Z404">
        <v>8.9</v>
      </c>
      <c r="AA404">
        <v>16561</v>
      </c>
      <c r="AB404">
        <v>2374</v>
      </c>
      <c r="AC404">
        <v>356</v>
      </c>
      <c r="AD404">
        <v>2.79</v>
      </c>
      <c r="AE404">
        <v>1200</v>
      </c>
      <c r="AF404">
        <v>0.75</v>
      </c>
      <c r="AG404">
        <v>0</v>
      </c>
      <c r="AH404">
        <v>0.033</v>
      </c>
      <c r="AI404">
        <v>175.62</v>
      </c>
      <c r="AJ404">
        <v>5.81</v>
      </c>
      <c r="AK404">
        <v>17442</v>
      </c>
      <c r="AL404">
        <v>2062</v>
      </c>
      <c r="AM404">
        <v>76</v>
      </c>
      <c r="AN404">
        <v>0</v>
      </c>
      <c r="AO404">
        <v>0</v>
      </c>
      <c r="AP404">
        <v>0.925999999999999</v>
      </c>
      <c r="AQ404">
        <v>0.062</v>
      </c>
      <c r="AR404">
        <v>0.055</v>
      </c>
      <c r="AS404" s="3">
        <v>46107.77005787037</v>
      </c>
    </row>
    <row r="405" ht="25.5" customHeight="1">
      <c r="A405" t="inlineStr">
        <is>
          <t>5b6ad6f55adbba0001da432d</t>
        </is>
      </c>
      <c r="B405" s="2" t="str">
        <f>=HYPERLINK("https://www.xiaohongshu.com/user/profile/5b6ad6f55adbba0001da432d", "https://www.xiaohongshu.com/user/profile/5b6ad6f55adbba0001da432d")</f>
        <v>https://www.xiaohongshu.com/user/profile/5b6ad6f55adbba0001da432d</v>
      </c>
      <c r="C405" s="2" t="str">
        <f>=HYPERLINK("https://pgy.xiaohongshu.com/solar/pre-trade/blogger-detail/5b6ad6f55adbba0001da432d", "https://pgy.xiaohongshu.com/solar/pre-trade/blogger-detail/5b6ad6f55adbba0001da432d")</f>
        <v>https://pgy.xiaohongshu.com/solar/pre-trade/blogger-detail/5b6ad6f55adbba0001da432d</v>
      </c>
      <c r="D405" t="inlineStr">
        <is>
          <t>女</t>
        </is>
      </c>
      <c r="E405" t="inlineStr">
        <is>
          <t>Qsj_1998</t>
        </is>
      </c>
      <c r="F405" t="inlineStr">
        <is>
          <t>博士师姐Yolo~</t>
        </is>
      </c>
      <c r="G405" t="inlineStr">
        <is>
          <t>浙江 温州 瓯海区</t>
        </is>
      </c>
      <c r="H405"/>
      <c r="I405" t="inlineStr">
        <is>
          <t>教育</t>
        </is>
      </c>
      <c r="J405">
        <v>5450</v>
      </c>
      <c r="K405" t="inlineStr">
        <is>
          <t>0.5</t>
        </is>
      </c>
      <c r="L405">
        <v>6622</v>
      </c>
      <c r="M405">
        <v>1496</v>
      </c>
      <c r="N405">
        <v>237</v>
      </c>
      <c r="O405">
        <v>400</v>
      </c>
      <c r="P405">
        <v>0</v>
      </c>
      <c r="Q405">
        <v>0.4</v>
      </c>
      <c r="R405">
        <v>0</v>
      </c>
      <c r="S405">
        <v>0</v>
      </c>
      <c r="T405">
        <v>0</v>
      </c>
      <c r="U405">
        <v>0</v>
      </c>
      <c r="V405">
        <v>400</v>
      </c>
      <c r="W405">
        <v>0</v>
      </c>
      <c r="X405">
        <v>0</v>
      </c>
      <c r="Y405">
        <v>0</v>
      </c>
      <c r="Z405">
        <v>0</v>
      </c>
      <c r="AA405">
        <v>6622</v>
      </c>
      <c r="AB405">
        <v>1496</v>
      </c>
      <c r="AC405">
        <v>194</v>
      </c>
      <c r="AD405">
        <v>1.83</v>
      </c>
      <c r="AE405">
        <v>500</v>
      </c>
      <c r="AF405">
        <v>0.4</v>
      </c>
      <c r="AG405">
        <v>0</v>
      </c>
      <c r="AH405">
        <v>0.013</v>
      </c>
      <c r="AI405">
        <v>75.51</v>
      </c>
      <c r="AJ405">
        <v>2.11</v>
      </c>
      <c r="AK405">
        <v>0</v>
      </c>
      <c r="AL405">
        <v>0</v>
      </c>
      <c r="AM405">
        <v>0</v>
      </c>
      <c r="AN405">
        <v>0</v>
      </c>
      <c r="AO405">
        <v>0</v>
      </c>
      <c r="AP405">
        <v>0.941</v>
      </c>
      <c r="AQ405">
        <v>0.104</v>
      </c>
      <c r="AR405">
        <v>0.216</v>
      </c>
      <c r="AS405" s="3">
        <v>46107.77005787037</v>
      </c>
    </row>
    <row r="406" ht="25.5" customHeight="1">
      <c r="A406" t="inlineStr">
        <is>
          <t>67a89fbb0000000004033fbe</t>
        </is>
      </c>
      <c r="B406" s="2" t="str">
        <f>=HYPERLINK("https://www.xiaohongshu.com/user/profile/67a89fbb0000000004033fbe", "https://www.xiaohongshu.com/user/profile/67a89fbb0000000004033fbe")</f>
        <v>https://www.xiaohongshu.com/user/profile/67a89fbb0000000004033fbe</v>
      </c>
      <c r="C406" s="2" t="str">
        <f>=HYPERLINK("https://pgy.xiaohongshu.com/solar/pre-trade/blogger-detail/67a89fbb0000000004033fbe", "https://pgy.xiaohongshu.com/solar/pre-trade/blogger-detail/67a89fbb0000000004033fbe")</f>
        <v>https://pgy.xiaohongshu.com/solar/pre-trade/blogger-detail/67a89fbb0000000004033fbe</v>
      </c>
      <c r="D406" t="inlineStr">
        <is>
          <t>女</t>
        </is>
      </c>
      <c r="E406" t="inlineStr">
        <is>
          <t>63816347329</t>
        </is>
      </c>
      <c r="F406" t="inlineStr">
        <is>
          <t>睡饱饱～学习习</t>
        </is>
      </c>
      <c r="G406" t="inlineStr">
        <is>
          <t>山东 潍坊 寿光市</t>
        </is>
      </c>
      <c r="H406"/>
      <c r="I406" t="inlineStr">
        <is>
          <t>教育</t>
        </is>
      </c>
      <c r="J406">
        <v>4723</v>
      </c>
      <c r="K406" t="inlineStr">
        <is>
          <t>0.5</t>
        </is>
      </c>
      <c r="L406">
        <v>52399</v>
      </c>
      <c r="M406">
        <v>7340</v>
      </c>
      <c r="N406">
        <v>454</v>
      </c>
      <c r="O406">
        <v>500</v>
      </c>
      <c r="P406">
        <v>0.067</v>
      </c>
      <c r="Q406">
        <v>0.8</v>
      </c>
      <c r="R406">
        <v>0</v>
      </c>
      <c r="S406">
        <v>0</v>
      </c>
      <c r="T406">
        <v>0</v>
      </c>
      <c r="U406">
        <v>0</v>
      </c>
      <c r="V406">
        <v>0</v>
      </c>
      <c r="W406">
        <v>0</v>
      </c>
      <c r="X406">
        <v>0</v>
      </c>
      <c r="Y406">
        <v>0</v>
      </c>
      <c r="Z406">
        <v>0</v>
      </c>
      <c r="AA406">
        <v>52399</v>
      </c>
      <c r="AB406">
        <v>7340</v>
      </c>
      <c r="AC406">
        <v>370</v>
      </c>
      <c r="AD406">
        <v>1.57</v>
      </c>
      <c r="AE406">
        <v>500</v>
      </c>
      <c r="AF406">
        <v>0.8</v>
      </c>
      <c r="AG406">
        <v>0.067</v>
      </c>
      <c r="AH406">
        <v>0.051</v>
      </c>
      <c r="AI406">
        <v>9.54</v>
      </c>
      <c r="AJ406">
        <v>1.1</v>
      </c>
      <c r="AK406">
        <v>0</v>
      </c>
      <c r="AL406">
        <v>0</v>
      </c>
      <c r="AM406">
        <v>0</v>
      </c>
      <c r="AN406">
        <v>0</v>
      </c>
      <c r="AO406">
        <v>0</v>
      </c>
      <c r="AP406">
        <v>0.994</v>
      </c>
      <c r="AQ406">
        <v>0.225</v>
      </c>
      <c r="AR406">
        <v>0</v>
      </c>
      <c r="AS406" s="3">
        <v>46107.77005787037</v>
      </c>
    </row>
    <row r="407" ht="25.5" customHeight="1">
      <c r="A407" t="inlineStr">
        <is>
          <t>59aa66d682ec390408abfdf1</t>
        </is>
      </c>
      <c r="B407" s="2" t="str">
        <f>=HYPERLINK("https://www.xiaohongshu.com/user/profile/59aa66d682ec390408abfdf1", "https://www.xiaohongshu.com/user/profile/59aa66d682ec390408abfdf1")</f>
        <v>https://www.xiaohongshu.com/user/profile/59aa66d682ec390408abfdf1</v>
      </c>
      <c r="C407" s="2" t="str">
        <f>=HYPERLINK("https://pgy.xiaohongshu.com/solar/pre-trade/blogger-detail/59aa66d682ec390408abfdf1", "https://pgy.xiaohongshu.com/solar/pre-trade/blogger-detail/59aa66d682ec390408abfdf1")</f>
        <v>https://pgy.xiaohongshu.com/solar/pre-trade/blogger-detail/59aa66d682ec390408abfdf1</v>
      </c>
      <c r="D407" t="inlineStr">
        <is>
          <t>女</t>
        </is>
      </c>
      <c r="E407" t="inlineStr">
        <is>
          <t>Cccaco3</t>
        </is>
      </c>
      <c r="F407" t="inlineStr">
        <is>
          <t>碳酸钙女士</t>
        </is>
      </c>
      <c r="G407" t="inlineStr">
        <is>
          <t>广东 珠海 香洲区</t>
        </is>
      </c>
      <c r="H407" t="inlineStr">
        <is>
          <t>学生</t>
        </is>
      </c>
      <c r="I407" t="inlineStr">
        <is>
          <t>教育, 生活记录</t>
        </is>
      </c>
      <c r="J407">
        <v>4472</v>
      </c>
      <c r="K407" t="inlineStr">
        <is>
          <t>0.4</t>
        </is>
      </c>
      <c r="L407">
        <v>11970</v>
      </c>
      <c r="M407">
        <v>2486</v>
      </c>
      <c r="N407">
        <v>246</v>
      </c>
      <c r="O407">
        <v>360</v>
      </c>
      <c r="P407">
        <v>0.166999999999999</v>
      </c>
      <c r="Q407">
        <v>0.667</v>
      </c>
      <c r="R407">
        <v>11970</v>
      </c>
      <c r="S407">
        <v>2486</v>
      </c>
      <c r="T407">
        <v>230</v>
      </c>
      <c r="U407">
        <v>0.44</v>
      </c>
      <c r="V407">
        <v>360</v>
      </c>
      <c r="W407">
        <v>0.667</v>
      </c>
      <c r="X407">
        <v>0.166999999999999</v>
      </c>
      <c r="Y407">
        <v>30.52</v>
      </c>
      <c r="Z407">
        <v>1.61</v>
      </c>
      <c r="AA407">
        <v>0</v>
      </c>
      <c r="AB407">
        <v>0</v>
      </c>
      <c r="AC407">
        <v>0</v>
      </c>
      <c r="AD407">
        <v>0</v>
      </c>
      <c r="AE407">
        <v>420</v>
      </c>
      <c r="AF407">
        <v>0</v>
      </c>
      <c r="AG407">
        <v>0</v>
      </c>
      <c r="AH407">
        <v>0</v>
      </c>
      <c r="AI407">
        <v>0</v>
      </c>
      <c r="AJ407">
        <v>0</v>
      </c>
      <c r="AK407">
        <v>2661</v>
      </c>
      <c r="AL407">
        <v>350</v>
      </c>
      <c r="AM407">
        <v>41</v>
      </c>
      <c r="AN407">
        <v>0</v>
      </c>
      <c r="AO407">
        <v>0</v>
      </c>
      <c r="AP407">
        <v>0.731</v>
      </c>
      <c r="AQ407">
        <v>0.042</v>
      </c>
      <c r="AR407">
        <v>0.046</v>
      </c>
      <c r="AS407" s="3">
        <v>46107.77005787037</v>
      </c>
    </row>
    <row r="408" ht="25.5" customHeight="1">
      <c r="A408" t="inlineStr">
        <is>
          <t>659fc954000000001f013db0</t>
        </is>
      </c>
      <c r="B408" s="2" t="str">
        <f>=HYPERLINK("https://www.xiaohongshu.com/user/profile/659fc954000000001f013db0", "https://www.xiaohongshu.com/user/profile/659fc954000000001f013db0")</f>
        <v>https://www.xiaohongshu.com/user/profile/659fc954000000001f013db0</v>
      </c>
      <c r="C408" s="2" t="str">
        <f>=HYPERLINK("https://pgy.xiaohongshu.com/solar/pre-trade/blogger-detail/659fc954000000001f013db0", "https://pgy.xiaohongshu.com/solar/pre-trade/blogger-detail/659fc954000000001f013db0")</f>
        <v>https://pgy.xiaohongshu.com/solar/pre-trade/blogger-detail/659fc954000000001f013db0</v>
      </c>
      <c r="D408" t="inlineStr">
        <is>
          <t>女</t>
        </is>
      </c>
      <c r="E408" t="inlineStr">
        <is>
          <t>LLXXS668</t>
        </is>
      </c>
      <c r="F408" t="inlineStr">
        <is>
          <t>来杯热美式（文学考研）</t>
        </is>
      </c>
      <c r="G408" t="inlineStr">
        <is>
          <t>甘肃 兰州 榆中县</t>
        </is>
      </c>
      <c r="H408"/>
      <c r="I408" t="inlineStr">
        <is>
          <t>教育</t>
        </is>
      </c>
      <c r="J408">
        <v>1930</v>
      </c>
      <c r="K408" t="inlineStr">
        <is>
          <t>0.2</t>
        </is>
      </c>
      <c r="L408">
        <v>8582</v>
      </c>
      <c r="M408">
        <v>1600</v>
      </c>
      <c r="N408">
        <v>172</v>
      </c>
      <c r="O408">
        <v>600</v>
      </c>
      <c r="P408">
        <v>0</v>
      </c>
      <c r="Q408">
        <v>0.235</v>
      </c>
      <c r="R408">
        <v>8582</v>
      </c>
      <c r="S408">
        <v>1600</v>
      </c>
      <c r="T408">
        <v>129</v>
      </c>
      <c r="U408">
        <v>0.68</v>
      </c>
      <c r="V408">
        <v>600</v>
      </c>
      <c r="W408">
        <v>0.235</v>
      </c>
      <c r="X408">
        <v>0</v>
      </c>
      <c r="Y408">
        <v>69.91</v>
      </c>
      <c r="Z408">
        <v>3.49</v>
      </c>
      <c r="AA408">
        <v>0</v>
      </c>
      <c r="AB408">
        <v>0</v>
      </c>
      <c r="AC408">
        <v>0</v>
      </c>
      <c r="AD408">
        <v>0</v>
      </c>
      <c r="AE408">
        <v>1000</v>
      </c>
      <c r="AF408">
        <v>0</v>
      </c>
      <c r="AG408">
        <v>0</v>
      </c>
      <c r="AH408">
        <v>0</v>
      </c>
      <c r="AI408">
        <v>0</v>
      </c>
      <c r="AJ408">
        <v>0</v>
      </c>
      <c r="AK408">
        <v>0</v>
      </c>
      <c r="AL408">
        <v>0</v>
      </c>
      <c r="AM408">
        <v>0</v>
      </c>
      <c r="AN408">
        <v>0</v>
      </c>
      <c r="AO408">
        <v>0</v>
      </c>
      <c r="AP408">
        <v>0.922</v>
      </c>
      <c r="AQ408">
        <v>0.25</v>
      </c>
      <c r="AR408">
        <v>0.8</v>
      </c>
      <c r="AS408" s="3">
        <v>46107.77005787037</v>
      </c>
    </row>
    <row r="409" ht="25.5" customHeight="1">
      <c r="A409" t="inlineStr">
        <is>
          <t>63d78b770000000026005a06</t>
        </is>
      </c>
      <c r="B409" s="2" t="str">
        <f>=HYPERLINK("https://www.xiaohongshu.com/user/profile/63d78b770000000026005a06", "https://www.xiaohongshu.com/user/profile/63d78b770000000026005a06")</f>
        <v>https://www.xiaohongshu.com/user/profile/63d78b770000000026005a06</v>
      </c>
      <c r="C409" s="2" t="str">
        <f>=HYPERLINK("https://pgy.xiaohongshu.com/solar/pre-trade/blogger-detail/63d78b770000000026005a06", "https://pgy.xiaohongshu.com/solar/pre-trade/blogger-detail/63d78b770000000026005a06")</f>
        <v>https://pgy.xiaohongshu.com/solar/pre-trade/blogger-detail/63d78b770000000026005a06</v>
      </c>
      <c r="D409" t="inlineStr">
        <is>
          <t>男</t>
        </is>
      </c>
      <c r="E409" t="inlineStr">
        <is>
          <t>5092154099</t>
        </is>
      </c>
      <c r="F409" t="inlineStr">
        <is>
          <t>羊驼不会馋（努力备考版）</t>
        </is>
      </c>
      <c r="G409" t="inlineStr">
        <is>
          <t>广东 广州 天河区</t>
        </is>
      </c>
      <c r="H409" t="inlineStr">
        <is>
          <t>学生</t>
        </is>
      </c>
      <c r="I409" t="inlineStr">
        <is>
          <t>教育</t>
        </is>
      </c>
      <c r="J409">
        <v>15910</v>
      </c>
      <c r="K409" t="inlineStr">
        <is>
          <t>1.6</t>
        </is>
      </c>
      <c r="L409">
        <v>6859</v>
      </c>
      <c r="M409">
        <v>653</v>
      </c>
      <c r="N409">
        <v>176</v>
      </c>
      <c r="O409">
        <v>1200</v>
      </c>
      <c r="P409">
        <v>0</v>
      </c>
      <c r="Q409">
        <v>0.222</v>
      </c>
      <c r="R409">
        <v>6859</v>
      </c>
      <c r="S409">
        <v>653</v>
      </c>
      <c r="T409">
        <v>165</v>
      </c>
      <c r="U409">
        <v>2.1</v>
      </c>
      <c r="V409">
        <v>1200</v>
      </c>
      <c r="W409">
        <v>0.222</v>
      </c>
      <c r="X409">
        <v>0</v>
      </c>
      <c r="Y409">
        <v>182.38</v>
      </c>
      <c r="Z409">
        <v>6.76</v>
      </c>
      <c r="AA409">
        <v>0</v>
      </c>
      <c r="AB409">
        <v>0</v>
      </c>
      <c r="AC409">
        <v>0</v>
      </c>
      <c r="AD409">
        <v>0</v>
      </c>
      <c r="AE409">
        <v>1500</v>
      </c>
      <c r="AF409">
        <v>0</v>
      </c>
      <c r="AG409">
        <v>0</v>
      </c>
      <c r="AH409">
        <v>0</v>
      </c>
      <c r="AI409">
        <v>0</v>
      </c>
      <c r="AJ409">
        <v>0</v>
      </c>
      <c r="AK409">
        <v>5483</v>
      </c>
      <c r="AL409">
        <v>684</v>
      </c>
      <c r="AM409">
        <v>157</v>
      </c>
      <c r="AN409">
        <v>0</v>
      </c>
      <c r="AO409">
        <v>0</v>
      </c>
      <c r="AP409">
        <v>0.851</v>
      </c>
      <c r="AQ409">
        <v>0.047</v>
      </c>
      <c r="AR409">
        <v>0.026</v>
      </c>
      <c r="AS409" s="3">
        <v>46107.77005787037</v>
      </c>
    </row>
    <row r="410" ht="25.5" customHeight="1">
      <c r="A410" t="inlineStr">
        <is>
          <t>67a5ed4c000000000e0120e0</t>
        </is>
      </c>
      <c r="B410" s="2" t="str">
        <f>=HYPERLINK("https://www.xiaohongshu.com/user/profile/67a5ed4c000000000e0120e0", "https://www.xiaohongshu.com/user/profile/67a5ed4c000000000e0120e0")</f>
        <v>https://www.xiaohongshu.com/user/profile/67a5ed4c000000000e0120e0</v>
      </c>
      <c r="C410" s="2" t="str">
        <f>=HYPERLINK("https://pgy.xiaohongshu.com/solar/pre-trade/blogger-detail/67a5ed4c000000000e0120e0", "https://pgy.xiaohongshu.com/solar/pre-trade/blogger-detail/67a5ed4c000000000e0120e0")</f>
        <v>https://pgy.xiaohongshu.com/solar/pre-trade/blogger-detail/67a5ed4c000000000e0120e0</v>
      </c>
      <c r="D410" t="inlineStr">
        <is>
          <t>女</t>
        </is>
      </c>
      <c r="E410" t="inlineStr">
        <is>
          <t>63814370176</t>
        </is>
      </c>
      <c r="F410" t="inlineStr">
        <is>
          <t>椰椰没烦恼</t>
        </is>
      </c>
      <c r="G410" t="inlineStr">
        <is>
          <t>辽宁 沈阳 法库县</t>
        </is>
      </c>
      <c r="H410" t="inlineStr">
        <is>
          <t>学生</t>
        </is>
      </c>
      <c r="I410" t="inlineStr">
        <is>
          <t>教育, 生活记录</t>
        </is>
      </c>
      <c r="J410">
        <v>3100</v>
      </c>
      <c r="K410" t="inlineStr">
        <is>
          <t>0.3</t>
        </is>
      </c>
      <c r="L410">
        <v>2200</v>
      </c>
      <c r="M410">
        <v>316</v>
      </c>
      <c r="N410">
        <v>211</v>
      </c>
      <c r="O410">
        <v>240</v>
      </c>
      <c r="P410">
        <v>0</v>
      </c>
      <c r="Q410">
        <v>0.25</v>
      </c>
      <c r="R410">
        <v>2226</v>
      </c>
      <c r="S410">
        <v>314</v>
      </c>
      <c r="T410">
        <v>201</v>
      </c>
      <c r="U410">
        <v>1.06</v>
      </c>
      <c r="V410">
        <v>240</v>
      </c>
      <c r="W410">
        <v>0.332999999999999</v>
      </c>
      <c r="X410">
        <v>0</v>
      </c>
      <c r="Y410">
        <v>105.73</v>
      </c>
      <c r="Z410">
        <v>1.68</v>
      </c>
      <c r="AA410">
        <v>2175</v>
      </c>
      <c r="AB410">
        <v>318</v>
      </c>
      <c r="AC410">
        <v>137</v>
      </c>
      <c r="AD410">
        <v>2.27</v>
      </c>
      <c r="AE410">
        <v>245</v>
      </c>
      <c r="AF410">
        <v>0</v>
      </c>
      <c r="AG410">
        <v>0</v>
      </c>
      <c r="AH410">
        <v>0.093</v>
      </c>
      <c r="AI410">
        <v>112.64</v>
      </c>
      <c r="AJ410">
        <v>1.78</v>
      </c>
      <c r="AK410">
        <v>2408</v>
      </c>
      <c r="AL410">
        <v>312</v>
      </c>
      <c r="AM410">
        <v>83</v>
      </c>
      <c r="AN410">
        <v>0</v>
      </c>
      <c r="AO410">
        <v>122.23</v>
      </c>
      <c r="AP410">
        <v>0.687</v>
      </c>
      <c r="AQ410">
        <v>0.073</v>
      </c>
      <c r="AR410">
        <v>0.036</v>
      </c>
      <c r="AS410" s="3">
        <v>46107.77005787037</v>
      </c>
    </row>
    <row r="411" ht="25.5" customHeight="1">
      <c r="A411" t="inlineStr">
        <is>
          <t>660422bc000000000600d679</t>
        </is>
      </c>
      <c r="B411" s="2" t="str">
        <f>=HYPERLINK("https://www.xiaohongshu.com/user/profile/660422bc000000000600d679", "https://www.xiaohongshu.com/user/profile/660422bc000000000600d679")</f>
        <v>https://www.xiaohongshu.com/user/profile/660422bc000000000600d679</v>
      </c>
      <c r="C411" s="2" t="str">
        <f>=HYPERLINK("https://pgy.xiaohongshu.com/solar/pre-trade/blogger-detail/660422bc000000000600d679", "https://pgy.xiaohongshu.com/solar/pre-trade/blogger-detail/660422bc000000000600d679")</f>
        <v>https://pgy.xiaohongshu.com/solar/pre-trade/blogger-detail/660422bc000000000600d679</v>
      </c>
      <c r="D411" t="inlineStr">
        <is>
          <t>女</t>
        </is>
      </c>
      <c r="E411" t="inlineStr">
        <is>
          <t>lakiIsla558</t>
        </is>
      </c>
      <c r="F411" t="inlineStr">
        <is>
          <t>新晋科学家小岛</t>
        </is>
      </c>
      <c r="G411" t="inlineStr">
        <is>
          <t>澳大利亚</t>
        </is>
      </c>
      <c r="H411" t="inlineStr">
        <is>
          <t>学生</t>
        </is>
      </c>
      <c r="I411" t="inlineStr">
        <is>
          <t>教育, 生活记录</t>
        </is>
      </c>
      <c r="J411">
        <v>155151</v>
      </c>
      <c r="K411" t="inlineStr">
        <is>
          <t>15.5</t>
        </is>
      </c>
      <c r="L411">
        <v>73687</v>
      </c>
      <c r="M411">
        <v>20590</v>
      </c>
      <c r="N411">
        <v>1241</v>
      </c>
      <c r="O411">
        <v>9000</v>
      </c>
      <c r="P411">
        <v>0.5</v>
      </c>
      <c r="Q411">
        <v>1</v>
      </c>
      <c r="R411">
        <v>0</v>
      </c>
      <c r="S411">
        <v>0</v>
      </c>
      <c r="T411">
        <v>0</v>
      </c>
      <c r="U411">
        <v>0</v>
      </c>
      <c r="V411">
        <v>9000</v>
      </c>
      <c r="W411">
        <v>0</v>
      </c>
      <c r="X411">
        <v>0</v>
      </c>
      <c r="Y411">
        <v>0</v>
      </c>
      <c r="Z411">
        <v>0</v>
      </c>
      <c r="AA411">
        <v>73687</v>
      </c>
      <c r="AB411">
        <v>20590</v>
      </c>
      <c r="AC411">
        <v>1153</v>
      </c>
      <c r="AD411">
        <v>2.18</v>
      </c>
      <c r="AE411">
        <v>14000</v>
      </c>
      <c r="AF411">
        <v>1</v>
      </c>
      <c r="AG411">
        <v>0.5</v>
      </c>
      <c r="AH411">
        <v>0.075</v>
      </c>
      <c r="AI411">
        <v>189.99</v>
      </c>
      <c r="AJ411">
        <v>11.28</v>
      </c>
      <c r="AK411">
        <v>0</v>
      </c>
      <c r="AL411">
        <v>0</v>
      </c>
      <c r="AM411">
        <v>0</v>
      </c>
      <c r="AN411">
        <v>0</v>
      </c>
      <c r="AO411">
        <v>0</v>
      </c>
      <c r="AP411">
        <v>0.757</v>
      </c>
      <c r="AQ411">
        <v>0.255</v>
      </c>
      <c r="AR411">
        <v>0.696</v>
      </c>
      <c r="AS411" s="3">
        <v>46107.77005787037</v>
      </c>
    </row>
    <row r="412" ht="25.5" customHeight="1">
      <c r="A412" t="inlineStr">
        <is>
          <t>5af31c75e8ac2b5c52507777</t>
        </is>
      </c>
      <c r="B412" s="2" t="str">
        <f>=HYPERLINK("https://www.xiaohongshu.com/user/profile/5af31c75e8ac2b5c52507777", "https://www.xiaohongshu.com/user/profile/5af31c75e8ac2b5c52507777")</f>
        <v>https://www.xiaohongshu.com/user/profile/5af31c75e8ac2b5c52507777</v>
      </c>
      <c r="C412" s="2" t="str">
        <f>=HYPERLINK("https://pgy.xiaohongshu.com/solar/pre-trade/blogger-detail/5af31c75e8ac2b5c52507777", "https://pgy.xiaohongshu.com/solar/pre-trade/blogger-detail/5af31c75e8ac2b5c52507777")</f>
        <v>https://pgy.xiaohongshu.com/solar/pre-trade/blogger-detail/5af31c75e8ac2b5c52507777</v>
      </c>
      <c r="D412" t="inlineStr">
        <is>
          <t>女</t>
        </is>
      </c>
      <c r="E412" t="inlineStr">
        <is>
          <t>944523949</t>
        </is>
      </c>
      <c r="F412" t="inlineStr">
        <is>
          <t>Dr. 怡宝_Ebo</t>
        </is>
      </c>
      <c r="G412" t="inlineStr">
        <is>
          <t>湖南 永州 祁阳市</t>
        </is>
      </c>
      <c r="H412"/>
      <c r="I412" t="inlineStr">
        <is>
          <t>教育</t>
        </is>
      </c>
      <c r="J412">
        <v>7629</v>
      </c>
      <c r="K412" t="inlineStr">
        <is>
          <t>0.8</t>
        </is>
      </c>
      <c r="L412">
        <v>7396</v>
      </c>
      <c r="M412">
        <v>1022</v>
      </c>
      <c r="N412">
        <v>120</v>
      </c>
      <c r="O412">
        <v>439</v>
      </c>
      <c r="P412">
        <v>0</v>
      </c>
      <c r="Q412">
        <v>0.357</v>
      </c>
      <c r="R412">
        <v>7396</v>
      </c>
      <c r="S412">
        <v>1022</v>
      </c>
      <c r="T412">
        <v>95</v>
      </c>
      <c r="U412">
        <v>0.72</v>
      </c>
      <c r="V412">
        <v>439</v>
      </c>
      <c r="W412">
        <v>0.357</v>
      </c>
      <c r="X412">
        <v>0</v>
      </c>
      <c r="Y412">
        <v>56.4</v>
      </c>
      <c r="Z412">
        <v>3.25</v>
      </c>
      <c r="AA412">
        <v>0</v>
      </c>
      <c r="AB412">
        <v>0</v>
      </c>
      <c r="AC412">
        <v>0</v>
      </c>
      <c r="AD412">
        <v>0</v>
      </c>
      <c r="AE412">
        <v>811</v>
      </c>
      <c r="AF412">
        <v>0</v>
      </c>
      <c r="AG412">
        <v>0</v>
      </c>
      <c r="AH412">
        <v>0</v>
      </c>
      <c r="AI412">
        <v>0</v>
      </c>
      <c r="AJ412">
        <v>0</v>
      </c>
      <c r="AK412">
        <v>46729</v>
      </c>
      <c r="AL412">
        <v>12092</v>
      </c>
      <c r="AM412">
        <v>2363</v>
      </c>
      <c r="AN412">
        <v>0</v>
      </c>
      <c r="AO412">
        <v>0</v>
      </c>
      <c r="AP412">
        <v>0.839</v>
      </c>
      <c r="AQ412">
        <v>0.0819999999999999</v>
      </c>
      <c r="AR412">
        <v>0.038</v>
      </c>
      <c r="AS412" s="3">
        <v>46107.77005787037</v>
      </c>
    </row>
    <row r="413" ht="25.5" customHeight="1">
      <c r="A413" t="inlineStr">
        <is>
          <t>5b28a1a211be1031fc55f4d3</t>
        </is>
      </c>
      <c r="B413" s="2" t="str">
        <f>=HYPERLINK("https://www.xiaohongshu.com/user/profile/5b28a1a211be1031fc55f4d3", "https://www.xiaohongshu.com/user/profile/5b28a1a211be1031fc55f4d3")</f>
        <v>https://www.xiaohongshu.com/user/profile/5b28a1a211be1031fc55f4d3</v>
      </c>
      <c r="C413" s="2" t="str">
        <f>=HYPERLINK("https://pgy.xiaohongshu.com/solar/pre-trade/blogger-detail/5b28a1a211be1031fc55f4d3", "https://pgy.xiaohongshu.com/solar/pre-trade/blogger-detail/5b28a1a211be1031fc55f4d3")</f>
        <v>https://pgy.xiaohongshu.com/solar/pre-trade/blogger-detail/5b28a1a211be1031fc55f4d3</v>
      </c>
      <c r="D413" t="inlineStr">
        <is>
          <t>女</t>
        </is>
      </c>
      <c r="E413" t="inlineStr">
        <is>
          <t>278116834</t>
        </is>
      </c>
      <c r="F413" t="inlineStr">
        <is>
          <t>叶八画</t>
        </is>
      </c>
      <c r="G413" t="inlineStr">
        <is>
          <t>意大利</t>
        </is>
      </c>
      <c r="H413" t="inlineStr">
        <is>
          <t>学生, 留学背景, 海外华人, 主播, 闺蜜</t>
        </is>
      </c>
      <c r="I413" t="inlineStr">
        <is>
          <t>出行旅游</t>
        </is>
      </c>
      <c r="J413">
        <v>5921</v>
      </c>
      <c r="K413" t="inlineStr">
        <is>
          <t>0.6</t>
        </is>
      </c>
      <c r="L413">
        <v>49795</v>
      </c>
      <c r="M413">
        <v>3359</v>
      </c>
      <c r="N413">
        <v>109</v>
      </c>
      <c r="O413">
        <v>500</v>
      </c>
      <c r="P413">
        <v>0.143</v>
      </c>
      <c r="Q413">
        <v>0.429</v>
      </c>
      <c r="R413">
        <v>81</v>
      </c>
      <c r="S413">
        <v>7</v>
      </c>
      <c r="T413">
        <v>0</v>
      </c>
      <c r="U413">
        <v>0.95</v>
      </c>
      <c r="V413">
        <v>500</v>
      </c>
      <c r="W413">
        <v>0</v>
      </c>
      <c r="X413">
        <v>0</v>
      </c>
      <c r="Y413">
        <v>39.01</v>
      </c>
      <c r="Z413">
        <v>10.64</v>
      </c>
      <c r="AA413">
        <v>66023</v>
      </c>
      <c r="AB413">
        <v>35750</v>
      </c>
      <c r="AC413">
        <v>548</v>
      </c>
      <c r="AD413">
        <v>1.83</v>
      </c>
      <c r="AE413">
        <v>1099</v>
      </c>
      <c r="AF413">
        <v>0.5</v>
      </c>
      <c r="AG413">
        <v>0.166999999999999</v>
      </c>
      <c r="AH413">
        <v>0.342</v>
      </c>
      <c r="AI413">
        <v>22.07</v>
      </c>
      <c r="AJ413">
        <v>10.08</v>
      </c>
      <c r="AK413">
        <v>18667</v>
      </c>
      <c r="AL413">
        <v>2327</v>
      </c>
      <c r="AM413">
        <v>71</v>
      </c>
      <c r="AN413">
        <v>0</v>
      </c>
      <c r="AO413">
        <v>0</v>
      </c>
      <c r="AP413">
        <v>0.935</v>
      </c>
      <c r="AQ413">
        <v>0.175</v>
      </c>
      <c r="AR413">
        <v>0.301</v>
      </c>
      <c r="AS413" s="3">
        <v>46107.77005787037</v>
      </c>
    </row>
    <row r="414" ht="25.5" customHeight="1">
      <c r="A414" t="inlineStr">
        <is>
          <t>6481d788000000000f005ce2</t>
        </is>
      </c>
      <c r="B414" s="2" t="str">
        <f>=HYPERLINK("https://www.xiaohongshu.com/user/profile/6481d788000000000f005ce2", "https://www.xiaohongshu.com/user/profile/6481d788000000000f005ce2")</f>
        <v>https://www.xiaohongshu.com/user/profile/6481d788000000000f005ce2</v>
      </c>
      <c r="C414" s="2" t="str">
        <f>=HYPERLINK("https://pgy.xiaohongshu.com/solar/pre-trade/blogger-detail/6481d788000000000f005ce2", "https://pgy.xiaohongshu.com/solar/pre-trade/blogger-detail/6481d788000000000f005ce2")</f>
        <v>https://pgy.xiaohongshu.com/solar/pre-trade/blogger-detail/6481d788000000000f005ce2</v>
      </c>
      <c r="D414" t="inlineStr">
        <is>
          <t>女</t>
        </is>
      </c>
      <c r="E414" t="inlineStr">
        <is>
          <t>7432293889</t>
        </is>
      </c>
      <c r="F414" t="inlineStr">
        <is>
          <t>遐想悦</t>
        </is>
      </c>
      <c r="G414" t="inlineStr">
        <is>
          <t>安徽 合肥 蜀山区</t>
        </is>
      </c>
      <c r="H414" t="inlineStr">
        <is>
          <t>学生</t>
        </is>
      </c>
      <c r="I414" t="inlineStr">
        <is>
          <t>教育</t>
        </is>
      </c>
      <c r="J414">
        <v>17645</v>
      </c>
      <c r="K414" t="inlineStr">
        <is>
          <t>1.8</t>
        </is>
      </c>
      <c r="L414">
        <v>24451</v>
      </c>
      <c r="M414">
        <v>5410</v>
      </c>
      <c r="N414">
        <v>794</v>
      </c>
      <c r="O414">
        <v>1500</v>
      </c>
      <c r="P414">
        <v>0.332999999999999</v>
      </c>
      <c r="Q414">
        <v>1</v>
      </c>
      <c r="R414">
        <v>21709</v>
      </c>
      <c r="S414">
        <v>3220</v>
      </c>
      <c r="T414">
        <v>506</v>
      </c>
      <c r="U414">
        <v>0.77</v>
      </c>
      <c r="V414">
        <v>1500</v>
      </c>
      <c r="W414">
        <v>1</v>
      </c>
      <c r="X414">
        <v>0.166999999999999</v>
      </c>
      <c r="Y414">
        <v>69.09</v>
      </c>
      <c r="Z414">
        <v>2.75</v>
      </c>
      <c r="AA414">
        <v>111801</v>
      </c>
      <c r="AB414">
        <v>23616</v>
      </c>
      <c r="AC414">
        <v>2471</v>
      </c>
      <c r="AD414">
        <v>1.58</v>
      </c>
      <c r="AE414">
        <v>2000</v>
      </c>
      <c r="AF414">
        <v>1</v>
      </c>
      <c r="AG414">
        <v>0.667</v>
      </c>
      <c r="AH414">
        <v>0.043</v>
      </c>
      <c r="AI414">
        <v>17.89</v>
      </c>
      <c r="AJ414">
        <v>0.48</v>
      </c>
      <c r="AK414">
        <v>0</v>
      </c>
      <c r="AL414">
        <v>0</v>
      </c>
      <c r="AM414">
        <v>0</v>
      </c>
      <c r="AN414">
        <v>0</v>
      </c>
      <c r="AO414">
        <v>0</v>
      </c>
      <c r="AP414">
        <v>0.967</v>
      </c>
      <c r="AQ414">
        <v>0.207</v>
      </c>
      <c r="AR414">
        <v>0.3</v>
      </c>
      <c r="AS414" s="3">
        <v>46107.77005787037</v>
      </c>
    </row>
    <row r="415" ht="25.5" customHeight="1">
      <c r="A415" t="inlineStr">
        <is>
          <t>56f2733e84edcd1523c7afbf</t>
        </is>
      </c>
      <c r="B415" s="2" t="str">
        <f>=HYPERLINK("https://www.xiaohongshu.com/user/profile/56f2733e84edcd1523c7afbf", "https://www.xiaohongshu.com/user/profile/56f2733e84edcd1523c7afbf")</f>
        <v>https://www.xiaohongshu.com/user/profile/56f2733e84edcd1523c7afbf</v>
      </c>
      <c r="C415" s="2" t="str">
        <f>=HYPERLINK("https://pgy.xiaohongshu.com/solar/pre-trade/blogger-detail/56f2733e84edcd1523c7afbf", "https://pgy.xiaohongshu.com/solar/pre-trade/blogger-detail/56f2733e84edcd1523c7afbf")</f>
        <v>https://pgy.xiaohongshu.com/solar/pre-trade/blogger-detail/56f2733e84edcd1523c7afbf</v>
      </c>
      <c r="D415" t="inlineStr">
        <is>
          <t>男</t>
        </is>
      </c>
      <c r="E415" t="inlineStr">
        <is>
          <t>kinsei119</t>
        </is>
      </c>
      <c r="F415" t="inlineStr">
        <is>
          <t>kinsei的北海道生活</t>
        </is>
      </c>
      <c r="G415" t="inlineStr">
        <is>
          <t>日本</t>
        </is>
      </c>
      <c r="H415"/>
      <c r="I415" t="inlineStr">
        <is>
          <t>教育</t>
        </is>
      </c>
      <c r="J415">
        <v>17093</v>
      </c>
      <c r="K415" t="inlineStr">
        <is>
          <t>1.7</t>
        </is>
      </c>
      <c r="L415">
        <v>20296</v>
      </c>
      <c r="M415">
        <v>2164</v>
      </c>
      <c r="N415">
        <v>288</v>
      </c>
      <c r="O415">
        <v>1200</v>
      </c>
      <c r="P415">
        <v>0</v>
      </c>
      <c r="Q415">
        <v>0.6</v>
      </c>
      <c r="R415">
        <v>20296</v>
      </c>
      <c r="S415">
        <v>3672</v>
      </c>
      <c r="T415">
        <v>251</v>
      </c>
      <c r="U415">
        <v>0.63</v>
      </c>
      <c r="V415">
        <v>1200</v>
      </c>
      <c r="W415">
        <v>0</v>
      </c>
      <c r="X415">
        <v>0</v>
      </c>
      <c r="Y415">
        <v>59.12</v>
      </c>
      <c r="Z415">
        <v>4.26</v>
      </c>
      <c r="AA415">
        <v>16393</v>
      </c>
      <c r="AB415">
        <v>2045</v>
      </c>
      <c r="AC415">
        <v>252</v>
      </c>
      <c r="AD415">
        <v>2.58</v>
      </c>
      <c r="AE415">
        <v>2331</v>
      </c>
      <c r="AF415">
        <v>0.75</v>
      </c>
      <c r="AG415">
        <v>0</v>
      </c>
      <c r="AH415">
        <v>0.172</v>
      </c>
      <c r="AI415">
        <v>119.24</v>
      </c>
      <c r="AJ415">
        <v>7.54</v>
      </c>
      <c r="AK415">
        <v>23098</v>
      </c>
      <c r="AL415">
        <v>5019</v>
      </c>
      <c r="AM415">
        <v>328</v>
      </c>
      <c r="AN415">
        <v>0</v>
      </c>
      <c r="AO415">
        <v>0</v>
      </c>
      <c r="AP415">
        <v>0.965</v>
      </c>
      <c r="AQ415">
        <v>0.048</v>
      </c>
      <c r="AR415">
        <v>0.038</v>
      </c>
      <c r="AS415" s="3">
        <v>46107.77005787037</v>
      </c>
    </row>
    <row r="416" ht="25.5" customHeight="1">
      <c r="A416" t="inlineStr">
        <is>
          <t>5fc8b6a5000000000101db41</t>
        </is>
      </c>
      <c r="B416" s="2" t="str">
        <f>=HYPERLINK("https://www.xiaohongshu.com/user/profile/5fc8b6a5000000000101db41", "https://www.xiaohongshu.com/user/profile/5fc8b6a5000000000101db41")</f>
        <v>https://www.xiaohongshu.com/user/profile/5fc8b6a5000000000101db41</v>
      </c>
      <c r="C416" s="2" t="str">
        <f>=HYPERLINK("https://pgy.xiaohongshu.com/solar/pre-trade/blogger-detail/5fc8b6a5000000000101db41", "https://pgy.xiaohongshu.com/solar/pre-trade/blogger-detail/5fc8b6a5000000000101db41")</f>
        <v>https://pgy.xiaohongshu.com/solar/pre-trade/blogger-detail/5fc8b6a5000000000101db41</v>
      </c>
      <c r="D416" t="inlineStr">
        <is>
          <t>女</t>
        </is>
      </c>
      <c r="E416" t="inlineStr">
        <is>
          <t>1079516283</t>
        </is>
      </c>
      <c r="F416" t="inlineStr">
        <is>
          <t>米酒咕噜泡</t>
        </is>
      </c>
      <c r="G416" t="inlineStr">
        <is>
          <t>江苏 南京 建邺区</t>
        </is>
      </c>
      <c r="H416"/>
      <c r="I416" t="inlineStr">
        <is>
          <t>教育</t>
        </is>
      </c>
      <c r="J416">
        <v>3353</v>
      </c>
      <c r="K416" t="inlineStr">
        <is>
          <t>0.3</t>
        </is>
      </c>
      <c r="L416">
        <v>11983</v>
      </c>
      <c r="M416">
        <v>2039</v>
      </c>
      <c r="N416">
        <v>238</v>
      </c>
      <c r="O416">
        <v>270</v>
      </c>
      <c r="P416">
        <v>0</v>
      </c>
      <c r="Q416">
        <v>0.556</v>
      </c>
      <c r="R416">
        <v>11983</v>
      </c>
      <c r="S416">
        <v>2039</v>
      </c>
      <c r="T416">
        <v>182</v>
      </c>
      <c r="U416">
        <v>0.43</v>
      </c>
      <c r="V416">
        <v>270</v>
      </c>
      <c r="W416">
        <v>0.556</v>
      </c>
      <c r="X416">
        <v>0</v>
      </c>
      <c r="Y416">
        <v>23.03</v>
      </c>
      <c r="Z416">
        <v>1.46</v>
      </c>
      <c r="AA416">
        <v>0</v>
      </c>
      <c r="AB416">
        <v>0</v>
      </c>
      <c r="AC416">
        <v>0</v>
      </c>
      <c r="AD416">
        <v>0</v>
      </c>
      <c r="AE416">
        <v>492</v>
      </c>
      <c r="AF416">
        <v>0</v>
      </c>
      <c r="AG416">
        <v>0</v>
      </c>
      <c r="AH416">
        <v>0</v>
      </c>
      <c r="AI416">
        <v>0</v>
      </c>
      <c r="AJ416">
        <v>0</v>
      </c>
      <c r="AK416">
        <v>1627</v>
      </c>
      <c r="AL416">
        <v>120</v>
      </c>
      <c r="AM416">
        <v>16</v>
      </c>
      <c r="AN416">
        <v>0</v>
      </c>
      <c r="AO416">
        <v>36.98</v>
      </c>
      <c r="AP416">
        <v>0.947</v>
      </c>
      <c r="AQ416">
        <v>0.132</v>
      </c>
      <c r="AR416">
        <v>0.218</v>
      </c>
      <c r="AS416" s="3">
        <v>46107.77005787037</v>
      </c>
    </row>
    <row r="417" ht="25.5" customHeight="1">
      <c r="A417" t="inlineStr">
        <is>
          <t>6432627d000000000e01f1f6</t>
        </is>
      </c>
      <c r="B417" s="2" t="str">
        <f>=HYPERLINK("https://www.xiaohongshu.com/user/profile/6432627d000000000e01f1f6", "https://www.xiaohongshu.com/user/profile/6432627d000000000e01f1f6")</f>
        <v>https://www.xiaohongshu.com/user/profile/6432627d000000000e01f1f6</v>
      </c>
      <c r="C417" s="2" t="str">
        <f>=HYPERLINK("https://pgy.xiaohongshu.com/solar/pre-trade/blogger-detail/6432627d000000000e01f1f6", "https://pgy.xiaohongshu.com/solar/pre-trade/blogger-detail/6432627d000000000e01f1f6")</f>
        <v>https://pgy.xiaohongshu.com/solar/pre-trade/blogger-detail/6432627d000000000e01f1f6</v>
      </c>
      <c r="D417" t="inlineStr">
        <is>
          <t>女</t>
        </is>
      </c>
      <c r="E417" t="inlineStr">
        <is>
          <t>9605791671</t>
        </is>
      </c>
      <c r="F417" t="inlineStr">
        <is>
          <t>不爱背单词爱满分</t>
        </is>
      </c>
      <c r="G417" t="inlineStr">
        <is>
          <t>英国</t>
        </is>
      </c>
      <c r="H417"/>
      <c r="I417" t="inlineStr">
        <is>
          <t>教育</t>
        </is>
      </c>
      <c r="J417">
        <v>1803</v>
      </c>
      <c r="K417" t="inlineStr">
        <is>
          <t>0.2</t>
        </is>
      </c>
      <c r="L417">
        <v>11017</v>
      </c>
      <c r="M417">
        <v>2559</v>
      </c>
      <c r="N417">
        <v>393</v>
      </c>
      <c r="O417">
        <v>600</v>
      </c>
      <c r="P417">
        <v>0.222</v>
      </c>
      <c r="Q417">
        <v>0.667</v>
      </c>
      <c r="R417">
        <v>14204</v>
      </c>
      <c r="S417">
        <v>2969</v>
      </c>
      <c r="T417">
        <v>498</v>
      </c>
      <c r="U417">
        <v>0.5</v>
      </c>
      <c r="V417">
        <v>600</v>
      </c>
      <c r="W417">
        <v>0.667</v>
      </c>
      <c r="X417">
        <v>0</v>
      </c>
      <c r="Y417">
        <v>42.24</v>
      </c>
      <c r="Z417">
        <v>1.09</v>
      </c>
      <c r="AA417">
        <v>12245</v>
      </c>
      <c r="AB417">
        <v>3184</v>
      </c>
      <c r="AC417">
        <v>480</v>
      </c>
      <c r="AD417">
        <v>1.74</v>
      </c>
      <c r="AE417">
        <v>800</v>
      </c>
      <c r="AF417">
        <v>0.667</v>
      </c>
      <c r="AG417">
        <v>0.332999999999999</v>
      </c>
      <c r="AH417">
        <v>0.015</v>
      </c>
      <c r="AI417">
        <v>48.02</v>
      </c>
      <c r="AJ417">
        <v>0.98</v>
      </c>
      <c r="AK417">
        <v>25804</v>
      </c>
      <c r="AL417">
        <v>3267</v>
      </c>
      <c r="AM417">
        <v>1251</v>
      </c>
      <c r="AN417">
        <v>0</v>
      </c>
      <c r="AO417">
        <v>0</v>
      </c>
      <c r="AP417">
        <v>0.997</v>
      </c>
      <c r="AQ417">
        <v>0.613</v>
      </c>
      <c r="AR417">
        <v>0</v>
      </c>
      <c r="AS417" s="3">
        <v>46107.77005787037</v>
      </c>
    </row>
    <row r="418" ht="25.5" customHeight="1">
      <c r="A418" t="inlineStr">
        <is>
          <t>5b97728c679b2600019cff36</t>
        </is>
      </c>
      <c r="B418" s="2" t="str">
        <f>=HYPERLINK("https://www.xiaohongshu.com/user/profile/5b97728c679b2600019cff36", "https://www.xiaohongshu.com/user/profile/5b97728c679b2600019cff36")</f>
        <v>https://www.xiaohongshu.com/user/profile/5b97728c679b2600019cff36</v>
      </c>
      <c r="C418" s="2" t="str">
        <f>=HYPERLINK("https://pgy.xiaohongshu.com/solar/pre-trade/blogger-detail/5b97728c679b2600019cff36", "https://pgy.xiaohongshu.com/solar/pre-trade/blogger-detail/5b97728c679b2600019cff36")</f>
        <v>https://pgy.xiaohongshu.com/solar/pre-trade/blogger-detail/5b97728c679b2600019cff36</v>
      </c>
      <c r="D418" t="inlineStr">
        <is>
          <t>男</t>
        </is>
      </c>
      <c r="E418" t="inlineStr">
        <is>
          <t>380428675</t>
        </is>
      </c>
      <c r="F418" t="inlineStr">
        <is>
          <t>陈皮话梅冰美式-</t>
        </is>
      </c>
      <c r="G418" t="inlineStr">
        <is>
          <t>内蒙古 呼伦贝尔 海拉尔区</t>
        </is>
      </c>
      <c r="H418"/>
      <c r="I418" t="inlineStr">
        <is>
          <t>兴趣爱好, 教育</t>
        </is>
      </c>
      <c r="J418">
        <v>14389</v>
      </c>
      <c r="K418" t="inlineStr">
        <is>
          <t>1.4</t>
        </is>
      </c>
      <c r="L418">
        <v>13983</v>
      </c>
      <c r="M418">
        <v>3213</v>
      </c>
      <c r="N418">
        <v>303</v>
      </c>
      <c r="O418">
        <v>300</v>
      </c>
      <c r="P418">
        <v>0.022</v>
      </c>
      <c r="Q418">
        <v>0.935</v>
      </c>
      <c r="R418">
        <v>6083</v>
      </c>
      <c r="S418">
        <v>1371</v>
      </c>
      <c r="T418">
        <v>160</v>
      </c>
      <c r="U418">
        <v>0.52</v>
      </c>
      <c r="V418">
        <v>300</v>
      </c>
      <c r="W418">
        <v>1</v>
      </c>
      <c r="X418">
        <v>0</v>
      </c>
      <c r="Y418">
        <v>49.32</v>
      </c>
      <c r="Z418">
        <v>1.85</v>
      </c>
      <c r="AA418">
        <v>13987</v>
      </c>
      <c r="AB418">
        <v>3213</v>
      </c>
      <c r="AC418">
        <v>294</v>
      </c>
      <c r="AD418">
        <v>1.76</v>
      </c>
      <c r="AE418">
        <v>840</v>
      </c>
      <c r="AF418">
        <v>0.932999999999999</v>
      </c>
      <c r="AG418">
        <v>0.022</v>
      </c>
      <c r="AH418">
        <v>0.051</v>
      </c>
      <c r="AI418">
        <v>60.06</v>
      </c>
      <c r="AJ418">
        <v>2.61</v>
      </c>
      <c r="AK418">
        <v>14531</v>
      </c>
      <c r="AL418">
        <v>3433</v>
      </c>
      <c r="AM418">
        <v>333</v>
      </c>
      <c r="AN418">
        <v>0</v>
      </c>
      <c r="AO418">
        <v>0</v>
      </c>
      <c r="AP418">
        <v>0.945</v>
      </c>
      <c r="AQ418">
        <v>0.171</v>
      </c>
      <c r="AR418">
        <v>0.083</v>
      </c>
      <c r="AS418" s="3">
        <v>46107.77005787037</v>
      </c>
    </row>
    <row r="419" ht="25.5" customHeight="1">
      <c r="A419" t="inlineStr">
        <is>
          <t>5e748522000000000100b864</t>
        </is>
      </c>
      <c r="B419" s="2" t="str">
        <f>=HYPERLINK("https://www.xiaohongshu.com/user/profile/5e748522000000000100b864", "https://www.xiaohongshu.com/user/profile/5e748522000000000100b864")</f>
        <v>https://www.xiaohongshu.com/user/profile/5e748522000000000100b864</v>
      </c>
      <c r="C419" s="2" t="str">
        <f>=HYPERLINK("https://pgy.xiaohongshu.com/solar/pre-trade/blogger-detail/5e748522000000000100b864", "https://pgy.xiaohongshu.com/solar/pre-trade/blogger-detail/5e748522000000000100b864")</f>
        <v>https://pgy.xiaohongshu.com/solar/pre-trade/blogger-detail/5e748522000000000100b864</v>
      </c>
      <c r="D419" t="inlineStr">
        <is>
          <t>女</t>
        </is>
      </c>
      <c r="E419" t="inlineStr">
        <is>
          <t>909993827</t>
        </is>
      </c>
      <c r="F419" t="inlineStr">
        <is>
          <t>dundun 学姐</t>
        </is>
      </c>
      <c r="G419" t="inlineStr">
        <is>
          <t>浙江 杭州 西湖区</t>
        </is>
      </c>
      <c r="H419"/>
      <c r="I419" t="inlineStr">
        <is>
          <t>教育, 健康养生</t>
        </is>
      </c>
      <c r="J419">
        <v>4256</v>
      </c>
      <c r="K419" t="inlineStr">
        <is>
          <t>0.4</t>
        </is>
      </c>
      <c r="L419">
        <v>6208</v>
      </c>
      <c r="M419">
        <v>800</v>
      </c>
      <c r="N419">
        <v>118</v>
      </c>
      <c r="O419">
        <v>226</v>
      </c>
      <c r="P419">
        <v>0.071</v>
      </c>
      <c r="Q419">
        <v>0.214</v>
      </c>
      <c r="R419">
        <v>5888</v>
      </c>
      <c r="S419">
        <v>765</v>
      </c>
      <c r="T419">
        <v>101</v>
      </c>
      <c r="U419">
        <v>0.6</v>
      </c>
      <c r="V419">
        <v>226</v>
      </c>
      <c r="W419">
        <v>0.182</v>
      </c>
      <c r="X419">
        <v>0</v>
      </c>
      <c r="Y419">
        <v>44.41</v>
      </c>
      <c r="Z419">
        <v>2.03</v>
      </c>
      <c r="AA419">
        <v>6528</v>
      </c>
      <c r="AB419">
        <v>1024</v>
      </c>
      <c r="AC419">
        <v>94</v>
      </c>
      <c r="AD419">
        <v>1.88</v>
      </c>
      <c r="AE419">
        <v>390</v>
      </c>
      <c r="AF419">
        <v>0.332999999999999</v>
      </c>
      <c r="AG419">
        <v>0.332999999999999</v>
      </c>
      <c r="AH419">
        <v>0.048</v>
      </c>
      <c r="AI419">
        <v>59.74</v>
      </c>
      <c r="AJ419">
        <v>3.33</v>
      </c>
      <c r="AK419">
        <v>2932</v>
      </c>
      <c r="AL419">
        <v>120</v>
      </c>
      <c r="AM419">
        <v>21</v>
      </c>
      <c r="AN419">
        <v>0</v>
      </c>
      <c r="AO419">
        <v>0</v>
      </c>
      <c r="AP419">
        <v>0.917999999999999</v>
      </c>
      <c r="AQ419">
        <v>0.196999999999999</v>
      </c>
      <c r="AR419">
        <v>0.436</v>
      </c>
      <c r="AS419" s="3">
        <v>46107.77005787037</v>
      </c>
    </row>
    <row r="420" ht="25.5" customHeight="1">
      <c r="A420" t="inlineStr">
        <is>
          <t>5a8c1dbb11be1063c9a2bb14</t>
        </is>
      </c>
      <c r="B420" s="2" t="str">
        <f>=HYPERLINK("https://www.xiaohongshu.com/user/profile/5a8c1dbb11be1063c9a2bb14", "https://www.xiaohongshu.com/user/profile/5a8c1dbb11be1063c9a2bb14")</f>
        <v>https://www.xiaohongshu.com/user/profile/5a8c1dbb11be1063c9a2bb14</v>
      </c>
      <c r="C420" s="2" t="str">
        <f>=HYPERLINK("https://pgy.xiaohongshu.com/solar/pre-trade/blogger-detail/5a8c1dbb11be1063c9a2bb14", "https://pgy.xiaohongshu.com/solar/pre-trade/blogger-detail/5a8c1dbb11be1063c9a2bb14")</f>
        <v>https://pgy.xiaohongshu.com/solar/pre-trade/blogger-detail/5a8c1dbb11be1063c9a2bb14</v>
      </c>
      <c r="D420" t="inlineStr">
        <is>
          <t>女</t>
        </is>
      </c>
      <c r="E420" t="inlineStr">
        <is>
          <t>272531162</t>
        </is>
      </c>
      <c r="F420" t="inlineStr">
        <is>
          <t>小纯洁y</t>
        </is>
      </c>
      <c r="G420" t="inlineStr">
        <is>
          <t>美国</t>
        </is>
      </c>
      <c r="H420" t="inlineStr">
        <is>
          <t>学生, 留学背景</t>
        </is>
      </c>
      <c r="I420" t="inlineStr">
        <is>
          <t>美食, 教育, 生活记录</t>
        </is>
      </c>
      <c r="J420">
        <v>114222</v>
      </c>
      <c r="K420" t="inlineStr">
        <is>
          <t>11.4</t>
        </is>
      </c>
      <c r="L420">
        <v>125919</v>
      </c>
      <c r="M420">
        <v>25242</v>
      </c>
      <c r="N420">
        <v>2393</v>
      </c>
      <c r="O420">
        <v>13000</v>
      </c>
      <c r="P420">
        <v>1</v>
      </c>
      <c r="Q420">
        <v>1</v>
      </c>
      <c r="R420">
        <v>136265</v>
      </c>
      <c r="S420">
        <v>23209</v>
      </c>
      <c r="T420">
        <v>1876</v>
      </c>
      <c r="U420">
        <v>0.86</v>
      </c>
      <c r="V420">
        <v>13000</v>
      </c>
      <c r="W420">
        <v>1</v>
      </c>
      <c r="X420">
        <v>1</v>
      </c>
      <c r="Y420">
        <v>95.4</v>
      </c>
      <c r="Z420">
        <v>6.65</v>
      </c>
      <c r="AA420">
        <v>120304</v>
      </c>
      <c r="AB420">
        <v>27344</v>
      </c>
      <c r="AC420">
        <v>2382</v>
      </c>
      <c r="AD420">
        <v>2.05</v>
      </c>
      <c r="AE420">
        <v>13000</v>
      </c>
      <c r="AF420">
        <v>1</v>
      </c>
      <c r="AG420">
        <v>1</v>
      </c>
      <c r="AH420">
        <v>0.103</v>
      </c>
      <c r="AI420">
        <v>122.54</v>
      </c>
      <c r="AJ420">
        <v>5.63</v>
      </c>
      <c r="AK420">
        <v>97303</v>
      </c>
      <c r="AL420">
        <v>20119</v>
      </c>
      <c r="AM420">
        <v>2059</v>
      </c>
      <c r="AN420">
        <v>6</v>
      </c>
      <c r="AO420">
        <v>2007.21</v>
      </c>
      <c r="AP420">
        <v>0.807</v>
      </c>
      <c r="AQ420">
        <v>0.06</v>
      </c>
      <c r="AR420">
        <v>0.005</v>
      </c>
      <c r="AS420" s="3">
        <v>46107.77005787037</v>
      </c>
    </row>
    <row r="421" ht="25.5" customHeight="1">
      <c r="A421" t="inlineStr">
        <is>
          <t>5e5dc0d00000000001008f57</t>
        </is>
      </c>
      <c r="B421" s="2" t="str">
        <f>=HYPERLINK("https://www.xiaohongshu.com/user/profile/5e5dc0d00000000001008f57", "https://www.xiaohongshu.com/user/profile/5e5dc0d00000000001008f57")</f>
        <v>https://www.xiaohongshu.com/user/profile/5e5dc0d00000000001008f57</v>
      </c>
      <c r="C421" s="2" t="str">
        <f>=HYPERLINK("https://pgy.xiaohongshu.com/solar/pre-trade/blogger-detail/5e5dc0d00000000001008f57", "https://pgy.xiaohongshu.com/solar/pre-trade/blogger-detail/5e5dc0d00000000001008f57")</f>
        <v>https://pgy.xiaohongshu.com/solar/pre-trade/blogger-detail/5e5dc0d00000000001008f57</v>
      </c>
      <c r="D421" t="inlineStr">
        <is>
          <t>女</t>
        </is>
      </c>
      <c r="E421" t="inlineStr">
        <is>
          <t>mua0427lzm</t>
        </is>
      </c>
      <c r="F421" t="inlineStr">
        <is>
          <t>冷血医学生</t>
        </is>
      </c>
      <c r="G421" t="inlineStr">
        <is>
          <t>黑龙江 哈尔滨 香坊区</t>
        </is>
      </c>
      <c r="H421" t="inlineStr">
        <is>
          <t>学生</t>
        </is>
      </c>
      <c r="I421" t="inlineStr">
        <is>
          <t>出行旅游, 教育</t>
        </is>
      </c>
      <c r="J421">
        <v>13795</v>
      </c>
      <c r="K421" t="inlineStr">
        <is>
          <t>1.4</t>
        </is>
      </c>
      <c r="L421">
        <v>9366</v>
      </c>
      <c r="M421">
        <v>2366</v>
      </c>
      <c r="N421">
        <v>174</v>
      </c>
      <c r="O421">
        <v>800</v>
      </c>
      <c r="P421">
        <v>0</v>
      </c>
      <c r="Q421">
        <v>0.332999999999999</v>
      </c>
      <c r="R421">
        <v>9366</v>
      </c>
      <c r="S421">
        <v>2366</v>
      </c>
      <c r="T421">
        <v>152</v>
      </c>
      <c r="U421">
        <v>0.64</v>
      </c>
      <c r="V421">
        <v>800</v>
      </c>
      <c r="W421">
        <v>0.332999999999999</v>
      </c>
      <c r="X421">
        <v>0</v>
      </c>
      <c r="Y421">
        <v>85.42</v>
      </c>
      <c r="Z421">
        <v>4.6</v>
      </c>
      <c r="AA421">
        <v>0</v>
      </c>
      <c r="AB421">
        <v>0</v>
      </c>
      <c r="AC421">
        <v>0</v>
      </c>
      <c r="AD421">
        <v>0</v>
      </c>
      <c r="AE421">
        <v>0</v>
      </c>
      <c r="AF421">
        <v>0</v>
      </c>
      <c r="AG421">
        <v>0</v>
      </c>
      <c r="AH421">
        <v>0</v>
      </c>
      <c r="AI421">
        <v>0</v>
      </c>
      <c r="AJ421">
        <v>0</v>
      </c>
      <c r="AK421">
        <v>0</v>
      </c>
      <c r="AL421">
        <v>0</v>
      </c>
      <c r="AM421">
        <v>0</v>
      </c>
      <c r="AN421">
        <v>0</v>
      </c>
      <c r="AO421">
        <v>0</v>
      </c>
      <c r="AP421">
        <v>0.797999999999999</v>
      </c>
      <c r="AQ421">
        <v>0.025</v>
      </c>
      <c r="AR421">
        <v>-0.004</v>
      </c>
      <c r="AS421" s="3">
        <v>46107.77005787037</v>
      </c>
    </row>
    <row r="422" ht="25.5" customHeight="1">
      <c r="A422" t="inlineStr">
        <is>
          <t>5d84993d0000000001000ac7</t>
        </is>
      </c>
      <c r="B422" s="2" t="str">
        <f>=HYPERLINK("https://www.xiaohongshu.com/user/profile/5d84993d0000000001000ac7", "https://www.xiaohongshu.com/user/profile/5d84993d0000000001000ac7")</f>
        <v>https://www.xiaohongshu.com/user/profile/5d84993d0000000001000ac7</v>
      </c>
      <c r="C422" s="2" t="str">
        <f>=HYPERLINK("https://pgy.xiaohongshu.com/solar/pre-trade/blogger-detail/5d84993d0000000001000ac7", "https://pgy.xiaohongshu.com/solar/pre-trade/blogger-detail/5d84993d0000000001000ac7")</f>
        <v>https://pgy.xiaohongshu.com/solar/pre-trade/blogger-detail/5d84993d0000000001000ac7</v>
      </c>
      <c r="D422" t="inlineStr">
        <is>
          <t>男</t>
        </is>
      </c>
      <c r="E422" t="inlineStr">
        <is>
          <t>877851927</t>
        </is>
      </c>
      <c r="F422" t="inlineStr">
        <is>
          <t>程序员学外贸</t>
        </is>
      </c>
      <c r="G422" t="inlineStr">
        <is>
          <t>北京</t>
        </is>
      </c>
      <c r="H422" t="inlineStr">
        <is>
          <t>程序员</t>
        </is>
      </c>
      <c r="I422" t="inlineStr">
        <is>
          <t>教育</t>
        </is>
      </c>
      <c r="J422">
        <v>17153</v>
      </c>
      <c r="K422" t="inlineStr">
        <is>
          <t>1.7</t>
        </is>
      </c>
      <c r="L422">
        <v>6436</v>
      </c>
      <c r="M422">
        <v>2083</v>
      </c>
      <c r="N422">
        <v>178</v>
      </c>
      <c r="O422">
        <v>119</v>
      </c>
      <c r="P422">
        <v>0.143</v>
      </c>
      <c r="Q422">
        <v>0.429</v>
      </c>
      <c r="R422">
        <v>0</v>
      </c>
      <c r="S422">
        <v>0</v>
      </c>
      <c r="T422">
        <v>0</v>
      </c>
      <c r="U422">
        <v>0</v>
      </c>
      <c r="V422">
        <v>119</v>
      </c>
      <c r="W422">
        <v>0</v>
      </c>
      <c r="X422">
        <v>0</v>
      </c>
      <c r="Y422">
        <v>0</v>
      </c>
      <c r="Z422">
        <v>0</v>
      </c>
      <c r="AA422">
        <v>6436</v>
      </c>
      <c r="AB422">
        <v>2083</v>
      </c>
      <c r="AC422">
        <v>128</v>
      </c>
      <c r="AD422">
        <v>2.46</v>
      </c>
      <c r="AE422">
        <v>1999</v>
      </c>
      <c r="AF422">
        <v>0.429</v>
      </c>
      <c r="AG422">
        <v>0.143</v>
      </c>
      <c r="AH422">
        <v>0.193</v>
      </c>
      <c r="AI422">
        <v>310.57</v>
      </c>
      <c r="AJ422">
        <v>11.2</v>
      </c>
      <c r="AK422">
        <v>0</v>
      </c>
      <c r="AL422">
        <v>0</v>
      </c>
      <c r="AM422">
        <v>0</v>
      </c>
      <c r="AN422">
        <v>0</v>
      </c>
      <c r="AO422">
        <v>0</v>
      </c>
      <c r="AP422">
        <v>0.999</v>
      </c>
      <c r="AQ422">
        <v>0.327</v>
      </c>
      <c r="AR422">
        <v>0</v>
      </c>
      <c r="AS422" s="3">
        <v>46107.770219907405</v>
      </c>
    </row>
    <row r="423" ht="25.5" customHeight="1">
      <c r="A423" t="inlineStr">
        <is>
          <t>61c2c4930000000010004ebd</t>
        </is>
      </c>
      <c r="B423" s="2" t="str">
        <f>=HYPERLINK("https://www.xiaohongshu.com/user/profile/61c2c4930000000010004ebd", "https://www.xiaohongshu.com/user/profile/61c2c4930000000010004ebd")</f>
        <v>https://www.xiaohongshu.com/user/profile/61c2c4930000000010004ebd</v>
      </c>
      <c r="C423" s="2" t="str">
        <f>=HYPERLINK("https://pgy.xiaohongshu.com/solar/pre-trade/blogger-detail/61c2c4930000000010004ebd", "https://pgy.xiaohongshu.com/solar/pre-trade/blogger-detail/61c2c4930000000010004ebd")</f>
        <v>https://pgy.xiaohongshu.com/solar/pre-trade/blogger-detail/61c2c4930000000010004ebd</v>
      </c>
      <c r="D423" t="inlineStr">
        <is>
          <t>女</t>
        </is>
      </c>
      <c r="E423" t="inlineStr">
        <is>
          <t>1633037306</t>
        </is>
      </c>
      <c r="F423" t="inlineStr">
        <is>
          <t>Lunaaa541</t>
        </is>
      </c>
      <c r="G423" t="inlineStr">
        <is>
          <t>浙江 杭州 萧山区</t>
        </is>
      </c>
      <c r="H423"/>
      <c r="I423" t="inlineStr">
        <is>
          <t>教育</t>
        </is>
      </c>
      <c r="J423">
        <v>126344</v>
      </c>
      <c r="K423" t="inlineStr">
        <is>
          <t>12.6</t>
        </is>
      </c>
      <c r="L423">
        <v>15548</v>
      </c>
      <c r="M423">
        <v>4379</v>
      </c>
      <c r="N423">
        <v>362</v>
      </c>
      <c r="O423">
        <v>8000</v>
      </c>
      <c r="P423">
        <v>0</v>
      </c>
      <c r="Q423">
        <v>0.75</v>
      </c>
      <c r="R423">
        <v>0</v>
      </c>
      <c r="S423">
        <v>0</v>
      </c>
      <c r="T423">
        <v>0</v>
      </c>
      <c r="U423">
        <v>0</v>
      </c>
      <c r="V423">
        <v>8000</v>
      </c>
      <c r="W423">
        <v>0</v>
      </c>
      <c r="X423">
        <v>0</v>
      </c>
      <c r="Y423">
        <v>0</v>
      </c>
      <c r="Z423">
        <v>0</v>
      </c>
      <c r="AA423">
        <v>15548</v>
      </c>
      <c r="AB423">
        <v>4379</v>
      </c>
      <c r="AC423">
        <v>297</v>
      </c>
      <c r="AD423">
        <v>2.92</v>
      </c>
      <c r="AE423">
        <v>12000</v>
      </c>
      <c r="AF423">
        <v>0.75</v>
      </c>
      <c r="AG423">
        <v>0</v>
      </c>
      <c r="AH423">
        <v>0.071</v>
      </c>
      <c r="AI423">
        <v>230.65</v>
      </c>
      <c r="AJ423">
        <v>12.89</v>
      </c>
      <c r="AK423">
        <v>81770</v>
      </c>
      <c r="AL423">
        <v>9249</v>
      </c>
      <c r="AM423">
        <v>1821</v>
      </c>
      <c r="AN423">
        <v>0</v>
      </c>
      <c r="AO423">
        <v>0</v>
      </c>
      <c r="AP423">
        <v>0.87</v>
      </c>
      <c r="AQ423">
        <v>0.019</v>
      </c>
      <c r="AR423">
        <v>0.012</v>
      </c>
      <c r="AS423" s="3">
        <v>46107.770219907405</v>
      </c>
    </row>
    <row r="424" ht="25.5" customHeight="1">
      <c r="A424" t="inlineStr">
        <is>
          <t>60880f72000000000101f3fa</t>
        </is>
      </c>
      <c r="B424" s="2" t="str">
        <f>=HYPERLINK("https://www.xiaohongshu.com/user/profile/60880f72000000000101f3fa", "https://www.xiaohongshu.com/user/profile/60880f72000000000101f3fa")</f>
        <v>https://www.xiaohongshu.com/user/profile/60880f72000000000101f3fa</v>
      </c>
      <c r="C424" s="2" t="str">
        <f>=HYPERLINK("https://pgy.xiaohongshu.com/solar/pre-trade/blogger-detail/60880f72000000000101f3fa", "https://pgy.xiaohongshu.com/solar/pre-trade/blogger-detail/60880f72000000000101f3fa")</f>
        <v>https://pgy.xiaohongshu.com/solar/pre-trade/blogger-detail/60880f72000000000101f3fa</v>
      </c>
      <c r="D424" t="inlineStr">
        <is>
          <t>男</t>
        </is>
      </c>
      <c r="E424" t="inlineStr">
        <is>
          <t>4212964357</t>
        </is>
      </c>
      <c r="F424" t="inlineStr">
        <is>
          <t>我是麻同学</t>
        </is>
      </c>
      <c r="G424" t="inlineStr">
        <is>
          <t>云南 大理白族自治州 大理市</t>
        </is>
      </c>
      <c r="H424" t="inlineStr">
        <is>
          <t>留学背景, 学生, 运营</t>
        </is>
      </c>
      <c r="I424" t="inlineStr">
        <is>
          <t>职场, 教育</t>
        </is>
      </c>
      <c r="J424">
        <v>75286</v>
      </c>
      <c r="K424" t="inlineStr">
        <is>
          <t>7.5</t>
        </is>
      </c>
      <c r="L424">
        <v>108679</v>
      </c>
      <c r="M424">
        <v>16031</v>
      </c>
      <c r="N424">
        <v>3199</v>
      </c>
      <c r="O424">
        <v>6800</v>
      </c>
      <c r="P424">
        <v>0.667</v>
      </c>
      <c r="Q424">
        <v>1</v>
      </c>
      <c r="R424">
        <v>14316</v>
      </c>
      <c r="S424">
        <v>1213</v>
      </c>
      <c r="T424">
        <v>279</v>
      </c>
      <c r="U424">
        <v>5.91</v>
      </c>
      <c r="V424">
        <v>6800</v>
      </c>
      <c r="W424">
        <v>1</v>
      </c>
      <c r="X424">
        <v>0</v>
      </c>
      <c r="Y424">
        <v>474.99</v>
      </c>
      <c r="Z424">
        <v>22.52</v>
      </c>
      <c r="AA424">
        <v>130104</v>
      </c>
      <c r="AB424">
        <v>22667</v>
      </c>
      <c r="AC424">
        <v>3161</v>
      </c>
      <c r="AD424">
        <v>1.91</v>
      </c>
      <c r="AE424">
        <v>9600</v>
      </c>
      <c r="AF424">
        <v>1</v>
      </c>
      <c r="AG424">
        <v>1</v>
      </c>
      <c r="AH424">
        <v>0.172</v>
      </c>
      <c r="AI424">
        <v>88.33</v>
      </c>
      <c r="AJ424">
        <v>2.74</v>
      </c>
      <c r="AK424">
        <v>232668</v>
      </c>
      <c r="AL424">
        <v>23208</v>
      </c>
      <c r="AM424">
        <v>5351</v>
      </c>
      <c r="AN424">
        <v>0</v>
      </c>
      <c r="AO424">
        <v>0</v>
      </c>
      <c r="AP424">
        <v>0.839</v>
      </c>
      <c r="AQ424">
        <v>0.0409999999999999</v>
      </c>
      <c r="AR424">
        <v>0.005</v>
      </c>
      <c r="AS424" s="3">
        <v>46107.770219907405</v>
      </c>
    </row>
    <row r="425" ht="25.5" customHeight="1">
      <c r="A425" t="inlineStr">
        <is>
          <t>636ce40c000000001f01ffca</t>
        </is>
      </c>
      <c r="B425" s="2" t="str">
        <f>=HYPERLINK("https://www.xiaohongshu.com/user/profile/636ce40c000000001f01ffca", "https://www.xiaohongshu.com/user/profile/636ce40c000000001f01ffca")</f>
        <v>https://www.xiaohongshu.com/user/profile/636ce40c000000001f01ffca</v>
      </c>
      <c r="C425" s="2" t="str">
        <f>=HYPERLINK("https://pgy.xiaohongshu.com/solar/pre-trade/blogger-detail/636ce40c000000001f01ffca", "https://pgy.xiaohongshu.com/solar/pre-trade/blogger-detail/636ce40c000000001f01ffca")</f>
        <v>https://pgy.xiaohongshu.com/solar/pre-trade/blogger-detail/636ce40c000000001f01ffca</v>
      </c>
      <c r="D425" t="inlineStr">
        <is>
          <t>女</t>
        </is>
      </c>
      <c r="E425" t="inlineStr">
        <is>
          <t>6788126391</t>
        </is>
      </c>
      <c r="F425" t="inlineStr">
        <is>
          <t>学术小蜜蜂🐝</t>
        </is>
      </c>
      <c r="G425" t="inlineStr">
        <is>
          <t>广西 南宁 青秀区</t>
        </is>
      </c>
      <c r="H425" t="inlineStr">
        <is>
          <t>学生</t>
        </is>
      </c>
      <c r="I425" t="inlineStr">
        <is>
          <t>教育</t>
        </is>
      </c>
      <c r="J425">
        <v>22261</v>
      </c>
      <c r="K425" t="inlineStr">
        <is>
          <t>2.2</t>
        </is>
      </c>
      <c r="L425">
        <v>14833</v>
      </c>
      <c r="M425">
        <v>2519</v>
      </c>
      <c r="N425">
        <v>224</v>
      </c>
      <c r="O425">
        <v>869</v>
      </c>
      <c r="P425">
        <v>0</v>
      </c>
      <c r="Q425">
        <v>0.571</v>
      </c>
      <c r="R425">
        <v>15088</v>
      </c>
      <c r="S425">
        <v>2797</v>
      </c>
      <c r="T425">
        <v>160</v>
      </c>
      <c r="U425">
        <v>0.64</v>
      </c>
      <c r="V425">
        <v>869</v>
      </c>
      <c r="W425">
        <v>0.667</v>
      </c>
      <c r="X425">
        <v>0</v>
      </c>
      <c r="Y425">
        <v>67.19</v>
      </c>
      <c r="Z425">
        <v>3.88</v>
      </c>
      <c r="AA425">
        <v>14833</v>
      </c>
      <c r="AB425">
        <v>2238</v>
      </c>
      <c r="AC425">
        <v>104</v>
      </c>
      <c r="AD425">
        <v>2.21</v>
      </c>
      <c r="AE425">
        <v>1600</v>
      </c>
      <c r="AF425">
        <v>0</v>
      </c>
      <c r="AG425">
        <v>0</v>
      </c>
      <c r="AH425">
        <v>0.065</v>
      </c>
      <c r="AI425">
        <v>107.87</v>
      </c>
      <c r="AJ425">
        <v>13.45</v>
      </c>
      <c r="AK425">
        <v>14</v>
      </c>
      <c r="AL425">
        <v>11</v>
      </c>
      <c r="AM425">
        <v>1</v>
      </c>
      <c r="AN425">
        <v>0</v>
      </c>
      <c r="AO425">
        <v>0</v>
      </c>
      <c r="AP425">
        <v>0.953</v>
      </c>
      <c r="AQ425">
        <v>0.034</v>
      </c>
      <c r="AR425">
        <v>0.018</v>
      </c>
      <c r="AS425" s="3">
        <v>46107.770219907405</v>
      </c>
    </row>
    <row r="426" ht="25.5" customHeight="1">
      <c r="A426" t="inlineStr">
        <is>
          <t>66af3a05000000001d03208e</t>
        </is>
      </c>
      <c r="B426" s="2" t="str">
        <f>=HYPERLINK("https://www.xiaohongshu.com/user/profile/66af3a05000000001d03208e", "https://www.xiaohongshu.com/user/profile/66af3a05000000001d03208e")</f>
        <v>https://www.xiaohongshu.com/user/profile/66af3a05000000001d03208e</v>
      </c>
      <c r="C426" s="2" t="str">
        <f>=HYPERLINK("https://pgy.xiaohongshu.com/solar/pre-trade/blogger-detail/66af3a05000000001d03208e", "https://pgy.xiaohongshu.com/solar/pre-trade/blogger-detail/66af3a05000000001d03208e")</f>
        <v>https://pgy.xiaohongshu.com/solar/pre-trade/blogger-detail/66af3a05000000001d03208e</v>
      </c>
      <c r="D426" t="inlineStr">
        <is>
          <t>女</t>
        </is>
      </c>
      <c r="E426" t="inlineStr">
        <is>
          <t>42949125868</t>
        </is>
      </c>
      <c r="F426" t="inlineStr">
        <is>
          <t>小羊吹跑啦</t>
        </is>
      </c>
      <c r="G426" t="inlineStr">
        <is>
          <t>四川 成都 龙泉驿区</t>
        </is>
      </c>
      <c r="H426" t="inlineStr">
        <is>
          <t>考研过来人, 学生</t>
        </is>
      </c>
      <c r="I426" t="inlineStr">
        <is>
          <t>教育</t>
        </is>
      </c>
      <c r="J426">
        <v>3050</v>
      </c>
      <c r="K426" t="inlineStr">
        <is>
          <t>0.3</t>
        </is>
      </c>
      <c r="L426">
        <v>24946</v>
      </c>
      <c r="M426">
        <v>3265</v>
      </c>
      <c r="N426">
        <v>223</v>
      </c>
      <c r="O426">
        <v>180</v>
      </c>
      <c r="P426">
        <v>0</v>
      </c>
      <c r="Q426">
        <v>0.75</v>
      </c>
      <c r="R426">
        <v>0</v>
      </c>
      <c r="S426">
        <v>0</v>
      </c>
      <c r="T426">
        <v>0</v>
      </c>
      <c r="U426">
        <v>0.45</v>
      </c>
      <c r="V426">
        <v>180</v>
      </c>
      <c r="W426">
        <v>0</v>
      </c>
      <c r="X426">
        <v>0</v>
      </c>
      <c r="Y426">
        <v>25.66</v>
      </c>
      <c r="Z426">
        <v>0.69</v>
      </c>
      <c r="AA426">
        <v>24946</v>
      </c>
      <c r="AB426">
        <v>3265</v>
      </c>
      <c r="AC426">
        <v>167</v>
      </c>
      <c r="AD426">
        <v>1.63</v>
      </c>
      <c r="AE426">
        <v>180</v>
      </c>
      <c r="AF426">
        <v>0.75</v>
      </c>
      <c r="AG426">
        <v>0</v>
      </c>
      <c r="AH426">
        <v>0.03</v>
      </c>
      <c r="AI426">
        <v>17.13</v>
      </c>
      <c r="AJ426">
        <v>0.97</v>
      </c>
      <c r="AK426">
        <v>7871</v>
      </c>
      <c r="AL426">
        <v>1225</v>
      </c>
      <c r="AM426">
        <v>183</v>
      </c>
      <c r="AN426">
        <v>0</v>
      </c>
      <c r="AO426">
        <v>4.74</v>
      </c>
      <c r="AP426">
        <v>0.939</v>
      </c>
      <c r="AQ426">
        <v>0.116999999999999</v>
      </c>
      <c r="AR426">
        <v>0.136</v>
      </c>
      <c r="AS426" s="3">
        <v>46107.770219907405</v>
      </c>
    </row>
    <row r="427" ht="25.5" customHeight="1">
      <c r="A427" t="inlineStr">
        <is>
          <t>5b18be2f4eacab0a6d24d89d</t>
        </is>
      </c>
      <c r="B427" s="2" t="str">
        <f>=HYPERLINK("https://www.xiaohongshu.com/user/profile/5b18be2f4eacab0a6d24d89d", "https://www.xiaohongshu.com/user/profile/5b18be2f4eacab0a6d24d89d")</f>
        <v>https://www.xiaohongshu.com/user/profile/5b18be2f4eacab0a6d24d89d</v>
      </c>
      <c r="C427" s="2" t="str">
        <f>=HYPERLINK("https://pgy.xiaohongshu.com/solar/pre-trade/blogger-detail/5b18be2f4eacab0a6d24d89d", "https://pgy.xiaohongshu.com/solar/pre-trade/blogger-detail/5b18be2f4eacab0a6d24d89d")</f>
        <v>https://pgy.xiaohongshu.com/solar/pre-trade/blogger-detail/5b18be2f4eacab0a6d24d89d</v>
      </c>
      <c r="D427" t="inlineStr">
        <is>
          <t>女</t>
        </is>
      </c>
      <c r="E427" t="inlineStr">
        <is>
          <t>946270546</t>
        </is>
      </c>
      <c r="F427" t="inlineStr">
        <is>
          <t>施吾</t>
        </is>
      </c>
      <c r="G427" t="inlineStr">
        <is>
          <t>澳大利亚</t>
        </is>
      </c>
      <c r="H427" t="inlineStr">
        <is>
          <t>学生, 留学背景, 海外华人</t>
        </is>
      </c>
      <c r="I427" t="inlineStr">
        <is>
          <t>教育</t>
        </is>
      </c>
      <c r="J427">
        <v>5315</v>
      </c>
      <c r="K427" t="inlineStr">
        <is>
          <t>0.5</t>
        </is>
      </c>
      <c r="L427">
        <v>12585</v>
      </c>
      <c r="M427">
        <v>2309</v>
      </c>
      <c r="N427">
        <v>195</v>
      </c>
      <c r="O427">
        <v>400</v>
      </c>
      <c r="P427">
        <v>0.25</v>
      </c>
      <c r="Q427">
        <v>0.5</v>
      </c>
      <c r="R427">
        <v>9738</v>
      </c>
      <c r="S427">
        <v>1625</v>
      </c>
      <c r="T427">
        <v>86</v>
      </c>
      <c r="U427">
        <v>0.51</v>
      </c>
      <c r="V427">
        <v>400</v>
      </c>
      <c r="W427">
        <v>0</v>
      </c>
      <c r="X427">
        <v>0</v>
      </c>
      <c r="Y427">
        <v>35.06</v>
      </c>
      <c r="Z427">
        <v>3.85</v>
      </c>
      <c r="AA427">
        <v>768306</v>
      </c>
      <c r="AB427">
        <v>313764</v>
      </c>
      <c r="AC427">
        <v>49081</v>
      </c>
      <c r="AD427">
        <v>1.5</v>
      </c>
      <c r="AE427">
        <v>420</v>
      </c>
      <c r="AF427">
        <v>1</v>
      </c>
      <c r="AG427">
        <v>0.5</v>
      </c>
      <c r="AH427">
        <v>0.00699999999999999</v>
      </c>
      <c r="AI427">
        <v>0.55</v>
      </c>
      <c r="AJ427">
        <v>0.01</v>
      </c>
      <c r="AK427">
        <v>12921</v>
      </c>
      <c r="AL427">
        <v>2049</v>
      </c>
      <c r="AM427">
        <v>138</v>
      </c>
      <c r="AN427">
        <v>0</v>
      </c>
      <c r="AO427">
        <v>0</v>
      </c>
      <c r="AP427">
        <v>0.866</v>
      </c>
      <c r="AQ427">
        <v>0.192</v>
      </c>
      <c r="AR427">
        <v>0.259</v>
      </c>
      <c r="AS427" s="3">
        <v>46107.770219907405</v>
      </c>
    </row>
    <row r="428" ht="25.5" customHeight="1">
      <c r="A428" t="inlineStr">
        <is>
          <t>64bae77d0000000025035839</t>
        </is>
      </c>
      <c r="B428" s="2" t="str">
        <f>=HYPERLINK("https://www.xiaohongshu.com/user/profile/64bae77d0000000025035839", "https://www.xiaohongshu.com/user/profile/64bae77d0000000025035839")</f>
        <v>https://www.xiaohongshu.com/user/profile/64bae77d0000000025035839</v>
      </c>
      <c r="C428" s="2" t="str">
        <f>=HYPERLINK("https://pgy.xiaohongshu.com/solar/pre-trade/blogger-detail/64bae77d0000000025035839", "https://pgy.xiaohongshu.com/solar/pre-trade/blogger-detail/64bae77d0000000025035839")</f>
        <v>https://pgy.xiaohongshu.com/solar/pre-trade/blogger-detail/64bae77d0000000025035839</v>
      </c>
      <c r="D428" t="inlineStr">
        <is>
          <t>女</t>
        </is>
      </c>
      <c r="E428" t="inlineStr">
        <is>
          <t>6871300424</t>
        </is>
      </c>
      <c r="F428" t="inlineStr">
        <is>
          <t>Mira Sofía ~</t>
        </is>
      </c>
      <c r="G428" t="inlineStr">
        <is>
          <t>西班牙</t>
        </is>
      </c>
      <c r="H428" t="inlineStr">
        <is>
          <t>海外华人, 学生</t>
        </is>
      </c>
      <c r="I428" t="inlineStr">
        <is>
          <t>出行旅游, 教育</t>
        </is>
      </c>
      <c r="J428">
        <v>8451</v>
      </c>
      <c r="K428" t="inlineStr">
        <is>
          <t>0.8</t>
        </is>
      </c>
      <c r="L428">
        <v>5303</v>
      </c>
      <c r="M428">
        <v>993</v>
      </c>
      <c r="N428">
        <v>136</v>
      </c>
      <c r="O428">
        <v>1400</v>
      </c>
      <c r="P428">
        <v>0</v>
      </c>
      <c r="Q428">
        <v>0.286</v>
      </c>
      <c r="R428">
        <v>20668</v>
      </c>
      <c r="S428">
        <v>3700</v>
      </c>
      <c r="T428">
        <v>542</v>
      </c>
      <c r="U428">
        <v>0.86</v>
      </c>
      <c r="V428">
        <v>1400</v>
      </c>
      <c r="W428">
        <v>1</v>
      </c>
      <c r="X428">
        <v>0</v>
      </c>
      <c r="Y428">
        <v>85.55</v>
      </c>
      <c r="Z428">
        <v>3.32</v>
      </c>
      <c r="AA428">
        <v>5186</v>
      </c>
      <c r="AB428">
        <v>915</v>
      </c>
      <c r="AC428">
        <v>108</v>
      </c>
      <c r="AD428">
        <v>3.14</v>
      </c>
      <c r="AE428">
        <v>1500</v>
      </c>
      <c r="AF428">
        <v>0.166999999999999</v>
      </c>
      <c r="AG428">
        <v>0</v>
      </c>
      <c r="AH428">
        <v>0.045</v>
      </c>
      <c r="AI428">
        <v>289.21</v>
      </c>
      <c r="AJ428">
        <v>11.49</v>
      </c>
      <c r="AK428">
        <v>12063</v>
      </c>
      <c r="AL428">
        <v>1344</v>
      </c>
      <c r="AM428">
        <v>256</v>
      </c>
      <c r="AN428">
        <v>0</v>
      </c>
      <c r="AO428">
        <v>0</v>
      </c>
      <c r="AP428">
        <v>0.770999999999999</v>
      </c>
      <c r="AQ428">
        <v>0.049</v>
      </c>
      <c r="AR428">
        <v>0.086</v>
      </c>
      <c r="AS428" s="3">
        <v>46107.770219907405</v>
      </c>
    </row>
    <row r="429" ht="25.5" customHeight="1">
      <c r="A429" t="inlineStr">
        <is>
          <t>602c8ab5000000000101d028</t>
        </is>
      </c>
      <c r="B429" s="2" t="str">
        <f>=HYPERLINK("https://www.xiaohongshu.com/user/profile/602c8ab5000000000101d028", "https://www.xiaohongshu.com/user/profile/602c8ab5000000000101d028")</f>
        <v>https://www.xiaohongshu.com/user/profile/602c8ab5000000000101d028</v>
      </c>
      <c r="C429" s="2" t="str">
        <f>=HYPERLINK("https://pgy.xiaohongshu.com/solar/pre-trade/blogger-detail/602c8ab5000000000101d028", "https://pgy.xiaohongshu.com/solar/pre-trade/blogger-detail/602c8ab5000000000101d028")</f>
        <v>https://pgy.xiaohongshu.com/solar/pre-trade/blogger-detail/602c8ab5000000000101d028</v>
      </c>
      <c r="D429" t="inlineStr">
        <is>
          <t>女</t>
        </is>
      </c>
      <c r="E429" t="inlineStr">
        <is>
          <t>xixi08060401</t>
        </is>
      </c>
      <c r="F429" t="inlineStr">
        <is>
          <t>小夕吖</t>
        </is>
      </c>
      <c r="G429" t="inlineStr">
        <is>
          <t>重庆</t>
        </is>
      </c>
      <c r="H429" t="inlineStr">
        <is>
          <t>考研过来人, 法考过来人</t>
        </is>
      </c>
      <c r="I429" t="inlineStr">
        <is>
          <t>教育</t>
        </is>
      </c>
      <c r="J429">
        <v>8163</v>
      </c>
      <c r="K429" t="inlineStr">
        <is>
          <t>0.8</t>
        </is>
      </c>
      <c r="L429">
        <v>6730</v>
      </c>
      <c r="M429">
        <v>1003</v>
      </c>
      <c r="N429">
        <v>145</v>
      </c>
      <c r="O429">
        <v>700</v>
      </c>
      <c r="P429">
        <v>0</v>
      </c>
      <c r="Q429">
        <v>0.332999999999999</v>
      </c>
      <c r="R429">
        <v>6730</v>
      </c>
      <c r="S429">
        <v>1003</v>
      </c>
      <c r="T429">
        <v>129</v>
      </c>
      <c r="U429">
        <v>4.65</v>
      </c>
      <c r="V429">
        <v>700</v>
      </c>
      <c r="W429">
        <v>0.332999999999999</v>
      </c>
      <c r="X429">
        <v>0</v>
      </c>
      <c r="Y429">
        <v>906.74</v>
      </c>
      <c r="Z429">
        <v>35</v>
      </c>
      <c r="AA429">
        <v>0</v>
      </c>
      <c r="AB429">
        <v>0</v>
      </c>
      <c r="AC429">
        <v>0</v>
      </c>
      <c r="AD429">
        <v>0</v>
      </c>
      <c r="AE429">
        <v>800</v>
      </c>
      <c r="AF429">
        <v>0</v>
      </c>
      <c r="AG429">
        <v>0</v>
      </c>
      <c r="AH429">
        <v>0</v>
      </c>
      <c r="AI429">
        <v>0</v>
      </c>
      <c r="AJ429">
        <v>0</v>
      </c>
      <c r="AK429">
        <v>1172</v>
      </c>
      <c r="AL429">
        <v>82</v>
      </c>
      <c r="AM429">
        <v>8</v>
      </c>
      <c r="AN429">
        <v>0</v>
      </c>
      <c r="AO429">
        <v>0</v>
      </c>
      <c r="AP429">
        <v>0.722</v>
      </c>
      <c r="AQ429">
        <v>0.021</v>
      </c>
      <c r="AR429">
        <v>0.013</v>
      </c>
      <c r="AS429" s="3">
        <v>46107.770219907405</v>
      </c>
    </row>
    <row r="430" ht="25.5" customHeight="1">
      <c r="A430" t="inlineStr">
        <is>
          <t>6729e2720000000001000e75</t>
        </is>
      </c>
      <c r="B430" s="2" t="str">
        <f>=HYPERLINK("https://www.xiaohongshu.com/user/profile/6729e2720000000001000e75", "https://www.xiaohongshu.com/user/profile/6729e2720000000001000e75")</f>
        <v>https://www.xiaohongshu.com/user/profile/6729e2720000000001000e75</v>
      </c>
      <c r="C430" s="2" t="str">
        <f>=HYPERLINK("https://pgy.xiaohongshu.com/solar/pre-trade/blogger-detail/6729e2720000000001000e75", "https://pgy.xiaohongshu.com/solar/pre-trade/blogger-detail/6729e2720000000001000e75")</f>
        <v>https://pgy.xiaohongshu.com/solar/pre-trade/blogger-detail/6729e2720000000001000e75</v>
      </c>
      <c r="D430" t="inlineStr">
        <is>
          <t>男</t>
        </is>
      </c>
      <c r="E430" t="inlineStr">
        <is>
          <t>26212839016</t>
        </is>
      </c>
      <c r="F430" t="inlineStr">
        <is>
          <t>玉团子</t>
        </is>
      </c>
      <c r="G430" t="inlineStr">
        <is>
          <t>青海 西宁 城北区</t>
        </is>
      </c>
      <c r="H430" t="inlineStr">
        <is>
          <t>学生</t>
        </is>
      </c>
      <c r="I430" t="inlineStr">
        <is>
          <t>生活记录</t>
        </is>
      </c>
      <c r="J430">
        <v>6925</v>
      </c>
      <c r="K430" t="inlineStr">
        <is>
          <t>0.7</t>
        </is>
      </c>
      <c r="L430">
        <v>2365</v>
      </c>
      <c r="M430">
        <v>434</v>
      </c>
      <c r="N430">
        <v>210</v>
      </c>
      <c r="O430">
        <v>500</v>
      </c>
      <c r="P430">
        <v>0</v>
      </c>
      <c r="Q430">
        <v>0.591</v>
      </c>
      <c r="R430">
        <v>2498</v>
      </c>
      <c r="S430">
        <v>345</v>
      </c>
      <c r="T430">
        <v>169</v>
      </c>
      <c r="U430">
        <v>1.02</v>
      </c>
      <c r="V430">
        <v>500</v>
      </c>
      <c r="W430">
        <v>0.273</v>
      </c>
      <c r="X430">
        <v>0</v>
      </c>
      <c r="Y430">
        <v>74.73</v>
      </c>
      <c r="Z430">
        <v>2.92</v>
      </c>
      <c r="AA430">
        <v>2270</v>
      </c>
      <c r="AB430">
        <v>435</v>
      </c>
      <c r="AC430">
        <v>230</v>
      </c>
      <c r="AD430">
        <v>3.11</v>
      </c>
      <c r="AE430">
        <v>700</v>
      </c>
      <c r="AF430">
        <v>0.909</v>
      </c>
      <c r="AG430">
        <v>0</v>
      </c>
      <c r="AH430">
        <v>0.131</v>
      </c>
      <c r="AI430">
        <v>308.37</v>
      </c>
      <c r="AJ430">
        <v>2.87</v>
      </c>
      <c r="AK430">
        <v>7787</v>
      </c>
      <c r="AL430">
        <v>759</v>
      </c>
      <c r="AM430">
        <v>103</v>
      </c>
      <c r="AN430">
        <v>1</v>
      </c>
      <c r="AO430">
        <v>25.35</v>
      </c>
      <c r="AP430">
        <v>0.757</v>
      </c>
      <c r="AQ430">
        <v>0.042</v>
      </c>
      <c r="AR430">
        <v>0.19</v>
      </c>
      <c r="AS430" s="3">
        <v>46107.770219907405</v>
      </c>
    </row>
    <row r="431" ht="25.5" customHeight="1">
      <c r="A431" t="inlineStr">
        <is>
          <t>699d073e0000000019033122</t>
        </is>
      </c>
      <c r="B431" s="2" t="str">
        <f>=HYPERLINK("https://www.xiaohongshu.com/user/profile/699d073e0000000019033122", "https://www.xiaohongshu.com/user/profile/699d073e0000000019033122")</f>
        <v>https://www.xiaohongshu.com/user/profile/699d073e0000000019033122</v>
      </c>
      <c r="C431" s="2" t="str">
        <f>=HYPERLINK("https://pgy.xiaohongshu.com/solar/pre-trade/blogger-detail/699d073e0000000019033122", "https://pgy.xiaohongshu.com/solar/pre-trade/blogger-detail/699d073e0000000019033122")</f>
        <v>https://pgy.xiaohongshu.com/solar/pre-trade/blogger-detail/699d073e0000000019033122</v>
      </c>
      <c r="D431" t="inlineStr">
        <is>
          <t>男</t>
        </is>
      </c>
      <c r="E431" t="inlineStr">
        <is>
          <t>49355693883</t>
        </is>
      </c>
      <c r="F431" t="inlineStr">
        <is>
          <t>漂亮孙</t>
        </is>
      </c>
      <c r="G431" t="inlineStr">
        <is>
          <t>山东 菏泽 单县</t>
        </is>
      </c>
      <c r="H431" t="inlineStr">
        <is>
          <t>学生</t>
        </is>
      </c>
      <c r="I431" t="inlineStr">
        <is>
          <t>教育, 搞笑</t>
        </is>
      </c>
      <c r="J431">
        <v>9068</v>
      </c>
      <c r="K431" t="inlineStr">
        <is>
          <t>0.9</t>
        </is>
      </c>
      <c r="L431">
        <v>3405</v>
      </c>
      <c r="M431">
        <v>2182</v>
      </c>
      <c r="N431">
        <v>142</v>
      </c>
      <c r="O431">
        <v>100</v>
      </c>
      <c r="P431">
        <v>0.226999999999999</v>
      </c>
      <c r="Q431">
        <v>0.409</v>
      </c>
      <c r="R431">
        <v>0</v>
      </c>
      <c r="S431">
        <v>0</v>
      </c>
      <c r="T431">
        <v>0</v>
      </c>
      <c r="U431">
        <v>0</v>
      </c>
      <c r="V431">
        <v>100</v>
      </c>
      <c r="W431">
        <v>0</v>
      </c>
      <c r="X431">
        <v>0</v>
      </c>
      <c r="Y431">
        <v>0</v>
      </c>
      <c r="Z431">
        <v>0</v>
      </c>
      <c r="AA431">
        <v>3405</v>
      </c>
      <c r="AB431">
        <v>2182</v>
      </c>
      <c r="AC431">
        <v>136</v>
      </c>
      <c r="AD431">
        <v>1.59</v>
      </c>
      <c r="AE431">
        <v>200</v>
      </c>
      <c r="AF431">
        <v>0.409</v>
      </c>
      <c r="AG431">
        <v>0.226999999999999</v>
      </c>
      <c r="AH431">
        <v>0.303</v>
      </c>
      <c r="AI431">
        <v>58.74</v>
      </c>
      <c r="AJ431">
        <v>1.4</v>
      </c>
      <c r="AK431">
        <v>0</v>
      </c>
      <c r="AL431">
        <v>0</v>
      </c>
      <c r="AM431">
        <v>0</v>
      </c>
      <c r="AN431">
        <v>0</v>
      </c>
      <c r="AO431">
        <v>0</v>
      </c>
      <c r="AP431">
        <v>0.999</v>
      </c>
      <c r="AQ431">
        <v>0.622</v>
      </c>
      <c r="AR431">
        <v>0</v>
      </c>
      <c r="AS431" s="3">
        <v>46107.770219907405</v>
      </c>
    </row>
    <row r="432" ht="25.5" customHeight="1">
      <c r="A432" t="inlineStr">
        <is>
          <t>5897474682ec393843ea1a04</t>
        </is>
      </c>
      <c r="B432" s="2" t="str">
        <f>=HYPERLINK("https://www.xiaohongshu.com/user/profile/5897474682ec393843ea1a04", "https://www.xiaohongshu.com/user/profile/5897474682ec393843ea1a04")</f>
        <v>https://www.xiaohongshu.com/user/profile/5897474682ec393843ea1a04</v>
      </c>
      <c r="C432" s="2" t="str">
        <f>=HYPERLINK("https://pgy.xiaohongshu.com/solar/pre-trade/blogger-detail/5897474682ec393843ea1a04", "https://pgy.xiaohongshu.com/solar/pre-trade/blogger-detail/5897474682ec393843ea1a04")</f>
        <v>https://pgy.xiaohongshu.com/solar/pre-trade/blogger-detail/5897474682ec393843ea1a04</v>
      </c>
      <c r="D432" t="inlineStr">
        <is>
          <t>女</t>
        </is>
      </c>
      <c r="E432" t="inlineStr">
        <is>
          <t>rachelyu1122</t>
        </is>
      </c>
      <c r="F432" t="inlineStr">
        <is>
          <t>你的女孩Rachel</t>
        </is>
      </c>
      <c r="G432" t="inlineStr">
        <is>
          <t>美国</t>
        </is>
      </c>
      <c r="H432" t="inlineStr">
        <is>
          <t>留学背景, 海外华人, 学生, 闺蜜</t>
        </is>
      </c>
      <c r="I432" t="inlineStr">
        <is>
          <t>情感</t>
        </is>
      </c>
      <c r="J432">
        <v>74714</v>
      </c>
      <c r="K432" t="inlineStr">
        <is>
          <t>7.5</t>
        </is>
      </c>
      <c r="L432">
        <v>53552</v>
      </c>
      <c r="M432">
        <v>12001</v>
      </c>
      <c r="N432">
        <v>552</v>
      </c>
      <c r="O432">
        <v>8500</v>
      </c>
      <c r="P432">
        <v>0.222</v>
      </c>
      <c r="Q432">
        <v>0.889</v>
      </c>
      <c r="R432">
        <v>0</v>
      </c>
      <c r="S432">
        <v>0</v>
      </c>
      <c r="T432">
        <v>0</v>
      </c>
      <c r="U432">
        <v>0</v>
      </c>
      <c r="V432">
        <v>8500</v>
      </c>
      <c r="W432">
        <v>0</v>
      </c>
      <c r="X432">
        <v>0</v>
      </c>
      <c r="Y432">
        <v>0</v>
      </c>
      <c r="Z432">
        <v>0</v>
      </c>
      <c r="AA432">
        <v>53552</v>
      </c>
      <c r="AB432">
        <v>12001</v>
      </c>
      <c r="AC432">
        <v>499</v>
      </c>
      <c r="AD432">
        <v>2.37</v>
      </c>
      <c r="AE432">
        <v>12000</v>
      </c>
      <c r="AF432">
        <v>0.889</v>
      </c>
      <c r="AG432">
        <v>0.222</v>
      </c>
      <c r="AH432">
        <v>0.408</v>
      </c>
      <c r="AI432">
        <v>213.63</v>
      </c>
      <c r="AJ432">
        <v>19.28</v>
      </c>
      <c r="AK432">
        <v>530208</v>
      </c>
      <c r="AL432">
        <v>87439</v>
      </c>
      <c r="AM432">
        <v>1895</v>
      </c>
      <c r="AN432">
        <v>720</v>
      </c>
      <c r="AO432">
        <v>13.63</v>
      </c>
      <c r="AP432">
        <v>0.832</v>
      </c>
      <c r="AQ432">
        <v>0.039</v>
      </c>
      <c r="AR432">
        <v>0.008</v>
      </c>
      <c r="AS432" s="3">
        <v>46107.770219907405</v>
      </c>
    </row>
    <row r="433" ht="25.5" customHeight="1">
      <c r="A433" t="inlineStr">
        <is>
          <t>63f8cb93000000001400dbfc</t>
        </is>
      </c>
      <c r="B433" s="2" t="str">
        <f>=HYPERLINK("https://www.xiaohongshu.com/user/profile/63f8cb93000000001400dbfc", "https://www.xiaohongshu.com/user/profile/63f8cb93000000001400dbfc")</f>
        <v>https://www.xiaohongshu.com/user/profile/63f8cb93000000001400dbfc</v>
      </c>
      <c r="C433" s="2" t="str">
        <f>=HYPERLINK("https://pgy.xiaohongshu.com/solar/pre-trade/blogger-detail/63f8cb93000000001400dbfc", "https://pgy.xiaohongshu.com/solar/pre-trade/blogger-detail/63f8cb93000000001400dbfc")</f>
        <v>https://pgy.xiaohongshu.com/solar/pre-trade/blogger-detail/63f8cb93000000001400dbfc</v>
      </c>
      <c r="D433" t="inlineStr">
        <is>
          <t>女</t>
        </is>
      </c>
      <c r="E433" t="inlineStr">
        <is>
          <t>7496989173</t>
        </is>
      </c>
      <c r="F433" t="inlineStr">
        <is>
          <t>小Z在进步</t>
        </is>
      </c>
      <c r="G433" t="inlineStr">
        <is>
          <t>北京</t>
        </is>
      </c>
      <c r="H433" t="inlineStr">
        <is>
          <t>考研过来人, 学生</t>
        </is>
      </c>
      <c r="I433" t="inlineStr">
        <is>
          <t>教育</t>
        </is>
      </c>
      <c r="J433">
        <v>10745</v>
      </c>
      <c r="K433" t="inlineStr">
        <is>
          <t>1.1</t>
        </is>
      </c>
      <c r="L433">
        <v>6881</v>
      </c>
      <c r="M433">
        <v>3487</v>
      </c>
      <c r="N433">
        <v>491</v>
      </c>
      <c r="O433">
        <v>500</v>
      </c>
      <c r="P433">
        <v>0</v>
      </c>
      <c r="Q433">
        <v>1</v>
      </c>
      <c r="R433">
        <v>0</v>
      </c>
      <c r="S433">
        <v>0</v>
      </c>
      <c r="T433">
        <v>0</v>
      </c>
      <c r="U433">
        <v>0</v>
      </c>
      <c r="V433">
        <v>500</v>
      </c>
      <c r="W433">
        <v>0</v>
      </c>
      <c r="X433">
        <v>0</v>
      </c>
      <c r="Y433">
        <v>0</v>
      </c>
      <c r="Z433">
        <v>0</v>
      </c>
      <c r="AA433">
        <v>6881</v>
      </c>
      <c r="AB433">
        <v>3487</v>
      </c>
      <c r="AC433">
        <v>452</v>
      </c>
      <c r="AD433">
        <v>1.73</v>
      </c>
      <c r="AE433">
        <v>700</v>
      </c>
      <c r="AF433">
        <v>1</v>
      </c>
      <c r="AG433">
        <v>0</v>
      </c>
      <c r="AH433">
        <v>0.035</v>
      </c>
      <c r="AI433">
        <v>99.12</v>
      </c>
      <c r="AJ433">
        <v>1.44</v>
      </c>
      <c r="AK433">
        <v>19970</v>
      </c>
      <c r="AL433">
        <v>2596</v>
      </c>
      <c r="AM433">
        <v>297</v>
      </c>
      <c r="AN433">
        <v>0</v>
      </c>
      <c r="AO433">
        <v>0</v>
      </c>
      <c r="AP433">
        <v>0.948</v>
      </c>
      <c r="AQ433">
        <v>0.02</v>
      </c>
      <c r="AR433">
        <v>-0.009</v>
      </c>
      <c r="AS433" s="3">
        <v>46107.770219907405</v>
      </c>
    </row>
    <row r="434" ht="25.5" customHeight="1">
      <c r="A434" t="inlineStr">
        <is>
          <t>638479800000000024009e31</t>
        </is>
      </c>
      <c r="B434" s="2" t="str">
        <f>=HYPERLINK("https://www.xiaohongshu.com/user/profile/638479800000000024009e31", "https://www.xiaohongshu.com/user/profile/638479800000000024009e31")</f>
        <v>https://www.xiaohongshu.com/user/profile/638479800000000024009e31</v>
      </c>
      <c r="C434" s="2" t="str">
        <f>=HYPERLINK("https://pgy.xiaohongshu.com/solar/pre-trade/blogger-detail/638479800000000024009e31", "https://pgy.xiaohongshu.com/solar/pre-trade/blogger-detail/638479800000000024009e31")</f>
        <v>https://pgy.xiaohongshu.com/solar/pre-trade/blogger-detail/638479800000000024009e31</v>
      </c>
      <c r="D434" t="inlineStr">
        <is>
          <t>女</t>
        </is>
      </c>
      <c r="E434" t="inlineStr">
        <is>
          <t>6765281182</t>
        </is>
      </c>
      <c r="F434" t="inlineStr">
        <is>
          <t>薛鼎圆</t>
        </is>
      </c>
      <c r="G434" t="inlineStr">
        <is>
          <t>安徽 合肥 包河区</t>
        </is>
      </c>
      <c r="H434" t="inlineStr">
        <is>
          <t>考研过来人, 学生</t>
        </is>
      </c>
      <c r="I434" t="inlineStr">
        <is>
          <t>教育</t>
        </is>
      </c>
      <c r="J434">
        <v>7175</v>
      </c>
      <c r="K434" t="inlineStr">
        <is>
          <t>0.7</t>
        </is>
      </c>
      <c r="L434">
        <v>3927</v>
      </c>
      <c r="M434">
        <v>484</v>
      </c>
      <c r="N434">
        <v>184</v>
      </c>
      <c r="O434">
        <v>800</v>
      </c>
      <c r="P434">
        <v>0</v>
      </c>
      <c r="Q434">
        <v>0.5</v>
      </c>
      <c r="R434">
        <v>4373</v>
      </c>
      <c r="S434">
        <v>507</v>
      </c>
      <c r="T434">
        <v>185</v>
      </c>
      <c r="U434">
        <v>1.95</v>
      </c>
      <c r="V434">
        <v>800</v>
      </c>
      <c r="W434">
        <v>0.556</v>
      </c>
      <c r="X434">
        <v>0</v>
      </c>
      <c r="Y434">
        <v>203.69</v>
      </c>
      <c r="Z434">
        <v>4.58</v>
      </c>
      <c r="AA434">
        <v>793</v>
      </c>
      <c r="AB434">
        <v>264</v>
      </c>
      <c r="AC434">
        <v>67</v>
      </c>
      <c r="AD434">
        <v>5.29</v>
      </c>
      <c r="AE434">
        <v>1000</v>
      </c>
      <c r="AF434">
        <v>0.332999999999999</v>
      </c>
      <c r="AG434">
        <v>0</v>
      </c>
      <c r="AH434">
        <v>0.183</v>
      </c>
      <c r="AI434">
        <v>1261.03</v>
      </c>
      <c r="AJ434">
        <v>14.29</v>
      </c>
      <c r="AK434">
        <v>1608</v>
      </c>
      <c r="AL434">
        <v>173</v>
      </c>
      <c r="AM434">
        <v>92</v>
      </c>
      <c r="AN434">
        <v>0</v>
      </c>
      <c r="AO434">
        <v>792.11</v>
      </c>
      <c r="AP434">
        <v>0.813</v>
      </c>
      <c r="AQ434">
        <v>0.048</v>
      </c>
      <c r="AR434">
        <v>0.015</v>
      </c>
      <c r="AS434" s="3">
        <v>46107.770219907405</v>
      </c>
    </row>
    <row r="435" ht="25.5" customHeight="1">
      <c r="A435" t="inlineStr">
        <is>
          <t>5a6163ce11be107fb5ad9a17</t>
        </is>
      </c>
      <c r="B435" s="2" t="str">
        <f>=HYPERLINK("https://www.xiaohongshu.com/user/profile/5a6163ce11be107fb5ad9a17", "https://www.xiaohongshu.com/user/profile/5a6163ce11be107fb5ad9a17")</f>
        <v>https://www.xiaohongshu.com/user/profile/5a6163ce11be107fb5ad9a17</v>
      </c>
      <c r="C435" s="2" t="str">
        <f>=HYPERLINK("https://pgy.xiaohongshu.com/solar/pre-trade/blogger-detail/5a6163ce11be107fb5ad9a17", "https://pgy.xiaohongshu.com/solar/pre-trade/blogger-detail/5a6163ce11be107fb5ad9a17")</f>
        <v>https://pgy.xiaohongshu.com/solar/pre-trade/blogger-detail/5a6163ce11be107fb5ad9a17</v>
      </c>
      <c r="D435" t="inlineStr">
        <is>
          <t>女</t>
        </is>
      </c>
      <c r="E435" t="inlineStr">
        <is>
          <t>272288841</t>
        </is>
      </c>
      <c r="F435" t="inlineStr">
        <is>
          <t>雅拉yala</t>
        </is>
      </c>
      <c r="G435" t="inlineStr">
        <is>
          <t>广东 深圳 宝安区</t>
        </is>
      </c>
      <c r="H435" t="inlineStr">
        <is>
          <t>考研过来人, 学生</t>
        </is>
      </c>
      <c r="I435" t="inlineStr">
        <is>
          <t>教育</t>
        </is>
      </c>
      <c r="J435">
        <v>276800</v>
      </c>
      <c r="K435" t="inlineStr">
        <is>
          <t>27.7</t>
        </is>
      </c>
      <c r="L435">
        <v>34507</v>
      </c>
      <c r="M435">
        <v>10289</v>
      </c>
      <c r="N435">
        <v>1507</v>
      </c>
      <c r="O435">
        <v>12000</v>
      </c>
      <c r="P435">
        <v>0.25</v>
      </c>
      <c r="Q435">
        <v>1</v>
      </c>
      <c r="R435">
        <v>0</v>
      </c>
      <c r="S435">
        <v>0</v>
      </c>
      <c r="T435">
        <v>0</v>
      </c>
      <c r="U435">
        <v>0</v>
      </c>
      <c r="V435">
        <v>12000</v>
      </c>
      <c r="W435">
        <v>0</v>
      </c>
      <c r="X435">
        <v>0</v>
      </c>
      <c r="Y435">
        <v>0</v>
      </c>
      <c r="Z435">
        <v>0</v>
      </c>
      <c r="AA435">
        <v>34507</v>
      </c>
      <c r="AB435">
        <v>10289</v>
      </c>
      <c r="AC435">
        <v>1425</v>
      </c>
      <c r="AD435">
        <v>3.04</v>
      </c>
      <c r="AE435">
        <v>25000</v>
      </c>
      <c r="AF435">
        <v>1</v>
      </c>
      <c r="AG435">
        <v>0.25</v>
      </c>
      <c r="AH435">
        <v>0.136</v>
      </c>
      <c r="AI435">
        <v>612.37</v>
      </c>
      <c r="AJ435">
        <v>17.43</v>
      </c>
      <c r="AK435">
        <v>187736</v>
      </c>
      <c r="AL435">
        <v>26750</v>
      </c>
      <c r="AM435">
        <v>1466</v>
      </c>
      <c r="AN435">
        <v>0</v>
      </c>
      <c r="AO435">
        <v>0</v>
      </c>
      <c r="AP435">
        <v>0.823</v>
      </c>
      <c r="AQ435">
        <v>0.02</v>
      </c>
      <c r="AR435">
        <v>0.001</v>
      </c>
      <c r="AS435" s="3">
        <v>46107.770219907405</v>
      </c>
    </row>
    <row r="436" ht="25.5" customHeight="1">
      <c r="A436" t="inlineStr">
        <is>
          <t>5ac2295f11be104a8664310c</t>
        </is>
      </c>
      <c r="B436" s="2" t="str">
        <f>=HYPERLINK("https://www.xiaohongshu.com/user/profile/5ac2295f11be104a8664310c", "https://www.xiaohongshu.com/user/profile/5ac2295f11be104a8664310c")</f>
        <v>https://www.xiaohongshu.com/user/profile/5ac2295f11be104a8664310c</v>
      </c>
      <c r="C436" s="2" t="str">
        <f>=HYPERLINK("https://pgy.xiaohongshu.com/solar/pre-trade/blogger-detail/5ac2295f11be104a8664310c", "https://pgy.xiaohongshu.com/solar/pre-trade/blogger-detail/5ac2295f11be104a8664310c")</f>
        <v>https://pgy.xiaohongshu.com/solar/pre-trade/blogger-detail/5ac2295f11be104a8664310c</v>
      </c>
      <c r="D436" t="inlineStr">
        <is>
          <t>女</t>
        </is>
      </c>
      <c r="E436" t="inlineStr">
        <is>
          <t>NBW0407</t>
        </is>
      </c>
      <c r="F436" t="inlineStr">
        <is>
          <t>乐仔向前冲</t>
        </is>
      </c>
      <c r="G436" t="inlineStr">
        <is>
          <t>山东 青岛 莱西市</t>
        </is>
      </c>
      <c r="H436"/>
      <c r="I436" t="inlineStr">
        <is>
          <t>教育</t>
        </is>
      </c>
      <c r="J436">
        <v>32935</v>
      </c>
      <c r="K436" t="inlineStr">
        <is>
          <t>3.3</t>
        </is>
      </c>
      <c r="L436">
        <v>2075</v>
      </c>
      <c r="M436">
        <v>1413</v>
      </c>
      <c r="N436">
        <v>138</v>
      </c>
      <c r="O436">
        <v>200</v>
      </c>
      <c r="P436">
        <v>0</v>
      </c>
      <c r="Q436">
        <v>0</v>
      </c>
      <c r="R436">
        <v>0</v>
      </c>
      <c r="S436">
        <v>0</v>
      </c>
      <c r="T436">
        <v>0</v>
      </c>
      <c r="U436">
        <v>0</v>
      </c>
      <c r="V436">
        <v>200</v>
      </c>
      <c r="W436">
        <v>0</v>
      </c>
      <c r="X436">
        <v>0</v>
      </c>
      <c r="Y436">
        <v>0</v>
      </c>
      <c r="Z436">
        <v>0</v>
      </c>
      <c r="AA436">
        <v>2075</v>
      </c>
      <c r="AB436">
        <v>1413</v>
      </c>
      <c r="AC436">
        <v>71</v>
      </c>
      <c r="AD436">
        <v>2.56</v>
      </c>
      <c r="AE436">
        <v>1500</v>
      </c>
      <c r="AF436">
        <v>0</v>
      </c>
      <c r="AG436">
        <v>0</v>
      </c>
      <c r="AH436">
        <v>0.267</v>
      </c>
      <c r="AI436">
        <v>722.89</v>
      </c>
      <c r="AJ436">
        <v>10.87</v>
      </c>
      <c r="AK436">
        <v>0</v>
      </c>
      <c r="AL436">
        <v>0</v>
      </c>
      <c r="AM436">
        <v>0</v>
      </c>
      <c r="AN436">
        <v>0</v>
      </c>
      <c r="AO436">
        <v>0</v>
      </c>
      <c r="AP436">
        <v>0.92</v>
      </c>
      <c r="AQ436">
        <v>0.013</v>
      </c>
      <c r="AR436">
        <v>0.025</v>
      </c>
      <c r="AS436" s="3">
        <v>46107.770219907405</v>
      </c>
    </row>
    <row r="437" ht="25.5" customHeight="1">
      <c r="A437" t="inlineStr">
        <is>
          <t>67cbc4ed000000000e02d8da</t>
        </is>
      </c>
      <c r="B437" s="2" t="str">
        <f>=HYPERLINK("https://www.xiaohongshu.com/user/profile/67cbc4ed000000000e02d8da", "https://www.xiaohongshu.com/user/profile/67cbc4ed000000000e02d8da")</f>
        <v>https://www.xiaohongshu.com/user/profile/67cbc4ed000000000e02d8da</v>
      </c>
      <c r="C437" s="2" t="str">
        <f>=HYPERLINK("https://pgy.xiaohongshu.com/solar/pre-trade/blogger-detail/67cbc4ed000000000e02d8da", "https://pgy.xiaohongshu.com/solar/pre-trade/blogger-detail/67cbc4ed000000000e02d8da")</f>
        <v>https://pgy.xiaohongshu.com/solar/pre-trade/blogger-detail/67cbc4ed000000000e02d8da</v>
      </c>
      <c r="D437" t="inlineStr">
        <is>
          <t>男</t>
        </is>
      </c>
      <c r="E437" t="inlineStr">
        <is>
          <t>94123910340</t>
        </is>
      </c>
      <c r="F437" t="inlineStr">
        <is>
          <t>坛坛有点甜（上岸版）</t>
        </is>
      </c>
      <c r="G437" t="inlineStr">
        <is>
          <t>山东 德州 德城区</t>
        </is>
      </c>
      <c r="H437"/>
      <c r="I437" t="inlineStr">
        <is>
          <t>职场</t>
        </is>
      </c>
      <c r="J437">
        <v>10372</v>
      </c>
      <c r="K437" t="inlineStr">
        <is>
          <t>1.0</t>
        </is>
      </c>
      <c r="L437">
        <v>6919</v>
      </c>
      <c r="M437">
        <v>1011</v>
      </c>
      <c r="N437">
        <v>164</v>
      </c>
      <c r="O437">
        <v>300</v>
      </c>
      <c r="P437">
        <v>0</v>
      </c>
      <c r="Q437">
        <v>0.143</v>
      </c>
      <c r="R437">
        <v>6919</v>
      </c>
      <c r="S437">
        <v>1011</v>
      </c>
      <c r="T437">
        <v>136</v>
      </c>
      <c r="U437">
        <v>0.66</v>
      </c>
      <c r="V437">
        <v>320</v>
      </c>
      <c r="W437">
        <v>0.143</v>
      </c>
      <c r="X437">
        <v>0</v>
      </c>
      <c r="Y437">
        <v>48.66</v>
      </c>
      <c r="Z437">
        <v>1.99</v>
      </c>
      <c r="AA437">
        <v>0</v>
      </c>
      <c r="AB437">
        <v>0</v>
      </c>
      <c r="AC437">
        <v>0</v>
      </c>
      <c r="AD437">
        <v>0</v>
      </c>
      <c r="AE437">
        <v>300</v>
      </c>
      <c r="AF437">
        <v>0</v>
      </c>
      <c r="AG437">
        <v>0</v>
      </c>
      <c r="AH437">
        <v>0</v>
      </c>
      <c r="AI437">
        <v>0</v>
      </c>
      <c r="AJ437">
        <v>0</v>
      </c>
      <c r="AK437">
        <v>2535</v>
      </c>
      <c r="AL437">
        <v>272</v>
      </c>
      <c r="AM437">
        <v>155</v>
      </c>
      <c r="AN437">
        <v>0</v>
      </c>
      <c r="AO437">
        <v>0</v>
      </c>
      <c r="AP437">
        <v>0.897</v>
      </c>
      <c r="AQ437">
        <v>0.024</v>
      </c>
      <c r="AR437">
        <v>0.4</v>
      </c>
      <c r="AS437" s="3">
        <v>46107.770219907405</v>
      </c>
    </row>
    <row r="438" ht="25.5" customHeight="1">
      <c r="A438" t="inlineStr">
        <is>
          <t>5f1c023500000000010095e9</t>
        </is>
      </c>
      <c r="B438" s="2" t="str">
        <f>=HYPERLINK("https://www.xiaohongshu.com/user/profile/5f1c023500000000010095e9", "https://www.xiaohongshu.com/user/profile/5f1c023500000000010095e9")</f>
        <v>https://www.xiaohongshu.com/user/profile/5f1c023500000000010095e9</v>
      </c>
      <c r="C438" s="2" t="str">
        <f>=HYPERLINK("https://pgy.xiaohongshu.com/solar/pre-trade/blogger-detail/5f1c023500000000010095e9", "https://pgy.xiaohongshu.com/solar/pre-trade/blogger-detail/5f1c023500000000010095e9")</f>
        <v>https://pgy.xiaohongshu.com/solar/pre-trade/blogger-detail/5f1c023500000000010095e9</v>
      </c>
      <c r="D438" t="inlineStr">
        <is>
          <t>女</t>
        </is>
      </c>
      <c r="E438" t="inlineStr">
        <is>
          <t>249969075</t>
        </is>
      </c>
      <c r="F438" t="inlineStr">
        <is>
          <t>noooo（马理论版）</t>
        </is>
      </c>
      <c r="G438" t="inlineStr">
        <is>
          <t>辽宁 朝阳 龙城区</t>
        </is>
      </c>
      <c r="H438"/>
      <c r="I438" t="inlineStr">
        <is>
          <t>教育</t>
        </is>
      </c>
      <c r="J438">
        <v>3190</v>
      </c>
      <c r="K438" t="inlineStr">
        <is>
          <t>0.3</t>
        </is>
      </c>
      <c r="L438">
        <v>9952</v>
      </c>
      <c r="M438">
        <v>6393</v>
      </c>
      <c r="N438">
        <v>966</v>
      </c>
      <c r="O438">
        <v>232</v>
      </c>
      <c r="P438">
        <v>0.25</v>
      </c>
      <c r="Q438">
        <v>0.75</v>
      </c>
      <c r="R438">
        <v>0</v>
      </c>
      <c r="S438">
        <v>0</v>
      </c>
      <c r="T438">
        <v>0</v>
      </c>
      <c r="U438">
        <v>0.35</v>
      </c>
      <c r="V438">
        <v>232</v>
      </c>
      <c r="W438">
        <v>0</v>
      </c>
      <c r="X438">
        <v>0</v>
      </c>
      <c r="Y438">
        <v>7.88</v>
      </c>
      <c r="Z438">
        <v>0.18</v>
      </c>
      <c r="AA438">
        <v>9952</v>
      </c>
      <c r="AB438">
        <v>6393</v>
      </c>
      <c r="AC438">
        <v>918</v>
      </c>
      <c r="AD438">
        <v>1.59</v>
      </c>
      <c r="AE438">
        <v>425</v>
      </c>
      <c r="AF438">
        <v>0.75</v>
      </c>
      <c r="AG438">
        <v>0.25</v>
      </c>
      <c r="AH438">
        <v>0.02</v>
      </c>
      <c r="AI438">
        <v>23.45</v>
      </c>
      <c r="AJ438">
        <v>0.47</v>
      </c>
      <c r="AK438">
        <v>29451</v>
      </c>
      <c r="AL438">
        <v>5143</v>
      </c>
      <c r="AM438">
        <v>1010</v>
      </c>
      <c r="AN438">
        <v>11</v>
      </c>
      <c r="AO438">
        <v>5.55</v>
      </c>
      <c r="AP438">
        <v>0.987</v>
      </c>
      <c r="AQ438">
        <v>0.268999999999999</v>
      </c>
      <c r="AR438">
        <v>0</v>
      </c>
      <c r="AS438" s="3">
        <v>46107.770219907405</v>
      </c>
    </row>
    <row r="439" ht="25.5" customHeight="1">
      <c r="A439" t="inlineStr">
        <is>
          <t>5d3698ef000000001201be03</t>
        </is>
      </c>
      <c r="B439" s="2" t="str">
        <f>=HYPERLINK("https://www.xiaohongshu.com/user/profile/5d3698ef000000001201be03", "https://www.xiaohongshu.com/user/profile/5d3698ef000000001201be03")</f>
        <v>https://www.xiaohongshu.com/user/profile/5d3698ef000000001201be03</v>
      </c>
      <c r="C439" s="2" t="str">
        <f>=HYPERLINK("https://pgy.xiaohongshu.com/solar/pre-trade/blogger-detail/5d3698ef000000001201be03", "https://pgy.xiaohongshu.com/solar/pre-trade/blogger-detail/5d3698ef000000001201be03")</f>
        <v>https://pgy.xiaohongshu.com/solar/pre-trade/blogger-detail/5d3698ef000000001201be03</v>
      </c>
      <c r="D439" t="inlineStr">
        <is>
          <t>女</t>
        </is>
      </c>
      <c r="E439" t="inlineStr">
        <is>
          <t>813095088</t>
        </is>
      </c>
      <c r="F439" t="inlineStr">
        <is>
          <t>蜜桃豆豆</t>
        </is>
      </c>
      <c r="G439" t="inlineStr">
        <is>
          <t>韩国</t>
        </is>
      </c>
      <c r="H439" t="inlineStr">
        <is>
          <t>学生</t>
        </is>
      </c>
      <c r="I439" t="inlineStr">
        <is>
          <t>教育, 时尚</t>
        </is>
      </c>
      <c r="J439">
        <v>37823</v>
      </c>
      <c r="K439" t="inlineStr">
        <is>
          <t>3.8</t>
        </is>
      </c>
      <c r="L439">
        <v>10259</v>
      </c>
      <c r="M439">
        <v>1190</v>
      </c>
      <c r="N439">
        <v>214</v>
      </c>
      <c r="O439">
        <v>3800</v>
      </c>
      <c r="P439">
        <v>0</v>
      </c>
      <c r="Q439">
        <v>1</v>
      </c>
      <c r="R439">
        <v>10548</v>
      </c>
      <c r="S439">
        <v>1194</v>
      </c>
      <c r="T439">
        <v>206</v>
      </c>
      <c r="U439">
        <v>2.99</v>
      </c>
      <c r="V439">
        <v>3800</v>
      </c>
      <c r="W439">
        <v>1</v>
      </c>
      <c r="X439">
        <v>0</v>
      </c>
      <c r="Y439">
        <v>286.42</v>
      </c>
      <c r="Z439">
        <v>17.76</v>
      </c>
      <c r="AA439">
        <v>6859</v>
      </c>
      <c r="AB439">
        <v>875</v>
      </c>
      <c r="AC439">
        <v>143</v>
      </c>
      <c r="AD439">
        <v>6.64</v>
      </c>
      <c r="AE439">
        <v>4500</v>
      </c>
      <c r="AF439">
        <v>1</v>
      </c>
      <c r="AG439">
        <v>0</v>
      </c>
      <c r="AH439">
        <v>0.055</v>
      </c>
      <c r="AI439">
        <v>656.07</v>
      </c>
      <c r="AJ439">
        <v>29.41</v>
      </c>
      <c r="AK439">
        <v>15986</v>
      </c>
      <c r="AL439">
        <v>1630</v>
      </c>
      <c r="AM439">
        <v>162</v>
      </c>
      <c r="AN439">
        <v>0</v>
      </c>
      <c r="AO439">
        <v>0</v>
      </c>
      <c r="AP439">
        <v>0.711</v>
      </c>
      <c r="AQ439">
        <v>0.021</v>
      </c>
      <c r="AR439">
        <v>0.034</v>
      </c>
      <c r="AS439" s="3">
        <v>46107.770219907405</v>
      </c>
    </row>
    <row r="440" ht="25.5" customHeight="1">
      <c r="A440" t="inlineStr">
        <is>
          <t>6867c3f1000000001e0001bb</t>
        </is>
      </c>
      <c r="B440" s="2" t="str">
        <f>=HYPERLINK("https://www.xiaohongshu.com/user/profile/6867c3f1000000001e0001bb", "https://www.xiaohongshu.com/user/profile/6867c3f1000000001e0001bb")</f>
        <v>https://www.xiaohongshu.com/user/profile/6867c3f1000000001e0001bb</v>
      </c>
      <c r="C440" s="2" t="str">
        <f>=HYPERLINK("https://pgy.xiaohongshu.com/solar/pre-trade/blogger-detail/6867c3f1000000001e0001bb", "https://pgy.xiaohongshu.com/solar/pre-trade/blogger-detail/6867c3f1000000001e0001bb")</f>
        <v>https://pgy.xiaohongshu.com/solar/pre-trade/blogger-detail/6867c3f1000000001e0001bb</v>
      </c>
      <c r="D440" t="inlineStr">
        <is>
          <t>女</t>
        </is>
      </c>
      <c r="E440" t="inlineStr">
        <is>
          <t>26153171987</t>
        </is>
      </c>
      <c r="F440" t="inlineStr">
        <is>
          <t>甜菜熊</t>
        </is>
      </c>
      <c r="G440" t="inlineStr">
        <is>
          <t>福建 福州 闽侯县</t>
        </is>
      </c>
      <c r="H440"/>
      <c r="I440" t="inlineStr">
        <is>
          <t>教育</t>
        </is>
      </c>
      <c r="J440">
        <v>2388</v>
      </c>
      <c r="K440" t="inlineStr">
        <is>
          <t>0.2</t>
        </is>
      </c>
      <c r="L440">
        <v>4976</v>
      </c>
      <c r="M440">
        <v>1109</v>
      </c>
      <c r="N440">
        <v>102</v>
      </c>
      <c r="O440">
        <v>233</v>
      </c>
      <c r="P440">
        <v>0</v>
      </c>
      <c r="Q440">
        <v>0.4</v>
      </c>
      <c r="R440">
        <v>0</v>
      </c>
      <c r="S440">
        <v>0</v>
      </c>
      <c r="T440">
        <v>0</v>
      </c>
      <c r="U440">
        <v>0</v>
      </c>
      <c r="V440">
        <v>233</v>
      </c>
      <c r="W440">
        <v>0</v>
      </c>
      <c r="X440">
        <v>0</v>
      </c>
      <c r="Y440">
        <v>0</v>
      </c>
      <c r="Z440">
        <v>0</v>
      </c>
      <c r="AA440">
        <v>4976</v>
      </c>
      <c r="AB440">
        <v>1109</v>
      </c>
      <c r="AC440">
        <v>91</v>
      </c>
      <c r="AD440">
        <v>1.87</v>
      </c>
      <c r="AE440">
        <v>408</v>
      </c>
      <c r="AF440">
        <v>0.4</v>
      </c>
      <c r="AG440">
        <v>0</v>
      </c>
      <c r="AH440">
        <v>0.1</v>
      </c>
      <c r="AI440">
        <v>81.99</v>
      </c>
      <c r="AJ440">
        <v>4</v>
      </c>
      <c r="AK440">
        <v>0</v>
      </c>
      <c r="AL440">
        <v>0</v>
      </c>
      <c r="AM440">
        <v>0</v>
      </c>
      <c r="AN440">
        <v>0</v>
      </c>
      <c r="AO440">
        <v>0</v>
      </c>
      <c r="AP440">
        <v>0.915</v>
      </c>
      <c r="AQ440">
        <v>0.113</v>
      </c>
      <c r="AR440">
        <v>0.047</v>
      </c>
      <c r="AS440" s="3">
        <v>46107.770219907405</v>
      </c>
    </row>
    <row r="441" ht="25.5" customHeight="1">
      <c r="A441" t="inlineStr">
        <is>
          <t>5f110fb2000000000101dcb4</t>
        </is>
      </c>
      <c r="B441" s="2" t="str">
        <f>=HYPERLINK("https://www.xiaohongshu.com/user/profile/5f110fb2000000000101dcb4", "https://www.xiaohongshu.com/user/profile/5f110fb2000000000101dcb4")</f>
        <v>https://www.xiaohongshu.com/user/profile/5f110fb2000000000101dcb4</v>
      </c>
      <c r="C441" s="2" t="str">
        <f>=HYPERLINK("https://pgy.xiaohongshu.com/solar/pre-trade/blogger-detail/5f110fb2000000000101dcb4", "https://pgy.xiaohongshu.com/solar/pre-trade/blogger-detail/5f110fb2000000000101dcb4")</f>
        <v>https://pgy.xiaohongshu.com/solar/pre-trade/blogger-detail/5f110fb2000000000101dcb4</v>
      </c>
      <c r="D441" t="inlineStr">
        <is>
          <t>女</t>
        </is>
      </c>
      <c r="E441" t="inlineStr">
        <is>
          <t>402345577</t>
        </is>
      </c>
      <c r="F441" t="inlineStr">
        <is>
          <t>这里是龙龙呀</t>
        </is>
      </c>
      <c r="G441" t="inlineStr">
        <is>
          <t>山东 济南 历下区</t>
        </is>
      </c>
      <c r="H441" t="inlineStr">
        <is>
          <t>考研过来人, 学生</t>
        </is>
      </c>
      <c r="I441" t="inlineStr">
        <is>
          <t>教育</t>
        </is>
      </c>
      <c r="J441">
        <v>3598</v>
      </c>
      <c r="K441" t="inlineStr">
        <is>
          <t>0.4</t>
        </is>
      </c>
      <c r="L441">
        <v>17312</v>
      </c>
      <c r="M441">
        <v>3916</v>
      </c>
      <c r="N441">
        <v>350</v>
      </c>
      <c r="O441">
        <v>200</v>
      </c>
      <c r="P441">
        <v>0</v>
      </c>
      <c r="Q441">
        <v>0.545</v>
      </c>
      <c r="R441">
        <v>17312</v>
      </c>
      <c r="S441">
        <v>3916</v>
      </c>
      <c r="T441">
        <v>337</v>
      </c>
      <c r="U441">
        <v>0.78</v>
      </c>
      <c r="V441">
        <v>200</v>
      </c>
      <c r="W441">
        <v>0.545</v>
      </c>
      <c r="X441">
        <v>0</v>
      </c>
      <c r="Y441">
        <v>45.24</v>
      </c>
      <c r="Z441">
        <v>8</v>
      </c>
      <c r="AA441">
        <v>0</v>
      </c>
      <c r="AB441">
        <v>0</v>
      </c>
      <c r="AC441">
        <v>0</v>
      </c>
      <c r="AD441">
        <v>0</v>
      </c>
      <c r="AE441">
        <v>0</v>
      </c>
      <c r="AF441">
        <v>0</v>
      </c>
      <c r="AG441">
        <v>0</v>
      </c>
      <c r="AH441">
        <v>0</v>
      </c>
      <c r="AI441">
        <v>0</v>
      </c>
      <c r="AJ441">
        <v>0</v>
      </c>
      <c r="AK441">
        <v>2673</v>
      </c>
      <c r="AL441">
        <v>200</v>
      </c>
      <c r="AM441">
        <v>6</v>
      </c>
      <c r="AN441">
        <v>0</v>
      </c>
      <c r="AO441">
        <v>16.5</v>
      </c>
      <c r="AP441">
        <v>0.917999999999999</v>
      </c>
      <c r="AQ441">
        <v>0.0969999999999999</v>
      </c>
      <c r="AR441">
        <v>0.121</v>
      </c>
      <c r="AS441" s="3">
        <v>46107.770219907405</v>
      </c>
    </row>
    <row r="442" ht="25.5" customHeight="1">
      <c r="A442" t="inlineStr">
        <is>
          <t>648198ea00000000100368c8</t>
        </is>
      </c>
      <c r="B442" s="2" t="str">
        <f>=HYPERLINK("https://www.xiaohongshu.com/user/profile/648198ea00000000100368c8", "https://www.xiaohongshu.com/user/profile/648198ea00000000100368c8")</f>
        <v>https://www.xiaohongshu.com/user/profile/648198ea00000000100368c8</v>
      </c>
      <c r="C442" s="2" t="str">
        <f>=HYPERLINK("https://pgy.xiaohongshu.com/solar/pre-trade/blogger-detail/648198ea00000000100368c8", "https://pgy.xiaohongshu.com/solar/pre-trade/blogger-detail/648198ea00000000100368c8")</f>
        <v>https://pgy.xiaohongshu.com/solar/pre-trade/blogger-detail/648198ea00000000100368c8</v>
      </c>
      <c r="D442" t="inlineStr">
        <is>
          <t>女</t>
        </is>
      </c>
      <c r="E442" t="inlineStr">
        <is>
          <t>1846765412a</t>
        </is>
      </c>
      <c r="F442" t="inlineStr">
        <is>
          <t>一颗苦杏仁</t>
        </is>
      </c>
      <c r="G442" t="inlineStr">
        <is>
          <t>山西 长治 潞城区</t>
        </is>
      </c>
      <c r="H442"/>
      <c r="I442" t="inlineStr">
        <is>
          <t>教育</t>
        </is>
      </c>
      <c r="J442">
        <v>30705</v>
      </c>
      <c r="K442" t="inlineStr">
        <is>
          <t>3.1</t>
        </is>
      </c>
      <c r="L442">
        <v>25646</v>
      </c>
      <c r="M442">
        <v>3642</v>
      </c>
      <c r="N442">
        <v>431</v>
      </c>
      <c r="O442">
        <v>1500</v>
      </c>
      <c r="P442">
        <v>0.19</v>
      </c>
      <c r="Q442">
        <v>0.81</v>
      </c>
      <c r="R442">
        <v>28195</v>
      </c>
      <c r="S442">
        <v>3741</v>
      </c>
      <c r="T442">
        <v>576</v>
      </c>
      <c r="U442">
        <v>0.7</v>
      </c>
      <c r="V442">
        <v>1500</v>
      </c>
      <c r="W442">
        <v>0.85</v>
      </c>
      <c r="X442">
        <v>0.2</v>
      </c>
      <c r="Y442">
        <v>53.2</v>
      </c>
      <c r="Z442">
        <v>2.5</v>
      </c>
      <c r="AA442">
        <v>4828</v>
      </c>
      <c r="AB442">
        <v>827</v>
      </c>
      <c r="AC442">
        <v>99</v>
      </c>
      <c r="AD442">
        <v>3.92</v>
      </c>
      <c r="AE442">
        <v>2000</v>
      </c>
      <c r="AF442">
        <v>0</v>
      </c>
      <c r="AG442">
        <v>0</v>
      </c>
      <c r="AH442">
        <v>0.156</v>
      </c>
      <c r="AI442">
        <v>414.25</v>
      </c>
      <c r="AJ442">
        <v>19.8</v>
      </c>
      <c r="AK442">
        <v>0</v>
      </c>
      <c r="AL442">
        <v>0</v>
      </c>
      <c r="AM442">
        <v>0</v>
      </c>
      <c r="AN442">
        <v>0</v>
      </c>
      <c r="AO442">
        <v>0</v>
      </c>
      <c r="AP442">
        <v>0.894</v>
      </c>
      <c r="AQ442">
        <v>0.093</v>
      </c>
      <c r="AR442">
        <v>-0.011</v>
      </c>
      <c r="AS442" s="3">
        <v>46107.770474537036</v>
      </c>
    </row>
    <row r="443" ht="25.5" customHeight="1">
      <c r="A443" t="inlineStr">
        <is>
          <t>5987df135e87e73ee8ad57d4</t>
        </is>
      </c>
      <c r="B443" s="2" t="str">
        <f>=HYPERLINK("https://www.xiaohongshu.com/user/profile/5987df135e87e73ee8ad57d4", "https://www.xiaohongshu.com/user/profile/5987df135e87e73ee8ad57d4")</f>
        <v>https://www.xiaohongshu.com/user/profile/5987df135e87e73ee8ad57d4</v>
      </c>
      <c r="C443" s="2" t="str">
        <f>=HYPERLINK("https://pgy.xiaohongshu.com/solar/pre-trade/blogger-detail/5987df135e87e73ee8ad57d4", "https://pgy.xiaohongshu.com/solar/pre-trade/blogger-detail/5987df135e87e73ee8ad57d4")</f>
        <v>https://pgy.xiaohongshu.com/solar/pre-trade/blogger-detail/5987df135e87e73ee8ad57d4</v>
      </c>
      <c r="D443" t="inlineStr">
        <is>
          <t>女</t>
        </is>
      </c>
      <c r="E443" t="inlineStr">
        <is>
          <t>lllarinac77_</t>
        </is>
      </c>
      <c r="F443" t="inlineStr">
        <is>
          <t>丛悠悠Larina</t>
        </is>
      </c>
      <c r="G443" t="inlineStr">
        <is>
          <t>美国</t>
        </is>
      </c>
      <c r="H443" t="inlineStr">
        <is>
          <t>汉服爱好者, 留学背景, 学生, 模特</t>
        </is>
      </c>
      <c r="I443" t="inlineStr">
        <is>
          <t>出行旅游, 生活记录</t>
        </is>
      </c>
      <c r="J443">
        <v>19909</v>
      </c>
      <c r="K443" t="inlineStr">
        <is>
          <t>2.0</t>
        </is>
      </c>
      <c r="L443">
        <v>11068</v>
      </c>
      <c r="M443">
        <v>1976</v>
      </c>
      <c r="N443">
        <v>133</v>
      </c>
      <c r="O443">
        <v>2000</v>
      </c>
      <c r="P443">
        <v>0</v>
      </c>
      <c r="Q443">
        <v>0.63</v>
      </c>
      <c r="R443">
        <v>28022</v>
      </c>
      <c r="S443">
        <v>4584</v>
      </c>
      <c r="T443">
        <v>155</v>
      </c>
      <c r="U443">
        <v>0.77</v>
      </c>
      <c r="V443">
        <v>2000</v>
      </c>
      <c r="W443">
        <v>0.667</v>
      </c>
      <c r="X443">
        <v>0</v>
      </c>
      <c r="Y443">
        <v>76.67</v>
      </c>
      <c r="Z443">
        <v>11.33</v>
      </c>
      <c r="AA443">
        <v>9845</v>
      </c>
      <c r="AB443">
        <v>1902</v>
      </c>
      <c r="AC443">
        <v>118</v>
      </c>
      <c r="AD443">
        <v>3.34</v>
      </c>
      <c r="AE443">
        <v>3500</v>
      </c>
      <c r="AF443">
        <v>0.611</v>
      </c>
      <c r="AG443">
        <v>0</v>
      </c>
      <c r="AH443">
        <v>0.231999999999999</v>
      </c>
      <c r="AI443">
        <v>355.51</v>
      </c>
      <c r="AJ443">
        <v>27.03</v>
      </c>
      <c r="AK443">
        <v>12968</v>
      </c>
      <c r="AL443">
        <v>1809</v>
      </c>
      <c r="AM443">
        <v>95</v>
      </c>
      <c r="AN443">
        <v>0</v>
      </c>
      <c r="AO443">
        <v>0</v>
      </c>
      <c r="AP443">
        <v>0.868</v>
      </c>
      <c r="AQ443">
        <v>0.066</v>
      </c>
      <c r="AR443">
        <v>0.044</v>
      </c>
      <c r="AS443" s="3">
        <v>46107.770474537036</v>
      </c>
    </row>
    <row r="444" ht="25.5" customHeight="1">
      <c r="A444" t="inlineStr">
        <is>
          <t>5d3db37e000000001102ac40</t>
        </is>
      </c>
      <c r="B444" s="2" t="str">
        <f>=HYPERLINK("https://www.xiaohongshu.com/user/profile/5d3db37e000000001102ac40", "https://www.xiaohongshu.com/user/profile/5d3db37e000000001102ac40")</f>
        <v>https://www.xiaohongshu.com/user/profile/5d3db37e000000001102ac40</v>
      </c>
      <c r="C444" s="2" t="str">
        <f>=HYPERLINK("https://pgy.xiaohongshu.com/solar/pre-trade/blogger-detail/5d3db37e000000001102ac40", "https://pgy.xiaohongshu.com/solar/pre-trade/blogger-detail/5d3db37e000000001102ac40")</f>
        <v>https://pgy.xiaohongshu.com/solar/pre-trade/blogger-detail/5d3db37e000000001102ac40</v>
      </c>
      <c r="D444" t="inlineStr">
        <is>
          <t>女</t>
        </is>
      </c>
      <c r="E444" t="inlineStr">
        <is>
          <t>456368046</t>
        </is>
      </c>
      <c r="F444" t="inlineStr">
        <is>
          <t>Raylaaa🎧</t>
        </is>
      </c>
      <c r="G444" t="inlineStr">
        <is>
          <t>广东 深圳 龙岗区</t>
        </is>
      </c>
      <c r="H444" t="inlineStr">
        <is>
          <t>学生</t>
        </is>
      </c>
      <c r="I444"/>
      <c r="J444">
        <v>11710</v>
      </c>
      <c r="K444" t="inlineStr">
        <is>
          <t>1.2</t>
        </is>
      </c>
      <c r="L444">
        <v>44108</v>
      </c>
      <c r="M444">
        <v>6567</v>
      </c>
      <c r="N444">
        <v>574</v>
      </c>
      <c r="O444">
        <v>500</v>
      </c>
      <c r="P444">
        <v>0</v>
      </c>
      <c r="Q444">
        <v>1</v>
      </c>
      <c r="R444">
        <v>0</v>
      </c>
      <c r="S444">
        <v>0</v>
      </c>
      <c r="T444">
        <v>0</v>
      </c>
      <c r="U444">
        <v>0</v>
      </c>
      <c r="V444">
        <v>500</v>
      </c>
      <c r="W444">
        <v>0</v>
      </c>
      <c r="X444">
        <v>0</v>
      </c>
      <c r="Y444">
        <v>0</v>
      </c>
      <c r="Z444">
        <v>0</v>
      </c>
      <c r="AA444">
        <v>44108</v>
      </c>
      <c r="AB444">
        <v>6567</v>
      </c>
      <c r="AC444">
        <v>537</v>
      </c>
      <c r="AD444">
        <v>1.65</v>
      </c>
      <c r="AE444">
        <v>1000</v>
      </c>
      <c r="AF444">
        <v>1</v>
      </c>
      <c r="AG444">
        <v>0</v>
      </c>
      <c r="AH444">
        <v>0.066</v>
      </c>
      <c r="AI444">
        <v>22.67</v>
      </c>
      <c r="AJ444">
        <v>1.74</v>
      </c>
      <c r="AK444">
        <v>0</v>
      </c>
      <c r="AL444">
        <v>0</v>
      </c>
      <c r="AM444">
        <v>0</v>
      </c>
      <c r="AN444">
        <v>0</v>
      </c>
      <c r="AO444">
        <v>0</v>
      </c>
      <c r="AP444">
        <v>0.792999999999999</v>
      </c>
      <c r="AQ444">
        <v>0.012</v>
      </c>
      <c r="AR444">
        <v>-0.001</v>
      </c>
      <c r="AS444" s="3">
        <v>46107.770474537036</v>
      </c>
    </row>
    <row r="445" ht="25.5" customHeight="1">
      <c r="A445" t="inlineStr">
        <is>
          <t>5b72a9566b58b7769e034b72</t>
        </is>
      </c>
      <c r="B445" s="2" t="str">
        <f>=HYPERLINK("https://www.xiaohongshu.com/user/profile/5b72a9566b58b7769e034b72", "https://www.xiaohongshu.com/user/profile/5b72a9566b58b7769e034b72")</f>
        <v>https://www.xiaohongshu.com/user/profile/5b72a9566b58b7769e034b72</v>
      </c>
      <c r="C445" s="2" t="str">
        <f>=HYPERLINK("https://pgy.xiaohongshu.com/solar/pre-trade/blogger-detail/5b72a9566b58b7769e034b72", "https://pgy.xiaohongshu.com/solar/pre-trade/blogger-detail/5b72a9566b58b7769e034b72")</f>
        <v>https://pgy.xiaohongshu.com/solar/pre-trade/blogger-detail/5b72a9566b58b7769e034b72</v>
      </c>
      <c r="D445" t="inlineStr">
        <is>
          <t>女</t>
        </is>
      </c>
      <c r="E445" t="inlineStr">
        <is>
          <t>609977782</t>
        </is>
      </c>
      <c r="F445" t="inlineStr">
        <is>
          <t>Fifi</t>
        </is>
      </c>
      <c r="G445" t="inlineStr">
        <is>
          <t>英国</t>
        </is>
      </c>
      <c r="H445" t="inlineStr">
        <is>
          <t>学生</t>
        </is>
      </c>
      <c r="I445" t="inlineStr">
        <is>
          <t>教育, 生活记录</t>
        </is>
      </c>
      <c r="J445">
        <v>10659</v>
      </c>
      <c r="K445" t="inlineStr">
        <is>
          <t>1.1</t>
        </is>
      </c>
      <c r="L445">
        <v>6481</v>
      </c>
      <c r="M445">
        <v>1088</v>
      </c>
      <c r="N445">
        <v>105</v>
      </c>
      <c r="O445">
        <v>1800</v>
      </c>
      <c r="P445">
        <v>0</v>
      </c>
      <c r="Q445">
        <v>0.111</v>
      </c>
      <c r="R445">
        <v>6466</v>
      </c>
      <c r="S445">
        <v>1037</v>
      </c>
      <c r="T445">
        <v>94</v>
      </c>
      <c r="U445">
        <v>2.02</v>
      </c>
      <c r="V445">
        <v>1800</v>
      </c>
      <c r="W445">
        <v>0.063</v>
      </c>
      <c r="X445">
        <v>0</v>
      </c>
      <c r="Y445">
        <v>273.64</v>
      </c>
      <c r="Z445">
        <v>17.65</v>
      </c>
      <c r="AA445">
        <v>12768</v>
      </c>
      <c r="AB445">
        <v>2141</v>
      </c>
      <c r="AC445">
        <v>154</v>
      </c>
      <c r="AD445">
        <v>2.81</v>
      </c>
      <c r="AE445">
        <v>2800</v>
      </c>
      <c r="AF445">
        <v>0.5</v>
      </c>
      <c r="AG445">
        <v>0</v>
      </c>
      <c r="AH445">
        <v>0.13</v>
      </c>
      <c r="AI445">
        <v>219.29</v>
      </c>
      <c r="AJ445">
        <v>16.47</v>
      </c>
      <c r="AK445">
        <v>25198</v>
      </c>
      <c r="AL445">
        <v>4037</v>
      </c>
      <c r="AM445">
        <v>142</v>
      </c>
      <c r="AN445">
        <v>0</v>
      </c>
      <c r="AO445">
        <v>0</v>
      </c>
      <c r="AP445">
        <v>0.795</v>
      </c>
      <c r="AQ445">
        <v>0.031</v>
      </c>
      <c r="AR445">
        <v>0.008</v>
      </c>
      <c r="AS445" s="3">
        <v>46107.770474537036</v>
      </c>
    </row>
    <row r="446" ht="25.5" customHeight="1">
      <c r="A446" t="inlineStr">
        <is>
          <t>60f15ce70000000001008d97</t>
        </is>
      </c>
      <c r="B446" s="2" t="str">
        <f>=HYPERLINK("https://www.xiaohongshu.com/user/profile/60f15ce70000000001008d97", "https://www.xiaohongshu.com/user/profile/60f15ce70000000001008d97")</f>
        <v>https://www.xiaohongshu.com/user/profile/60f15ce70000000001008d97</v>
      </c>
      <c r="C446" s="2" t="str">
        <f>=HYPERLINK("https://pgy.xiaohongshu.com/solar/pre-trade/blogger-detail/60f15ce70000000001008d97", "https://pgy.xiaohongshu.com/solar/pre-trade/blogger-detail/60f15ce70000000001008d97")</f>
        <v>https://pgy.xiaohongshu.com/solar/pre-trade/blogger-detail/60f15ce70000000001008d97</v>
      </c>
      <c r="D446" t="inlineStr">
        <is>
          <t>女</t>
        </is>
      </c>
      <c r="E446" t="inlineStr">
        <is>
          <t>6385116751</t>
        </is>
      </c>
      <c r="F446" t="inlineStr">
        <is>
          <t>尚巾</t>
        </is>
      </c>
      <c r="G446" t="inlineStr">
        <is>
          <t>北京</t>
        </is>
      </c>
      <c r="H446" t="inlineStr">
        <is>
          <t>学生</t>
        </is>
      </c>
      <c r="I446" t="inlineStr">
        <is>
          <t>美食</t>
        </is>
      </c>
      <c r="J446">
        <v>8138</v>
      </c>
      <c r="K446" t="inlineStr">
        <is>
          <t>0.8</t>
        </is>
      </c>
      <c r="L446">
        <v>2201</v>
      </c>
      <c r="M446">
        <v>217</v>
      </c>
      <c r="N446">
        <v>138</v>
      </c>
      <c r="O446">
        <v>640</v>
      </c>
      <c r="P446">
        <v>0</v>
      </c>
      <c r="Q446">
        <v>0.25</v>
      </c>
      <c r="R446">
        <v>1874</v>
      </c>
      <c r="S446">
        <v>212</v>
      </c>
      <c r="T446">
        <v>133</v>
      </c>
      <c r="U446">
        <v>3.31</v>
      </c>
      <c r="V446">
        <v>640</v>
      </c>
      <c r="W446">
        <v>0.332999999999999</v>
      </c>
      <c r="X446">
        <v>0</v>
      </c>
      <c r="Y446">
        <v>341.52</v>
      </c>
      <c r="Z446">
        <v>4.49</v>
      </c>
      <c r="AA446">
        <v>4672</v>
      </c>
      <c r="AB446">
        <v>718</v>
      </c>
      <c r="AC446">
        <v>129</v>
      </c>
      <c r="AD446">
        <v>3.31</v>
      </c>
      <c r="AE446">
        <v>1300</v>
      </c>
      <c r="AF446">
        <v>0</v>
      </c>
      <c r="AG446">
        <v>0</v>
      </c>
      <c r="AH446">
        <v>0.032</v>
      </c>
      <c r="AI446">
        <v>278.25</v>
      </c>
      <c r="AJ446">
        <v>9.39</v>
      </c>
      <c r="AK446">
        <v>92496</v>
      </c>
      <c r="AL446">
        <v>6367</v>
      </c>
      <c r="AM446">
        <v>96</v>
      </c>
      <c r="AN446">
        <v>0</v>
      </c>
      <c r="AO446">
        <v>0</v>
      </c>
      <c r="AP446">
        <v>0.713</v>
      </c>
      <c r="AQ446">
        <v>0.037</v>
      </c>
      <c r="AR446">
        <v>0.024</v>
      </c>
      <c r="AS446" s="3">
        <v>46107.770474537036</v>
      </c>
    </row>
    <row r="447" ht="25.5" customHeight="1">
      <c r="A447" t="inlineStr">
        <is>
          <t>5a76d4fce8ac2b2564503499</t>
        </is>
      </c>
      <c r="B447" s="2" t="str">
        <f>=HYPERLINK("https://www.xiaohongshu.com/user/profile/5a76d4fce8ac2b2564503499", "https://www.xiaohongshu.com/user/profile/5a76d4fce8ac2b2564503499")</f>
        <v>https://www.xiaohongshu.com/user/profile/5a76d4fce8ac2b2564503499</v>
      </c>
      <c r="C447" s="2" t="str">
        <f>=HYPERLINK("https://pgy.xiaohongshu.com/solar/pre-trade/blogger-detail/5a76d4fce8ac2b2564503499", "https://pgy.xiaohongshu.com/solar/pre-trade/blogger-detail/5a76d4fce8ac2b2564503499")</f>
        <v>https://pgy.xiaohongshu.com/solar/pre-trade/blogger-detail/5a76d4fce8ac2b2564503499</v>
      </c>
      <c r="D447" t="inlineStr">
        <is>
          <t>女</t>
        </is>
      </c>
      <c r="E447" t="inlineStr">
        <is>
          <t>499806314</t>
        </is>
      </c>
      <c r="F447" t="inlineStr">
        <is>
          <t>Kellyy</t>
        </is>
      </c>
      <c r="G447" t="inlineStr">
        <is>
          <t>韩国</t>
        </is>
      </c>
      <c r="H447" t="inlineStr">
        <is>
          <t>学生</t>
        </is>
      </c>
      <c r="I447" t="inlineStr">
        <is>
          <t>出行旅游, 生活记录</t>
        </is>
      </c>
      <c r="J447">
        <v>23562</v>
      </c>
      <c r="K447" t="inlineStr">
        <is>
          <t>2.4</t>
        </is>
      </c>
      <c r="L447">
        <v>21958</v>
      </c>
      <c r="M447">
        <v>4280</v>
      </c>
      <c r="N447">
        <v>531</v>
      </c>
      <c r="O447">
        <v>2000</v>
      </c>
      <c r="P447">
        <v>0</v>
      </c>
      <c r="Q447">
        <v>1</v>
      </c>
      <c r="R447">
        <v>0</v>
      </c>
      <c r="S447">
        <v>0</v>
      </c>
      <c r="T447">
        <v>0</v>
      </c>
      <c r="U447">
        <v>1.04</v>
      </c>
      <c r="V447">
        <v>2000</v>
      </c>
      <c r="W447">
        <v>0</v>
      </c>
      <c r="X447">
        <v>0</v>
      </c>
      <c r="Y447">
        <v>72.4</v>
      </c>
      <c r="Z447">
        <v>8.66</v>
      </c>
      <c r="AA447">
        <v>21958</v>
      </c>
      <c r="AB447">
        <v>4280</v>
      </c>
      <c r="AC447">
        <v>501</v>
      </c>
      <c r="AD447">
        <v>2.38</v>
      </c>
      <c r="AE447">
        <v>3800</v>
      </c>
      <c r="AF447">
        <v>1</v>
      </c>
      <c r="AG447">
        <v>0</v>
      </c>
      <c r="AH447">
        <v>0.138</v>
      </c>
      <c r="AI447">
        <v>169.99</v>
      </c>
      <c r="AJ447">
        <v>6.79</v>
      </c>
      <c r="AK447">
        <v>46137</v>
      </c>
      <c r="AL447">
        <v>5984</v>
      </c>
      <c r="AM447">
        <v>417</v>
      </c>
      <c r="AN447">
        <v>22</v>
      </c>
      <c r="AO447">
        <v>122.74</v>
      </c>
      <c r="AP447">
        <v>0.777</v>
      </c>
      <c r="AQ447">
        <v>0.068</v>
      </c>
      <c r="AR447">
        <v>0.039</v>
      </c>
      <c r="AS447" s="3">
        <v>46107.770474537036</v>
      </c>
    </row>
    <row r="448" ht="25.5" customHeight="1">
      <c r="A448" t="inlineStr">
        <is>
          <t>668f6d0c00000000030334c1</t>
        </is>
      </c>
      <c r="B448" s="2" t="str">
        <f>=HYPERLINK("https://www.xiaohongshu.com/user/profile/668f6d0c00000000030334c1", "https://www.xiaohongshu.com/user/profile/668f6d0c00000000030334c1")</f>
        <v>https://www.xiaohongshu.com/user/profile/668f6d0c00000000030334c1</v>
      </c>
      <c r="C448" s="2" t="str">
        <f>=HYPERLINK("https://pgy.xiaohongshu.com/solar/pre-trade/blogger-detail/668f6d0c00000000030334c1", "https://pgy.xiaohongshu.com/solar/pre-trade/blogger-detail/668f6d0c00000000030334c1")</f>
        <v>https://pgy.xiaohongshu.com/solar/pre-trade/blogger-detail/668f6d0c00000000030334c1</v>
      </c>
      <c r="D448" t="inlineStr">
        <is>
          <t>女</t>
        </is>
      </c>
      <c r="E448" t="inlineStr">
        <is>
          <t>26511069088</t>
        </is>
      </c>
      <c r="F448" t="inlineStr">
        <is>
          <t>圣女果战士</t>
        </is>
      </c>
      <c r="G448" t="inlineStr">
        <is>
          <t>广东 广州 番禺区</t>
        </is>
      </c>
      <c r="H448" t="inlineStr">
        <is>
          <t>学生</t>
        </is>
      </c>
      <c r="I448" t="inlineStr">
        <is>
          <t>职场, 教育</t>
        </is>
      </c>
      <c r="J448">
        <v>21580</v>
      </c>
      <c r="K448" t="inlineStr">
        <is>
          <t>2.2</t>
        </is>
      </c>
      <c r="L448">
        <v>9171</v>
      </c>
      <c r="M448">
        <v>1825</v>
      </c>
      <c r="N448">
        <v>242</v>
      </c>
      <c r="O448">
        <v>2500</v>
      </c>
      <c r="P448">
        <v>0</v>
      </c>
      <c r="Q448">
        <v>1</v>
      </c>
      <c r="R448">
        <v>18688</v>
      </c>
      <c r="S448">
        <v>4754</v>
      </c>
      <c r="T448">
        <v>257</v>
      </c>
      <c r="U448">
        <v>1.12</v>
      </c>
      <c r="V448">
        <v>2500</v>
      </c>
      <c r="W448">
        <v>1</v>
      </c>
      <c r="X448">
        <v>0</v>
      </c>
      <c r="Y448">
        <v>187.88</v>
      </c>
      <c r="Z448">
        <v>10.18</v>
      </c>
      <c r="AA448">
        <v>8042</v>
      </c>
      <c r="AB448">
        <v>1576</v>
      </c>
      <c r="AC448">
        <v>192</v>
      </c>
      <c r="AD448">
        <v>3.46</v>
      </c>
      <c r="AE448">
        <v>3000</v>
      </c>
      <c r="AF448">
        <v>1</v>
      </c>
      <c r="AG448">
        <v>0</v>
      </c>
      <c r="AH448">
        <v>0.075</v>
      </c>
      <c r="AI448">
        <v>350.26</v>
      </c>
      <c r="AJ448">
        <v>12.27</v>
      </c>
      <c r="AK448">
        <v>8506</v>
      </c>
      <c r="AL448">
        <v>1271</v>
      </c>
      <c r="AM448">
        <v>233</v>
      </c>
      <c r="AN448">
        <v>0</v>
      </c>
      <c r="AO448">
        <v>0</v>
      </c>
      <c r="AP448">
        <v>0.917999999999999</v>
      </c>
      <c r="AQ448">
        <v>0.016</v>
      </c>
      <c r="AR448">
        <v>0.002</v>
      </c>
      <c r="AS448" s="3">
        <v>46107.770474537036</v>
      </c>
    </row>
    <row r="449" ht="25.5" customHeight="1">
      <c r="A449" t="inlineStr">
        <is>
          <t>6772990f000000001801d85d</t>
        </is>
      </c>
      <c r="B449" s="2" t="str">
        <f>=HYPERLINK("https://www.xiaohongshu.com/user/profile/6772990f000000001801d85d", "https://www.xiaohongshu.com/user/profile/6772990f000000001801d85d")</f>
        <v>https://www.xiaohongshu.com/user/profile/6772990f000000001801d85d</v>
      </c>
      <c r="C449" s="2" t="str">
        <f>=HYPERLINK("https://pgy.xiaohongshu.com/solar/pre-trade/blogger-detail/6772990f000000001801d85d", "https://pgy.xiaohongshu.com/solar/pre-trade/blogger-detail/6772990f000000001801d85d")</f>
        <v>https://pgy.xiaohongshu.com/solar/pre-trade/blogger-detail/6772990f000000001801d85d</v>
      </c>
      <c r="D449" t="inlineStr">
        <is>
          <t>女</t>
        </is>
      </c>
      <c r="E449" t="inlineStr">
        <is>
          <t>11505281026</t>
        </is>
      </c>
      <c r="F449" t="inlineStr">
        <is>
          <t>猪猪蛇Skelly.</t>
        </is>
      </c>
      <c r="G449" t="inlineStr">
        <is>
          <t>北京</t>
        </is>
      </c>
      <c r="H449" t="inlineStr">
        <is>
          <t>考研过来人, 学生</t>
        </is>
      </c>
      <c r="I449" t="inlineStr">
        <is>
          <t>教育, 生活记录</t>
        </is>
      </c>
      <c r="J449">
        <v>4578</v>
      </c>
      <c r="K449" t="inlineStr">
        <is>
          <t>0.5</t>
        </is>
      </c>
      <c r="L449">
        <v>10652</v>
      </c>
      <c r="M449">
        <v>1885</v>
      </c>
      <c r="N449">
        <v>137</v>
      </c>
      <c r="O449">
        <v>800</v>
      </c>
      <c r="P449">
        <v>0</v>
      </c>
      <c r="Q449">
        <v>0.332999999999999</v>
      </c>
      <c r="R449">
        <v>9939</v>
      </c>
      <c r="S449">
        <v>1677</v>
      </c>
      <c r="T449">
        <v>80</v>
      </c>
      <c r="U449">
        <v>0.72</v>
      </c>
      <c r="V449">
        <v>800</v>
      </c>
      <c r="W449">
        <v>0.166999999999999</v>
      </c>
      <c r="X449">
        <v>0</v>
      </c>
      <c r="Y449">
        <v>75.1</v>
      </c>
      <c r="Z449">
        <v>7.92</v>
      </c>
      <c r="AA449">
        <v>13030</v>
      </c>
      <c r="AB449">
        <v>2249</v>
      </c>
      <c r="AC449">
        <v>183</v>
      </c>
      <c r="AD449">
        <v>2.17</v>
      </c>
      <c r="AE449">
        <v>1500</v>
      </c>
      <c r="AF449">
        <v>0.667</v>
      </c>
      <c r="AG449">
        <v>0</v>
      </c>
      <c r="AH449">
        <v>0.063</v>
      </c>
      <c r="AI449">
        <v>115.12</v>
      </c>
      <c r="AJ449">
        <v>7.73</v>
      </c>
      <c r="AK449">
        <v>75191</v>
      </c>
      <c r="AL449">
        <v>16410</v>
      </c>
      <c r="AM449">
        <v>810</v>
      </c>
      <c r="AN449">
        <v>0</v>
      </c>
      <c r="AO449">
        <v>0</v>
      </c>
      <c r="AP449">
        <v>0.914</v>
      </c>
      <c r="AQ449">
        <v>0.102</v>
      </c>
      <c r="AR449">
        <v>0.075</v>
      </c>
      <c r="AS449" s="3">
        <v>46107.770474537036</v>
      </c>
    </row>
    <row r="450" ht="25.5" customHeight="1">
      <c r="A450" t="inlineStr">
        <is>
          <t>5fd5a37e0000000001007f56</t>
        </is>
      </c>
      <c r="B450" s="2" t="str">
        <f>=HYPERLINK("https://www.xiaohongshu.com/user/profile/5fd5a37e0000000001007f56", "https://www.xiaohongshu.com/user/profile/5fd5a37e0000000001007f56")</f>
        <v>https://www.xiaohongshu.com/user/profile/5fd5a37e0000000001007f56</v>
      </c>
      <c r="C450" s="2" t="str">
        <f>=HYPERLINK("https://pgy.xiaohongshu.com/solar/pre-trade/blogger-detail/5fd5a37e0000000001007f56", "https://pgy.xiaohongshu.com/solar/pre-trade/blogger-detail/5fd5a37e0000000001007f56")</f>
        <v>https://pgy.xiaohongshu.com/solar/pre-trade/blogger-detail/5fd5a37e0000000001007f56</v>
      </c>
      <c r="D450" t="inlineStr">
        <is>
          <t>男</t>
        </is>
      </c>
      <c r="E450" t="inlineStr">
        <is>
          <t>1046721112</t>
        </is>
      </c>
      <c r="F450" t="inlineStr">
        <is>
          <t>与的英语世界</t>
        </is>
      </c>
      <c r="G450" t="inlineStr">
        <is>
          <t>广西 南宁 青秀区</t>
        </is>
      </c>
      <c r="H450"/>
      <c r="I450" t="inlineStr">
        <is>
          <t>影视综资讯, 教育</t>
        </is>
      </c>
      <c r="J450">
        <v>11080</v>
      </c>
      <c r="K450" t="inlineStr">
        <is>
          <t>1.1</t>
        </is>
      </c>
      <c r="L450">
        <v>12697</v>
      </c>
      <c r="M450">
        <v>2069</v>
      </c>
      <c r="N450">
        <v>150</v>
      </c>
      <c r="O450">
        <v>500</v>
      </c>
      <c r="P450">
        <v>0</v>
      </c>
      <c r="Q450">
        <v>0.25</v>
      </c>
      <c r="R450">
        <v>0</v>
      </c>
      <c r="S450">
        <v>0</v>
      </c>
      <c r="T450">
        <v>0</v>
      </c>
      <c r="U450">
        <v>0</v>
      </c>
      <c r="V450">
        <v>500</v>
      </c>
      <c r="W450">
        <v>0</v>
      </c>
      <c r="X450">
        <v>0</v>
      </c>
      <c r="Y450">
        <v>0</v>
      </c>
      <c r="Z450">
        <v>0</v>
      </c>
      <c r="AA450">
        <v>12697</v>
      </c>
      <c r="AB450">
        <v>2069</v>
      </c>
      <c r="AC450">
        <v>128</v>
      </c>
      <c r="AD450">
        <v>1.98</v>
      </c>
      <c r="AE450">
        <v>1000</v>
      </c>
      <c r="AF450">
        <v>0.25</v>
      </c>
      <c r="AG450">
        <v>0</v>
      </c>
      <c r="AH450">
        <v>0.155</v>
      </c>
      <c r="AI450">
        <v>78.76</v>
      </c>
      <c r="AJ450">
        <v>6.64</v>
      </c>
      <c r="AK450">
        <v>0</v>
      </c>
      <c r="AL450">
        <v>0</v>
      </c>
      <c r="AM450">
        <v>0</v>
      </c>
      <c r="AN450">
        <v>0</v>
      </c>
      <c r="AO450">
        <v>0</v>
      </c>
      <c r="AP450">
        <v>0.973</v>
      </c>
      <c r="AQ450">
        <v>0.0579999999999999</v>
      </c>
      <c r="AR450">
        <v>0.127</v>
      </c>
      <c r="AS450" s="3">
        <v>46107.770474537036</v>
      </c>
    </row>
    <row r="451" ht="25.5" customHeight="1">
      <c r="A451" t="inlineStr">
        <is>
          <t>5f81b9bd000000000101d64d</t>
        </is>
      </c>
      <c r="B451" s="2" t="str">
        <f>=HYPERLINK("https://www.xiaohongshu.com/user/profile/5f81b9bd000000000101d64d", "https://www.xiaohongshu.com/user/profile/5f81b9bd000000000101d64d")</f>
        <v>https://www.xiaohongshu.com/user/profile/5f81b9bd000000000101d64d</v>
      </c>
      <c r="C451" s="2" t="str">
        <f>=HYPERLINK("https://pgy.xiaohongshu.com/solar/pre-trade/blogger-detail/5f81b9bd000000000101d64d", "https://pgy.xiaohongshu.com/solar/pre-trade/blogger-detail/5f81b9bd000000000101d64d")</f>
        <v>https://pgy.xiaohongshu.com/solar/pre-trade/blogger-detail/5f81b9bd000000000101d64d</v>
      </c>
      <c r="D451" t="inlineStr">
        <is>
          <t>女</t>
        </is>
      </c>
      <c r="E451" t="inlineStr">
        <is>
          <t>1001755482</t>
        </is>
      </c>
      <c r="F451" t="inlineStr">
        <is>
          <t>教发音的Mia老师</t>
        </is>
      </c>
      <c r="G451" t="inlineStr">
        <is>
          <t>广东 深圳 龙岗区</t>
        </is>
      </c>
      <c r="H451"/>
      <c r="I451" t="inlineStr">
        <is>
          <t>教育</t>
        </is>
      </c>
      <c r="J451">
        <v>14856</v>
      </c>
      <c r="K451" t="inlineStr">
        <is>
          <t>1.5</t>
        </is>
      </c>
      <c r="L451">
        <v>12981</v>
      </c>
      <c r="M451">
        <v>3139</v>
      </c>
      <c r="N451">
        <v>268</v>
      </c>
      <c r="O451">
        <v>600</v>
      </c>
      <c r="P451">
        <v>0.222</v>
      </c>
      <c r="Q451">
        <v>0.444</v>
      </c>
      <c r="R451">
        <v>0</v>
      </c>
      <c r="S451">
        <v>0</v>
      </c>
      <c r="T451">
        <v>0</v>
      </c>
      <c r="U451">
        <v>0</v>
      </c>
      <c r="V451">
        <v>600</v>
      </c>
      <c r="W451">
        <v>0</v>
      </c>
      <c r="X451">
        <v>0</v>
      </c>
      <c r="Y451">
        <v>0</v>
      </c>
      <c r="Z451">
        <v>0</v>
      </c>
      <c r="AA451">
        <v>12981</v>
      </c>
      <c r="AB451">
        <v>3139</v>
      </c>
      <c r="AC451">
        <v>195</v>
      </c>
      <c r="AD451">
        <v>1.75</v>
      </c>
      <c r="AE451">
        <v>800</v>
      </c>
      <c r="AF451">
        <v>0.444</v>
      </c>
      <c r="AG451">
        <v>0.222</v>
      </c>
      <c r="AH451">
        <v>0.039</v>
      </c>
      <c r="AI451">
        <v>61.63</v>
      </c>
      <c r="AJ451">
        <v>2.99</v>
      </c>
      <c r="AK451">
        <v>0</v>
      </c>
      <c r="AL451">
        <v>0</v>
      </c>
      <c r="AM451">
        <v>0</v>
      </c>
      <c r="AN451">
        <v>0</v>
      </c>
      <c r="AO451">
        <v>0</v>
      </c>
      <c r="AP451">
        <v>0.99</v>
      </c>
      <c r="AQ451">
        <v>0.258</v>
      </c>
      <c r="AR451">
        <v>1.225</v>
      </c>
      <c r="AS451" s="3">
        <v>46107.770474537036</v>
      </c>
    </row>
    <row r="452" ht="25.5" customHeight="1">
      <c r="A452" t="inlineStr">
        <is>
          <t>599d05aa5e87e77c3608afb7</t>
        </is>
      </c>
      <c r="B452" s="2" t="str">
        <f>=HYPERLINK("https://www.xiaohongshu.com/user/profile/599d05aa5e87e77c3608afb7", "https://www.xiaohongshu.com/user/profile/599d05aa5e87e77c3608afb7")</f>
        <v>https://www.xiaohongshu.com/user/profile/599d05aa5e87e77c3608afb7</v>
      </c>
      <c r="C452" s="2" t="str">
        <f>=HYPERLINK("https://pgy.xiaohongshu.com/solar/pre-trade/blogger-detail/599d05aa5e87e77c3608afb7", "https://pgy.xiaohongshu.com/solar/pre-trade/blogger-detail/599d05aa5e87e77c3608afb7")</f>
        <v>https://pgy.xiaohongshu.com/solar/pre-trade/blogger-detail/599d05aa5e87e77c3608afb7</v>
      </c>
      <c r="D452" t="inlineStr">
        <is>
          <t>女</t>
        </is>
      </c>
      <c r="E452" t="inlineStr">
        <is>
          <t>747505394</t>
        </is>
      </c>
      <c r="F452" t="inlineStr">
        <is>
          <t>加热清酒</t>
        </is>
      </c>
      <c r="G452" t="inlineStr">
        <is>
          <t>湖南 长沙 岳麓区</t>
        </is>
      </c>
      <c r="H452"/>
      <c r="I452" t="inlineStr">
        <is>
          <t>教育</t>
        </is>
      </c>
      <c r="J452">
        <v>23848</v>
      </c>
      <c r="K452" t="inlineStr">
        <is>
          <t>2.4</t>
        </is>
      </c>
      <c r="L452">
        <v>5901</v>
      </c>
      <c r="M452">
        <v>1501</v>
      </c>
      <c r="N452">
        <v>127</v>
      </c>
      <c r="O452">
        <v>317</v>
      </c>
      <c r="P452">
        <v>0</v>
      </c>
      <c r="Q452">
        <v>0.391</v>
      </c>
      <c r="R452">
        <v>0</v>
      </c>
      <c r="S452">
        <v>0</v>
      </c>
      <c r="T452">
        <v>0</v>
      </c>
      <c r="U452">
        <v>0</v>
      </c>
      <c r="V452">
        <v>317</v>
      </c>
      <c r="W452">
        <v>0</v>
      </c>
      <c r="X452">
        <v>0</v>
      </c>
      <c r="Y452">
        <v>0</v>
      </c>
      <c r="Z452">
        <v>0</v>
      </c>
      <c r="AA452">
        <v>5901</v>
      </c>
      <c r="AB452">
        <v>1501</v>
      </c>
      <c r="AC452">
        <v>113</v>
      </c>
      <c r="AD452">
        <v>1.85</v>
      </c>
      <c r="AE452">
        <v>529</v>
      </c>
      <c r="AF452">
        <v>0.391</v>
      </c>
      <c r="AG452">
        <v>0</v>
      </c>
      <c r="AH452">
        <v>0.264</v>
      </c>
      <c r="AI452">
        <v>89.65</v>
      </c>
      <c r="AJ452">
        <v>4.17</v>
      </c>
      <c r="AK452">
        <v>0</v>
      </c>
      <c r="AL452">
        <v>0</v>
      </c>
      <c r="AM452">
        <v>0</v>
      </c>
      <c r="AN452">
        <v>0</v>
      </c>
      <c r="AO452">
        <v>0</v>
      </c>
      <c r="AP452">
        <v>0.922</v>
      </c>
      <c r="AQ452">
        <v>0.047</v>
      </c>
      <c r="AR452">
        <v>0.068</v>
      </c>
      <c r="AS452" s="3">
        <v>46107.770474537036</v>
      </c>
    </row>
    <row r="453" ht="25.5" customHeight="1">
      <c r="A453" t="inlineStr">
        <is>
          <t>643be0ab0000000014012730</t>
        </is>
      </c>
      <c r="B453" s="2" t="str">
        <f>=HYPERLINK("https://www.xiaohongshu.com/user/profile/643be0ab0000000014012730", "https://www.xiaohongshu.com/user/profile/643be0ab0000000014012730")</f>
        <v>https://www.xiaohongshu.com/user/profile/643be0ab0000000014012730</v>
      </c>
      <c r="C453" s="2" t="str">
        <f>=HYPERLINK("https://pgy.xiaohongshu.com/solar/pre-trade/blogger-detail/643be0ab0000000014012730", "https://pgy.xiaohongshu.com/solar/pre-trade/blogger-detail/643be0ab0000000014012730")</f>
        <v>https://pgy.xiaohongshu.com/solar/pre-trade/blogger-detail/643be0ab0000000014012730</v>
      </c>
      <c r="D453" t="inlineStr">
        <is>
          <t>女</t>
        </is>
      </c>
      <c r="E453" t="inlineStr">
        <is>
          <t>5560765649</t>
        </is>
      </c>
      <c r="F453" t="inlineStr">
        <is>
          <t>慢享英语</t>
        </is>
      </c>
      <c r="G453" t="inlineStr">
        <is>
          <t>北京</t>
        </is>
      </c>
      <c r="H453"/>
      <c r="I453" t="inlineStr">
        <is>
          <t>教育</t>
        </is>
      </c>
      <c r="J453">
        <v>4024</v>
      </c>
      <c r="K453" t="inlineStr">
        <is>
          <t>0.4</t>
        </is>
      </c>
      <c r="L453">
        <v>5872</v>
      </c>
      <c r="M453">
        <v>1447</v>
      </c>
      <c r="N453">
        <v>119</v>
      </c>
      <c r="O453">
        <v>1000</v>
      </c>
      <c r="P453">
        <v>0</v>
      </c>
      <c r="Q453">
        <v>0.24</v>
      </c>
      <c r="R453">
        <v>0</v>
      </c>
      <c r="S453">
        <v>0</v>
      </c>
      <c r="T453">
        <v>0</v>
      </c>
      <c r="U453">
        <v>0</v>
      </c>
      <c r="V453">
        <v>1000</v>
      </c>
      <c r="W453">
        <v>0</v>
      </c>
      <c r="X453">
        <v>0</v>
      </c>
      <c r="Y453">
        <v>0</v>
      </c>
      <c r="Z453">
        <v>0</v>
      </c>
      <c r="AA453">
        <v>5872</v>
      </c>
      <c r="AB453">
        <v>1447</v>
      </c>
      <c r="AC453">
        <v>89</v>
      </c>
      <c r="AD453">
        <v>2.88</v>
      </c>
      <c r="AE453">
        <v>2000</v>
      </c>
      <c r="AF453">
        <v>0.24</v>
      </c>
      <c r="AG453">
        <v>0</v>
      </c>
      <c r="AH453">
        <v>0.345</v>
      </c>
      <c r="AI453">
        <v>340.6</v>
      </c>
      <c r="AJ453">
        <v>16.81</v>
      </c>
      <c r="AK453">
        <v>0</v>
      </c>
      <c r="AL453">
        <v>0</v>
      </c>
      <c r="AM453">
        <v>0</v>
      </c>
      <c r="AN453">
        <v>0</v>
      </c>
      <c r="AO453">
        <v>0</v>
      </c>
      <c r="AP453">
        <v>1</v>
      </c>
      <c r="AQ453">
        <v>0.319</v>
      </c>
      <c r="AR453">
        <v>0</v>
      </c>
      <c r="AS453" s="3">
        <v>46107.770474537036</v>
      </c>
    </row>
    <row r="454" ht="25.5" customHeight="1">
      <c r="A454" t="inlineStr">
        <is>
          <t>5b657b6f11be106e90344e9d</t>
        </is>
      </c>
      <c r="B454" s="2" t="str">
        <f>=HYPERLINK("https://www.xiaohongshu.com/user/profile/5b657b6f11be106e90344e9d", "https://www.xiaohongshu.com/user/profile/5b657b6f11be106e90344e9d")</f>
        <v>https://www.xiaohongshu.com/user/profile/5b657b6f11be106e90344e9d</v>
      </c>
      <c r="C454" s="2" t="str">
        <f>=HYPERLINK("https://pgy.xiaohongshu.com/solar/pre-trade/blogger-detail/5b657b6f11be106e90344e9d", "https://pgy.xiaohongshu.com/solar/pre-trade/blogger-detail/5b657b6f11be106e90344e9d")</f>
        <v>https://pgy.xiaohongshu.com/solar/pre-trade/blogger-detail/5b657b6f11be106e90344e9d</v>
      </c>
      <c r="D454" t="inlineStr">
        <is>
          <t>女</t>
        </is>
      </c>
      <c r="E454" t="inlineStr">
        <is>
          <t>zjl20040129</t>
        </is>
      </c>
      <c r="F454" t="inlineStr">
        <is>
          <t>卤蛋超人</t>
        </is>
      </c>
      <c r="G454" t="inlineStr">
        <is>
          <t>浙江 湖州 吴兴区</t>
        </is>
      </c>
      <c r="H454" t="inlineStr">
        <is>
          <t>学生</t>
        </is>
      </c>
      <c r="I454" t="inlineStr">
        <is>
          <t>兴趣爱好</t>
        </is>
      </c>
      <c r="J454">
        <v>9399</v>
      </c>
      <c r="K454" t="inlineStr">
        <is>
          <t>0.9</t>
        </is>
      </c>
      <c r="L454">
        <v>9775</v>
      </c>
      <c r="M454">
        <v>2696</v>
      </c>
      <c r="N454">
        <v>323</v>
      </c>
      <c r="O454">
        <v>225</v>
      </c>
      <c r="P454">
        <v>0.235</v>
      </c>
      <c r="Q454">
        <v>0.824</v>
      </c>
      <c r="R454">
        <v>0</v>
      </c>
      <c r="S454">
        <v>0</v>
      </c>
      <c r="T454">
        <v>0</v>
      </c>
      <c r="U454">
        <v>0</v>
      </c>
      <c r="V454">
        <v>225</v>
      </c>
      <c r="W454">
        <v>0</v>
      </c>
      <c r="X454">
        <v>0</v>
      </c>
      <c r="Y454">
        <v>0</v>
      </c>
      <c r="Z454">
        <v>0</v>
      </c>
      <c r="AA454">
        <v>9775</v>
      </c>
      <c r="AB454">
        <v>2696</v>
      </c>
      <c r="AC454">
        <v>309</v>
      </c>
      <c r="AD454">
        <v>1.69</v>
      </c>
      <c r="AE454">
        <v>500</v>
      </c>
      <c r="AF454">
        <v>0.824</v>
      </c>
      <c r="AG454">
        <v>0.235</v>
      </c>
      <c r="AH454">
        <v>0.131</v>
      </c>
      <c r="AI454">
        <v>53.55</v>
      </c>
      <c r="AJ454">
        <v>2.66</v>
      </c>
      <c r="AK454">
        <v>3714</v>
      </c>
      <c r="AL454">
        <v>896</v>
      </c>
      <c r="AM454">
        <v>58</v>
      </c>
      <c r="AN454">
        <v>0</v>
      </c>
      <c r="AO454">
        <v>0</v>
      </c>
      <c r="AP454">
        <v>0.887</v>
      </c>
      <c r="AQ454">
        <v>0.192</v>
      </c>
      <c r="AR454">
        <v>0.141</v>
      </c>
      <c r="AS454" s="3">
        <v>46107.770474537036</v>
      </c>
    </row>
    <row r="455" ht="25.5" customHeight="1">
      <c r="A455" t="inlineStr">
        <is>
          <t>5e1b228200000000010044b8</t>
        </is>
      </c>
      <c r="B455" s="2" t="str">
        <f>=HYPERLINK("https://www.xiaohongshu.com/user/profile/5e1b228200000000010044b8", "https://www.xiaohongshu.com/user/profile/5e1b228200000000010044b8")</f>
        <v>https://www.xiaohongshu.com/user/profile/5e1b228200000000010044b8</v>
      </c>
      <c r="C455" s="2" t="str">
        <f>=HYPERLINK("https://pgy.xiaohongshu.com/solar/pre-trade/blogger-detail/5e1b228200000000010044b8", "https://pgy.xiaohongshu.com/solar/pre-trade/blogger-detail/5e1b228200000000010044b8")</f>
        <v>https://pgy.xiaohongshu.com/solar/pre-trade/blogger-detail/5e1b228200000000010044b8</v>
      </c>
      <c r="D455" t="inlineStr">
        <is>
          <t>女</t>
        </is>
      </c>
      <c r="E455" t="inlineStr">
        <is>
          <t>ying031016</t>
        </is>
      </c>
      <c r="F455" t="inlineStr">
        <is>
          <t>莹莹子～</t>
        </is>
      </c>
      <c r="G455" t="inlineStr">
        <is>
          <t>日本</t>
        </is>
      </c>
      <c r="H455"/>
      <c r="I455" t="inlineStr">
        <is>
          <t>教育, 生活记录</t>
        </is>
      </c>
      <c r="J455">
        <v>12130</v>
      </c>
      <c r="K455" t="inlineStr">
        <is>
          <t>1.2</t>
        </is>
      </c>
      <c r="L455">
        <v>5430</v>
      </c>
      <c r="M455">
        <v>2491</v>
      </c>
      <c r="N455">
        <v>488</v>
      </c>
      <c r="O455">
        <v>600</v>
      </c>
      <c r="P455">
        <v>0.166999999999999</v>
      </c>
      <c r="Q455">
        <v>0.833</v>
      </c>
      <c r="R455">
        <v>0</v>
      </c>
      <c r="S455">
        <v>0</v>
      </c>
      <c r="T455">
        <v>0</v>
      </c>
      <c r="U455">
        <v>0</v>
      </c>
      <c r="V455">
        <v>600</v>
      </c>
      <c r="W455">
        <v>0</v>
      </c>
      <c r="X455">
        <v>0</v>
      </c>
      <c r="Y455">
        <v>0</v>
      </c>
      <c r="Z455">
        <v>0</v>
      </c>
      <c r="AA455">
        <v>5430</v>
      </c>
      <c r="AB455">
        <v>2491</v>
      </c>
      <c r="AC455">
        <v>415</v>
      </c>
      <c r="AD455">
        <v>1.78</v>
      </c>
      <c r="AE455">
        <v>800</v>
      </c>
      <c r="AF455">
        <v>0.833</v>
      </c>
      <c r="AG455">
        <v>0.166999999999999</v>
      </c>
      <c r="AH455">
        <v>0.103</v>
      </c>
      <c r="AI455">
        <v>144.14</v>
      </c>
      <c r="AJ455">
        <v>1.11</v>
      </c>
      <c r="AK455">
        <v>29593</v>
      </c>
      <c r="AL455">
        <v>5645</v>
      </c>
      <c r="AM455">
        <v>1754</v>
      </c>
      <c r="AN455">
        <v>0</v>
      </c>
      <c r="AO455">
        <v>0</v>
      </c>
      <c r="AP455">
        <v>0.864</v>
      </c>
      <c r="AQ455">
        <v>0.089</v>
      </c>
      <c r="AR455">
        <v>0.133</v>
      </c>
      <c r="AS455" s="3">
        <v>46107.770474537036</v>
      </c>
    </row>
    <row r="456" ht="25.5" customHeight="1">
      <c r="A456" t="inlineStr">
        <is>
          <t>60f4eaa40000000001004a1b</t>
        </is>
      </c>
      <c r="B456" s="2" t="str">
        <f>=HYPERLINK("https://www.xiaohongshu.com/user/profile/60f4eaa40000000001004a1b", "https://www.xiaohongshu.com/user/profile/60f4eaa40000000001004a1b")</f>
        <v>https://www.xiaohongshu.com/user/profile/60f4eaa40000000001004a1b</v>
      </c>
      <c r="C456" s="2" t="str">
        <f>=HYPERLINK("https://pgy.xiaohongshu.com/solar/pre-trade/blogger-detail/60f4eaa40000000001004a1b", "https://pgy.xiaohongshu.com/solar/pre-trade/blogger-detail/60f4eaa40000000001004a1b")</f>
        <v>https://pgy.xiaohongshu.com/solar/pre-trade/blogger-detail/60f4eaa40000000001004a1b</v>
      </c>
      <c r="D456" t="inlineStr">
        <is>
          <t>女</t>
        </is>
      </c>
      <c r="E456" t="inlineStr">
        <is>
          <t>9500274023</t>
        </is>
      </c>
      <c r="F456" t="inlineStr">
        <is>
          <t>哎呦喂不想学生物</t>
        </is>
      </c>
      <c r="G456" t="inlineStr">
        <is>
          <t>安徽 合肥 蜀山区</t>
        </is>
      </c>
      <c r="H456" t="inlineStr">
        <is>
          <t>考研过来人, 学生</t>
        </is>
      </c>
      <c r="I456" t="inlineStr">
        <is>
          <t>教育</t>
        </is>
      </c>
      <c r="J456">
        <v>1020</v>
      </c>
      <c r="K456" t="inlineStr">
        <is>
          <t>0.1</t>
        </is>
      </c>
      <c r="L456">
        <v>23441</v>
      </c>
      <c r="M456">
        <v>2950</v>
      </c>
      <c r="N456">
        <v>245</v>
      </c>
      <c r="O456">
        <v>199</v>
      </c>
      <c r="P456">
        <v>0</v>
      </c>
      <c r="Q456">
        <v>1</v>
      </c>
      <c r="R456">
        <v>23441</v>
      </c>
      <c r="S456">
        <v>2950</v>
      </c>
      <c r="T456">
        <v>232</v>
      </c>
      <c r="U456">
        <v>0.45</v>
      </c>
      <c r="V456">
        <v>235</v>
      </c>
      <c r="W456">
        <v>1</v>
      </c>
      <c r="X456">
        <v>0</v>
      </c>
      <c r="Y456">
        <v>22.85</v>
      </c>
      <c r="Z456">
        <v>1.81</v>
      </c>
      <c r="AA456">
        <v>0</v>
      </c>
      <c r="AB456">
        <v>0</v>
      </c>
      <c r="AC456">
        <v>0</v>
      </c>
      <c r="AD456">
        <v>0</v>
      </c>
      <c r="AE456">
        <v>199</v>
      </c>
      <c r="AF456">
        <v>0</v>
      </c>
      <c r="AG456">
        <v>0</v>
      </c>
      <c r="AH456">
        <v>0</v>
      </c>
      <c r="AI456">
        <v>0</v>
      </c>
      <c r="AJ456">
        <v>0</v>
      </c>
      <c r="AK456">
        <v>1774</v>
      </c>
      <c r="AL456">
        <v>168</v>
      </c>
      <c r="AM456">
        <v>9</v>
      </c>
      <c r="AN456">
        <v>0</v>
      </c>
      <c r="AO456">
        <v>0</v>
      </c>
      <c r="AP456">
        <v>0.898</v>
      </c>
      <c r="AQ456">
        <v>0.051</v>
      </c>
      <c r="AR456">
        <v>0</v>
      </c>
      <c r="AS456" s="3">
        <v>46107.770474537036</v>
      </c>
    </row>
    <row r="457" ht="25.5" customHeight="1">
      <c r="A457" t="inlineStr">
        <is>
          <t>53f9e57ab4c4d60629830fb3</t>
        </is>
      </c>
      <c r="B457" s="2" t="str">
        <f>=HYPERLINK("https://www.xiaohongshu.com/user/profile/53f9e57ab4c4d60629830fb3", "https://www.xiaohongshu.com/user/profile/53f9e57ab4c4d60629830fb3")</f>
        <v>https://www.xiaohongshu.com/user/profile/53f9e57ab4c4d60629830fb3</v>
      </c>
      <c r="C457" s="2" t="str">
        <f>=HYPERLINK("https://pgy.xiaohongshu.com/solar/pre-trade/blogger-detail/53f9e57ab4c4d60629830fb3", "https://pgy.xiaohongshu.com/solar/pre-trade/blogger-detail/53f9e57ab4c4d60629830fb3")</f>
        <v>https://pgy.xiaohongshu.com/solar/pre-trade/blogger-detail/53f9e57ab4c4d60629830fb3</v>
      </c>
      <c r="D457" t="inlineStr">
        <is>
          <t>女</t>
        </is>
      </c>
      <c r="E457" t="inlineStr">
        <is>
          <t>Shanilalala</t>
        </is>
      </c>
      <c r="F457" t="inlineStr">
        <is>
          <t>卢爽爽爽</t>
        </is>
      </c>
      <c r="G457" t="inlineStr">
        <is>
          <t>德国</t>
        </is>
      </c>
      <c r="H457" t="inlineStr">
        <is>
          <t>留学背景, 海外华人</t>
        </is>
      </c>
      <c r="I457" t="inlineStr">
        <is>
          <t>美食, 生活记录</t>
        </is>
      </c>
      <c r="J457">
        <v>14036</v>
      </c>
      <c r="K457" t="inlineStr">
        <is>
          <t>1.4</t>
        </is>
      </c>
      <c r="L457">
        <v>28629</v>
      </c>
      <c r="M457">
        <v>10132</v>
      </c>
      <c r="N457">
        <v>297</v>
      </c>
      <c r="O457">
        <v>2164</v>
      </c>
      <c r="P457">
        <v>0</v>
      </c>
      <c r="Q457">
        <v>0.848</v>
      </c>
      <c r="R457">
        <v>21141</v>
      </c>
      <c r="S457">
        <v>3499</v>
      </c>
      <c r="T457">
        <v>149</v>
      </c>
      <c r="U457">
        <v>0.85</v>
      </c>
      <c r="V457">
        <v>2164</v>
      </c>
      <c r="W457">
        <v>0</v>
      </c>
      <c r="X457">
        <v>0</v>
      </c>
      <c r="Y457">
        <v>101.21</v>
      </c>
      <c r="Z457">
        <v>13.96</v>
      </c>
      <c r="AA457">
        <v>29655</v>
      </c>
      <c r="AB457">
        <v>10182</v>
      </c>
      <c r="AC457">
        <v>230</v>
      </c>
      <c r="AD457">
        <v>1.82</v>
      </c>
      <c r="AE457">
        <v>3213</v>
      </c>
      <c r="AF457">
        <v>0.875</v>
      </c>
      <c r="AG457">
        <v>0</v>
      </c>
      <c r="AH457">
        <v>0.398999999999999</v>
      </c>
      <c r="AI457">
        <v>108.34</v>
      </c>
      <c r="AJ457">
        <v>10.8</v>
      </c>
      <c r="AK457">
        <v>21621</v>
      </c>
      <c r="AL457">
        <v>4395</v>
      </c>
      <c r="AM457">
        <v>138</v>
      </c>
      <c r="AN457">
        <v>0</v>
      </c>
      <c r="AO457">
        <v>0</v>
      </c>
      <c r="AP457">
        <v>0.863</v>
      </c>
      <c r="AQ457">
        <v>0.088</v>
      </c>
      <c r="AR457">
        <v>0.044</v>
      </c>
      <c r="AS457" s="3">
        <v>46107.770474537036</v>
      </c>
    </row>
    <row r="458" ht="25.5" customHeight="1">
      <c r="A458" t="inlineStr">
        <is>
          <t>6093e8ff000000000100754d</t>
        </is>
      </c>
      <c r="B458" s="2" t="str">
        <f>=HYPERLINK("https://www.xiaohongshu.com/user/profile/6093e8ff000000000100754d", "https://www.xiaohongshu.com/user/profile/6093e8ff000000000100754d")</f>
        <v>https://www.xiaohongshu.com/user/profile/6093e8ff000000000100754d</v>
      </c>
      <c r="C458" s="2" t="str">
        <f>=HYPERLINK("https://pgy.xiaohongshu.com/solar/pre-trade/blogger-detail/6093e8ff000000000100754d", "https://pgy.xiaohongshu.com/solar/pre-trade/blogger-detail/6093e8ff000000000100754d")</f>
        <v>https://pgy.xiaohongshu.com/solar/pre-trade/blogger-detail/6093e8ff000000000100754d</v>
      </c>
      <c r="D458" t="inlineStr">
        <is>
          <t>女</t>
        </is>
      </c>
      <c r="E458" t="inlineStr">
        <is>
          <t>1146700042</t>
        </is>
      </c>
      <c r="F458" t="inlineStr">
        <is>
          <t>山竹同学</t>
        </is>
      </c>
      <c r="G458" t="inlineStr">
        <is>
          <t>新疆 乌鲁木齐 米东区</t>
        </is>
      </c>
      <c r="H458"/>
      <c r="I458" t="inlineStr">
        <is>
          <t>教育</t>
        </is>
      </c>
      <c r="J458">
        <v>2420</v>
      </c>
      <c r="K458" t="inlineStr">
        <is>
          <t>0.2</t>
        </is>
      </c>
      <c r="L458">
        <v>3005</v>
      </c>
      <c r="M458">
        <v>517</v>
      </c>
      <c r="N458">
        <v>117</v>
      </c>
      <c r="O458">
        <v>400</v>
      </c>
      <c r="P458">
        <v>0</v>
      </c>
      <c r="Q458">
        <v>0.4</v>
      </c>
      <c r="R458">
        <v>4404</v>
      </c>
      <c r="S458">
        <v>517</v>
      </c>
      <c r="T458">
        <v>39</v>
      </c>
      <c r="U458">
        <v>1.07</v>
      </c>
      <c r="V458">
        <v>400</v>
      </c>
      <c r="W458">
        <v>0</v>
      </c>
      <c r="X458">
        <v>0</v>
      </c>
      <c r="Y458">
        <v>90.83</v>
      </c>
      <c r="Z458">
        <v>7.55</v>
      </c>
      <c r="AA458">
        <v>2966</v>
      </c>
      <c r="AB458">
        <v>934</v>
      </c>
      <c r="AC458">
        <v>177</v>
      </c>
      <c r="AD458">
        <v>2.18</v>
      </c>
      <c r="AE458">
        <v>600</v>
      </c>
      <c r="AF458">
        <v>0.5</v>
      </c>
      <c r="AG458">
        <v>0</v>
      </c>
      <c r="AH458">
        <v>0.032</v>
      </c>
      <c r="AI458">
        <v>202.26</v>
      </c>
      <c r="AJ458">
        <v>3.28</v>
      </c>
      <c r="AK458">
        <v>15121</v>
      </c>
      <c r="AL458">
        <v>869</v>
      </c>
      <c r="AM458">
        <v>442</v>
      </c>
      <c r="AN458">
        <v>0</v>
      </c>
      <c r="AO458">
        <v>0</v>
      </c>
      <c r="AP458">
        <v>0.807999999999999</v>
      </c>
      <c r="AQ458">
        <v>0.024</v>
      </c>
      <c r="AR458">
        <v>0.01</v>
      </c>
      <c r="AS458" s="3">
        <v>46107.770474537036</v>
      </c>
    </row>
    <row r="459" ht="25.5" customHeight="1">
      <c r="A459" t="inlineStr">
        <is>
          <t>65385c3100000000060062a1</t>
        </is>
      </c>
      <c r="B459" s="2" t="str">
        <f>=HYPERLINK("https://www.xiaohongshu.com/user/profile/65385c3100000000060062a1", "https://www.xiaohongshu.com/user/profile/65385c3100000000060062a1")</f>
        <v>https://www.xiaohongshu.com/user/profile/65385c3100000000060062a1</v>
      </c>
      <c r="C459" s="2" t="str">
        <f>=HYPERLINK("https://pgy.xiaohongshu.com/solar/pre-trade/blogger-detail/65385c3100000000060062a1", "https://pgy.xiaohongshu.com/solar/pre-trade/blogger-detail/65385c3100000000060062a1")</f>
        <v>https://pgy.xiaohongshu.com/solar/pre-trade/blogger-detail/65385c3100000000060062a1</v>
      </c>
      <c r="D459" t="inlineStr">
        <is>
          <t>男</t>
        </is>
      </c>
      <c r="E459" t="inlineStr">
        <is>
          <t>User_LC001</t>
        </is>
      </c>
      <c r="F459" t="inlineStr">
        <is>
          <t>高数Econ</t>
        </is>
      </c>
      <c r="G459" t="inlineStr">
        <is>
          <t>云南 昆明 五华区</t>
        </is>
      </c>
      <c r="H459"/>
      <c r="I459" t="inlineStr">
        <is>
          <t>教育</t>
        </is>
      </c>
      <c r="J459">
        <v>8061</v>
      </c>
      <c r="K459" t="inlineStr">
        <is>
          <t>0.8</t>
        </is>
      </c>
      <c r="L459">
        <v>63421</v>
      </c>
      <c r="M459">
        <v>10103</v>
      </c>
      <c r="N459">
        <v>1903</v>
      </c>
      <c r="O459">
        <v>500</v>
      </c>
      <c r="P459">
        <v>0.545</v>
      </c>
      <c r="Q459">
        <v>1</v>
      </c>
      <c r="R459">
        <v>0</v>
      </c>
      <c r="S459">
        <v>0</v>
      </c>
      <c r="T459">
        <v>0</v>
      </c>
      <c r="U459">
        <v>0</v>
      </c>
      <c r="V459">
        <v>500</v>
      </c>
      <c r="W459">
        <v>0</v>
      </c>
      <c r="X459">
        <v>0</v>
      </c>
      <c r="Y459">
        <v>0</v>
      </c>
      <c r="Z459">
        <v>0</v>
      </c>
      <c r="AA459">
        <v>63421</v>
      </c>
      <c r="AB459">
        <v>10103</v>
      </c>
      <c r="AC459">
        <v>1497</v>
      </c>
      <c r="AD459">
        <v>1.57</v>
      </c>
      <c r="AE459">
        <v>700</v>
      </c>
      <c r="AF459">
        <v>1</v>
      </c>
      <c r="AG459">
        <v>0.545</v>
      </c>
      <c r="AH459">
        <v>0.031</v>
      </c>
      <c r="AI459">
        <v>11.04</v>
      </c>
      <c r="AJ459">
        <v>0.37</v>
      </c>
      <c r="AK459">
        <v>0</v>
      </c>
      <c r="AL459">
        <v>0</v>
      </c>
      <c r="AM459">
        <v>0</v>
      </c>
      <c r="AN459">
        <v>0</v>
      </c>
      <c r="AO459">
        <v>0</v>
      </c>
      <c r="AP459">
        <v>0.979</v>
      </c>
      <c r="AQ459">
        <v>0.401</v>
      </c>
      <c r="AR459">
        <v>2.084</v>
      </c>
      <c r="AS459" s="3">
        <v>46107.770474537036</v>
      </c>
    </row>
    <row r="460" ht="25.5" customHeight="1">
      <c r="A460" t="inlineStr">
        <is>
          <t>605305da000000000100616e</t>
        </is>
      </c>
      <c r="B460" s="2" t="str">
        <f>=HYPERLINK("https://www.xiaohongshu.com/user/profile/605305da000000000100616e", "https://www.xiaohongshu.com/user/profile/605305da000000000100616e")</f>
        <v>https://www.xiaohongshu.com/user/profile/605305da000000000100616e</v>
      </c>
      <c r="C460" s="2" t="str">
        <f>=HYPERLINK("https://pgy.xiaohongshu.com/solar/pre-trade/blogger-detail/605305da000000000100616e", "https://pgy.xiaohongshu.com/solar/pre-trade/blogger-detail/605305da000000000100616e")</f>
        <v>https://pgy.xiaohongshu.com/solar/pre-trade/blogger-detail/605305da000000000100616e</v>
      </c>
      <c r="D460" t="inlineStr">
        <is>
          <t>男</t>
        </is>
      </c>
      <c r="E460" t="inlineStr">
        <is>
          <t>1169933463</t>
        </is>
      </c>
      <c r="F460" t="inlineStr">
        <is>
          <t>不打烊的猫桑（考研数学版）</t>
        </is>
      </c>
      <c r="G460" t="inlineStr">
        <is>
          <t>江苏 南京 浦口区</t>
        </is>
      </c>
      <c r="H460"/>
      <c r="I460" t="inlineStr">
        <is>
          <t>教育</t>
        </is>
      </c>
      <c r="J460">
        <v>14638</v>
      </c>
      <c r="K460" t="inlineStr">
        <is>
          <t>1.5</t>
        </is>
      </c>
      <c r="L460">
        <v>12436</v>
      </c>
      <c r="M460">
        <v>1844</v>
      </c>
      <c r="N460">
        <v>170</v>
      </c>
      <c r="O460">
        <v>1200</v>
      </c>
      <c r="P460">
        <v>0</v>
      </c>
      <c r="Q460">
        <v>0.417</v>
      </c>
      <c r="R460">
        <v>12436</v>
      </c>
      <c r="S460">
        <v>1844</v>
      </c>
      <c r="T460">
        <v>138</v>
      </c>
      <c r="U460">
        <v>0.95</v>
      </c>
      <c r="V460">
        <v>1200</v>
      </c>
      <c r="W460">
        <v>0.417</v>
      </c>
      <c r="X460">
        <v>0</v>
      </c>
      <c r="Y460">
        <v>96.49</v>
      </c>
      <c r="Z460">
        <v>7.04</v>
      </c>
      <c r="AA460">
        <v>0</v>
      </c>
      <c r="AB460">
        <v>0</v>
      </c>
      <c r="AC460">
        <v>0</v>
      </c>
      <c r="AD460">
        <v>0</v>
      </c>
      <c r="AE460">
        <v>0</v>
      </c>
      <c r="AF460">
        <v>0</v>
      </c>
      <c r="AG460">
        <v>0</v>
      </c>
      <c r="AH460">
        <v>0</v>
      </c>
      <c r="AI460">
        <v>0</v>
      </c>
      <c r="AJ460">
        <v>0</v>
      </c>
      <c r="AK460">
        <v>0</v>
      </c>
      <c r="AL460">
        <v>0</v>
      </c>
      <c r="AM460">
        <v>0</v>
      </c>
      <c r="AN460">
        <v>0</v>
      </c>
      <c r="AO460">
        <v>0</v>
      </c>
      <c r="AP460">
        <v>0.872</v>
      </c>
      <c r="AQ460">
        <v>0.07</v>
      </c>
      <c r="AR460">
        <v>0.074</v>
      </c>
      <c r="AS460" s="3">
        <v>46107.770474537036</v>
      </c>
    </row>
    <row r="461" ht="25.5" customHeight="1">
      <c r="A461" t="inlineStr">
        <is>
          <t>60dd4ec400000000010087ad</t>
        </is>
      </c>
      <c r="B461" s="2" t="str">
        <f>=HYPERLINK("https://www.xiaohongshu.com/user/profile/60dd4ec400000000010087ad", "https://www.xiaohongshu.com/user/profile/60dd4ec400000000010087ad")</f>
        <v>https://www.xiaohongshu.com/user/profile/60dd4ec400000000010087ad</v>
      </c>
      <c r="C461" s="2" t="str">
        <f>=HYPERLINK("https://pgy.xiaohongshu.com/solar/pre-trade/blogger-detail/60dd4ec400000000010087ad", "https://pgy.xiaohongshu.com/solar/pre-trade/blogger-detail/60dd4ec400000000010087ad")</f>
        <v>https://pgy.xiaohongshu.com/solar/pre-trade/blogger-detail/60dd4ec400000000010087ad</v>
      </c>
      <c r="D461" t="inlineStr">
        <is>
          <t>女</t>
        </is>
      </c>
      <c r="E461" t="inlineStr">
        <is>
          <t>6387465691</t>
        </is>
      </c>
      <c r="F461" t="inlineStr">
        <is>
          <t>橙子葱花汁🍊</t>
        </is>
      </c>
      <c r="G461" t="inlineStr">
        <is>
          <t>美国</t>
        </is>
      </c>
      <c r="H461" t="inlineStr">
        <is>
          <t>留学背景, 海外华人, 学生</t>
        </is>
      </c>
      <c r="I461" t="inlineStr">
        <is>
          <t>美食</t>
        </is>
      </c>
      <c r="J461">
        <v>55644</v>
      </c>
      <c r="K461" t="inlineStr">
        <is>
          <t>5.6</t>
        </is>
      </c>
      <c r="L461">
        <v>84428</v>
      </c>
      <c r="M461">
        <v>28085</v>
      </c>
      <c r="N461">
        <v>1658</v>
      </c>
      <c r="O461">
        <v>2000</v>
      </c>
      <c r="P461">
        <v>0.6</v>
      </c>
      <c r="Q461">
        <v>1</v>
      </c>
      <c r="R461">
        <v>0</v>
      </c>
      <c r="S461">
        <v>0</v>
      </c>
      <c r="T461">
        <v>0</v>
      </c>
      <c r="U461">
        <v>0</v>
      </c>
      <c r="V461">
        <v>2000</v>
      </c>
      <c r="W461">
        <v>0</v>
      </c>
      <c r="X461">
        <v>0</v>
      </c>
      <c r="Y461">
        <v>0</v>
      </c>
      <c r="Z461">
        <v>0</v>
      </c>
      <c r="AA461">
        <v>84428</v>
      </c>
      <c r="AB461">
        <v>28085</v>
      </c>
      <c r="AC461">
        <v>1583</v>
      </c>
      <c r="AD461">
        <v>1.61</v>
      </c>
      <c r="AE461">
        <v>3000</v>
      </c>
      <c r="AF461">
        <v>1</v>
      </c>
      <c r="AG461">
        <v>0.6</v>
      </c>
      <c r="AH461">
        <v>0.088</v>
      </c>
      <c r="AI461">
        <v>35.53</v>
      </c>
      <c r="AJ461">
        <v>1.81</v>
      </c>
      <c r="AK461">
        <v>0</v>
      </c>
      <c r="AL461">
        <v>0</v>
      </c>
      <c r="AM461">
        <v>0</v>
      </c>
      <c r="AN461">
        <v>0</v>
      </c>
      <c r="AO461">
        <v>0</v>
      </c>
      <c r="AP461">
        <v>0.957</v>
      </c>
      <c r="AQ461">
        <v>0.142</v>
      </c>
      <c r="AR461">
        <v>0.136999999999999</v>
      </c>
      <c r="AS461" s="3">
        <v>46107.770474537036</v>
      </c>
    </row>
    <row r="462" ht="25.5" customHeight="1">
      <c r="A462" t="inlineStr">
        <is>
          <t>62051c6d0000000002023017</t>
        </is>
      </c>
      <c r="B462" s="2" t="str">
        <f>=HYPERLINK("https://www.xiaohongshu.com/user/profile/62051c6d0000000002023017", "https://www.xiaohongshu.com/user/profile/62051c6d0000000002023017")</f>
        <v>https://www.xiaohongshu.com/user/profile/62051c6d0000000002023017</v>
      </c>
      <c r="C462" s="2" t="str">
        <f>=HYPERLINK("https://pgy.xiaohongshu.com/solar/pre-trade/blogger-detail/62051c6d0000000002023017", "https://pgy.xiaohongshu.com/solar/pre-trade/blogger-detail/62051c6d0000000002023017")</f>
        <v>https://pgy.xiaohongshu.com/solar/pre-trade/blogger-detail/62051c6d0000000002023017</v>
      </c>
      <c r="D462" t="inlineStr">
        <is>
          <t>女</t>
        </is>
      </c>
      <c r="E462" t="inlineStr">
        <is>
          <t>yzh4433558</t>
        </is>
      </c>
      <c r="F462" t="inlineStr">
        <is>
          <t>明天星期五</t>
        </is>
      </c>
      <c r="G462" t="inlineStr">
        <is>
          <t>韩国</t>
        </is>
      </c>
      <c r="H462" t="inlineStr">
        <is>
          <t>户外爱好者, 留学背景, 学生</t>
        </is>
      </c>
      <c r="I462" t="inlineStr">
        <is>
          <t>美食, 生活记录</t>
        </is>
      </c>
      <c r="J462">
        <v>80578</v>
      </c>
      <c r="K462" t="inlineStr">
        <is>
          <t>8.1</t>
        </is>
      </c>
      <c r="L462">
        <v>37440</v>
      </c>
      <c r="M462">
        <v>9250</v>
      </c>
      <c r="N462">
        <v>739</v>
      </c>
      <c r="O462">
        <v>6000</v>
      </c>
      <c r="P462">
        <v>0</v>
      </c>
      <c r="Q462">
        <v>1</v>
      </c>
      <c r="R462">
        <v>0</v>
      </c>
      <c r="S462">
        <v>0</v>
      </c>
      <c r="T462">
        <v>0</v>
      </c>
      <c r="U462">
        <v>0</v>
      </c>
      <c r="V462">
        <v>6000</v>
      </c>
      <c r="W462">
        <v>0</v>
      </c>
      <c r="X462">
        <v>0</v>
      </c>
      <c r="Y462">
        <v>0</v>
      </c>
      <c r="Z462">
        <v>0</v>
      </c>
      <c r="AA462">
        <v>37440</v>
      </c>
      <c r="AB462">
        <v>9250</v>
      </c>
      <c r="AC462">
        <v>685</v>
      </c>
      <c r="AD462">
        <v>2.31</v>
      </c>
      <c r="AE462">
        <v>8000</v>
      </c>
      <c r="AF462">
        <v>1</v>
      </c>
      <c r="AG462">
        <v>0</v>
      </c>
      <c r="AH462">
        <v>0.155</v>
      </c>
      <c r="AI462">
        <v>187.64</v>
      </c>
      <c r="AJ462">
        <v>10.18</v>
      </c>
      <c r="AK462">
        <v>62470</v>
      </c>
      <c r="AL462">
        <v>11897</v>
      </c>
      <c r="AM462">
        <v>751</v>
      </c>
      <c r="AN462">
        <v>0</v>
      </c>
      <c r="AO462">
        <v>211.27</v>
      </c>
      <c r="AP462">
        <v>0.767</v>
      </c>
      <c r="AQ462">
        <v>0.042</v>
      </c>
      <c r="AR462">
        <v>0.019</v>
      </c>
      <c r="AS462" s="3">
        <v>46107.77065972222</v>
      </c>
    </row>
    <row r="463" ht="25.5" customHeight="1">
      <c r="A463" t="inlineStr">
        <is>
          <t>63b131f600000000260061ca</t>
        </is>
      </c>
      <c r="B463" s="2" t="str">
        <f>=HYPERLINK("https://www.xiaohongshu.com/user/profile/63b131f600000000260061ca", "https://www.xiaohongshu.com/user/profile/63b131f600000000260061ca")</f>
        <v>https://www.xiaohongshu.com/user/profile/63b131f600000000260061ca</v>
      </c>
      <c r="C463" s="2" t="str">
        <f>=HYPERLINK("https://pgy.xiaohongshu.com/solar/pre-trade/blogger-detail/63b131f600000000260061ca", "https://pgy.xiaohongshu.com/solar/pre-trade/blogger-detail/63b131f600000000260061ca")</f>
        <v>https://pgy.xiaohongshu.com/solar/pre-trade/blogger-detail/63b131f600000000260061ca</v>
      </c>
      <c r="D463" t="inlineStr">
        <is>
          <t>女</t>
        </is>
      </c>
      <c r="E463" t="inlineStr">
        <is>
          <t>5398251701</t>
        </is>
      </c>
      <c r="F463" t="inlineStr">
        <is>
          <t>独立小禾</t>
        </is>
      </c>
      <c r="G463" t="inlineStr">
        <is>
          <t>辽宁 葫芦岛 兴城市</t>
        </is>
      </c>
      <c r="H463" t="inlineStr">
        <is>
          <t>创业者, 考研过来人, 学生</t>
        </is>
      </c>
      <c r="I463" t="inlineStr">
        <is>
          <t>职场</t>
        </is>
      </c>
      <c r="J463">
        <v>1822</v>
      </c>
      <c r="K463" t="inlineStr">
        <is>
          <t>0.2</t>
        </is>
      </c>
      <c r="L463">
        <v>1758</v>
      </c>
      <c r="M463">
        <v>290</v>
      </c>
      <c r="N463">
        <v>196</v>
      </c>
      <c r="O463">
        <v>200</v>
      </c>
      <c r="P463">
        <v>0</v>
      </c>
      <c r="Q463">
        <v>0.667</v>
      </c>
      <c r="R463">
        <v>1758</v>
      </c>
      <c r="S463">
        <v>290</v>
      </c>
      <c r="T463">
        <v>163</v>
      </c>
      <c r="U463">
        <v>0.99</v>
      </c>
      <c r="V463">
        <v>200</v>
      </c>
      <c r="W463">
        <v>0.667</v>
      </c>
      <c r="X463">
        <v>0</v>
      </c>
      <c r="Y463">
        <v>117.58</v>
      </c>
      <c r="Z463">
        <v>1.17</v>
      </c>
      <c r="AA463">
        <v>0</v>
      </c>
      <c r="AB463">
        <v>0</v>
      </c>
      <c r="AC463">
        <v>0</v>
      </c>
      <c r="AD463">
        <v>0</v>
      </c>
      <c r="AE463">
        <v>400</v>
      </c>
      <c r="AF463">
        <v>0</v>
      </c>
      <c r="AG463">
        <v>0</v>
      </c>
      <c r="AH463">
        <v>0</v>
      </c>
      <c r="AI463">
        <v>0</v>
      </c>
      <c r="AJ463">
        <v>0</v>
      </c>
      <c r="AK463">
        <v>1370</v>
      </c>
      <c r="AL463">
        <v>254</v>
      </c>
      <c r="AM463">
        <v>77</v>
      </c>
      <c r="AN463">
        <v>0</v>
      </c>
      <c r="AO463">
        <v>0</v>
      </c>
      <c r="AP463">
        <v>0.877</v>
      </c>
      <c r="AQ463">
        <v>0.152</v>
      </c>
      <c r="AR463">
        <v>0.276999999999999</v>
      </c>
      <c r="AS463" s="3">
        <v>46107.77065972222</v>
      </c>
    </row>
    <row r="464" ht="25.5" customHeight="1">
      <c r="A464" t="inlineStr">
        <is>
          <t>67b17501000000000e01dfb0</t>
        </is>
      </c>
      <c r="B464" s="2" t="str">
        <f>=HYPERLINK("https://www.xiaohongshu.com/user/profile/67b17501000000000e01dfb0", "https://www.xiaohongshu.com/user/profile/67b17501000000000e01dfb0")</f>
        <v>https://www.xiaohongshu.com/user/profile/67b17501000000000e01dfb0</v>
      </c>
      <c r="C464" s="2" t="str">
        <f>=HYPERLINK("https://pgy.xiaohongshu.com/solar/pre-trade/blogger-detail/67b17501000000000e01dfb0", "https://pgy.xiaohongshu.com/solar/pre-trade/blogger-detail/67b17501000000000e01dfb0")</f>
        <v>https://pgy.xiaohongshu.com/solar/pre-trade/blogger-detail/67b17501000000000e01dfb0</v>
      </c>
      <c r="D464" t="inlineStr">
        <is>
          <t>男</t>
        </is>
      </c>
      <c r="E464" t="inlineStr">
        <is>
          <t>42984813638</t>
        </is>
      </c>
      <c r="F464" t="inlineStr">
        <is>
          <t>吃西瓜不吐西瓜皮8ln</t>
        </is>
      </c>
      <c r="G464" t="inlineStr">
        <is>
          <t>黑龙江 齐齐哈尔 富裕县</t>
        </is>
      </c>
      <c r="H464" t="inlineStr">
        <is>
          <t>学生</t>
        </is>
      </c>
      <c r="I464" t="inlineStr">
        <is>
          <t>教育</t>
        </is>
      </c>
      <c r="J464">
        <v>7195</v>
      </c>
      <c r="K464" t="inlineStr">
        <is>
          <t>0.7</t>
        </is>
      </c>
      <c r="L464">
        <v>6713</v>
      </c>
      <c r="M464">
        <v>768</v>
      </c>
      <c r="N464">
        <v>184</v>
      </c>
      <c r="O464">
        <v>150</v>
      </c>
      <c r="P464">
        <v>0</v>
      </c>
      <c r="Q464">
        <v>0.581</v>
      </c>
      <c r="R464">
        <v>6713</v>
      </c>
      <c r="S464">
        <v>768</v>
      </c>
      <c r="T464">
        <v>166</v>
      </c>
      <c r="U464">
        <v>0.5</v>
      </c>
      <c r="V464">
        <v>150</v>
      </c>
      <c r="W464">
        <v>0.581</v>
      </c>
      <c r="X464">
        <v>0</v>
      </c>
      <c r="Y464">
        <v>23.15</v>
      </c>
      <c r="Z464">
        <v>0.83</v>
      </c>
      <c r="AA464">
        <v>0</v>
      </c>
      <c r="AB464">
        <v>0</v>
      </c>
      <c r="AC464">
        <v>0</v>
      </c>
      <c r="AD464">
        <v>0</v>
      </c>
      <c r="AE464">
        <v>300</v>
      </c>
      <c r="AF464">
        <v>0</v>
      </c>
      <c r="AG464">
        <v>0</v>
      </c>
      <c r="AH464">
        <v>0</v>
      </c>
      <c r="AI464">
        <v>0</v>
      </c>
      <c r="AJ464">
        <v>0</v>
      </c>
      <c r="AK464">
        <v>1906</v>
      </c>
      <c r="AL464">
        <v>108</v>
      </c>
      <c r="AM464">
        <v>17</v>
      </c>
      <c r="AN464">
        <v>7</v>
      </c>
      <c r="AO464">
        <v>22</v>
      </c>
      <c r="AP464">
        <v>0.935999999999999</v>
      </c>
      <c r="AQ464">
        <v>0.119</v>
      </c>
      <c r="AR464">
        <v>-0.016</v>
      </c>
      <c r="AS464" s="3">
        <v>46107.77065972222</v>
      </c>
    </row>
    <row r="465" ht="25.5" customHeight="1">
      <c r="A465" t="inlineStr">
        <is>
          <t>63b805c90000000026004531</t>
        </is>
      </c>
      <c r="B465" s="2" t="str">
        <f>=HYPERLINK("https://www.xiaohongshu.com/user/profile/63b805c90000000026004531", "https://www.xiaohongshu.com/user/profile/63b805c90000000026004531")</f>
        <v>https://www.xiaohongshu.com/user/profile/63b805c90000000026004531</v>
      </c>
      <c r="C465" s="2" t="str">
        <f>=HYPERLINK("https://pgy.xiaohongshu.com/solar/pre-trade/blogger-detail/63b805c90000000026004531", "https://pgy.xiaohongshu.com/solar/pre-trade/blogger-detail/63b805c90000000026004531")</f>
        <v>https://pgy.xiaohongshu.com/solar/pre-trade/blogger-detail/63b805c90000000026004531</v>
      </c>
      <c r="D465" t="inlineStr">
        <is>
          <t>女</t>
        </is>
      </c>
      <c r="E465" t="inlineStr">
        <is>
          <t>5391744291</t>
        </is>
      </c>
      <c r="F465" t="inlineStr">
        <is>
          <t>大龄读研的萝卜</t>
        </is>
      </c>
      <c r="G465" t="inlineStr">
        <is>
          <t>辽宁 大连 瓦房店市</t>
        </is>
      </c>
      <c r="H465" t="inlineStr">
        <is>
          <t>考研过来人, 学生, 夫妻</t>
        </is>
      </c>
      <c r="I465" t="inlineStr">
        <is>
          <t>教育, 生活记录</t>
        </is>
      </c>
      <c r="J465">
        <v>5565</v>
      </c>
      <c r="K465" t="inlineStr">
        <is>
          <t>0.6</t>
        </is>
      </c>
      <c r="L465">
        <v>14473</v>
      </c>
      <c r="M465">
        <v>5220</v>
      </c>
      <c r="N465">
        <v>711</v>
      </c>
      <c r="O465">
        <v>330</v>
      </c>
      <c r="P465">
        <v>0</v>
      </c>
      <c r="Q465">
        <v>0.5</v>
      </c>
      <c r="R465">
        <v>0</v>
      </c>
      <c r="S465">
        <v>0</v>
      </c>
      <c r="T465">
        <v>0</v>
      </c>
      <c r="U465">
        <v>0</v>
      </c>
      <c r="V465">
        <v>330</v>
      </c>
      <c r="W465">
        <v>0</v>
      </c>
      <c r="X465">
        <v>0</v>
      </c>
      <c r="Y465">
        <v>0</v>
      </c>
      <c r="Z465">
        <v>0</v>
      </c>
      <c r="AA465">
        <v>14473</v>
      </c>
      <c r="AB465">
        <v>5220</v>
      </c>
      <c r="AC465">
        <v>695</v>
      </c>
      <c r="AD465">
        <v>1.57</v>
      </c>
      <c r="AE465">
        <v>380</v>
      </c>
      <c r="AF465">
        <v>0.5</v>
      </c>
      <c r="AG465">
        <v>0</v>
      </c>
      <c r="AH465">
        <v>0.05</v>
      </c>
      <c r="AI465">
        <v>26.26</v>
      </c>
      <c r="AJ465">
        <v>0.53</v>
      </c>
      <c r="AK465">
        <v>0</v>
      </c>
      <c r="AL465">
        <v>0</v>
      </c>
      <c r="AM465">
        <v>0</v>
      </c>
      <c r="AN465">
        <v>0</v>
      </c>
      <c r="AO465">
        <v>0</v>
      </c>
      <c r="AP465">
        <v>0.856</v>
      </c>
      <c r="AQ465">
        <v>0.022</v>
      </c>
      <c r="AR465">
        <v>0.00699999999999999</v>
      </c>
      <c r="AS465" s="3">
        <v>46107.77065972222</v>
      </c>
    </row>
    <row r="466" ht="25.5" customHeight="1">
      <c r="A466" t="inlineStr">
        <is>
          <t>64e0a5c7000000000100d33d</t>
        </is>
      </c>
      <c r="B466" s="2" t="str">
        <f>=HYPERLINK("https://www.xiaohongshu.com/user/profile/64e0a5c7000000000100d33d", "https://www.xiaohongshu.com/user/profile/64e0a5c7000000000100d33d")</f>
        <v>https://www.xiaohongshu.com/user/profile/64e0a5c7000000000100d33d</v>
      </c>
      <c r="C466" s="2" t="str">
        <f>=HYPERLINK("https://pgy.xiaohongshu.com/solar/pre-trade/blogger-detail/64e0a5c7000000000100d33d", "https://pgy.xiaohongshu.com/solar/pre-trade/blogger-detail/64e0a5c7000000000100d33d")</f>
        <v>https://pgy.xiaohongshu.com/solar/pre-trade/blogger-detail/64e0a5c7000000000100d33d</v>
      </c>
      <c r="D466" t="inlineStr">
        <is>
          <t>女</t>
        </is>
      </c>
      <c r="E466" t="inlineStr">
        <is>
          <t>5808831824</t>
        </is>
      </c>
      <c r="F466" t="inlineStr">
        <is>
          <t>译只黄包</t>
        </is>
      </c>
      <c r="G466" t="inlineStr">
        <is>
          <t>广东 广州 从化区</t>
        </is>
      </c>
      <c r="H466" t="inlineStr">
        <is>
          <t>翻译</t>
        </is>
      </c>
      <c r="I466" t="inlineStr">
        <is>
          <t>教育</t>
        </is>
      </c>
      <c r="J466">
        <v>2850</v>
      </c>
      <c r="K466" t="inlineStr">
        <is>
          <t>0.3</t>
        </is>
      </c>
      <c r="L466">
        <v>13351</v>
      </c>
      <c r="M466">
        <v>2010</v>
      </c>
      <c r="N466">
        <v>270</v>
      </c>
      <c r="O466">
        <v>200</v>
      </c>
      <c r="P466">
        <v>0.2</v>
      </c>
      <c r="Q466">
        <v>0.6</v>
      </c>
      <c r="R466">
        <v>0</v>
      </c>
      <c r="S466">
        <v>0</v>
      </c>
      <c r="T466">
        <v>0</v>
      </c>
      <c r="U466">
        <v>0</v>
      </c>
      <c r="V466">
        <v>200</v>
      </c>
      <c r="W466">
        <v>0</v>
      </c>
      <c r="X466">
        <v>0</v>
      </c>
      <c r="Y466">
        <v>0</v>
      </c>
      <c r="Z466">
        <v>0</v>
      </c>
      <c r="AA466">
        <v>13351</v>
      </c>
      <c r="AB466">
        <v>2010</v>
      </c>
      <c r="AC466">
        <v>231</v>
      </c>
      <c r="AD466">
        <v>1.76</v>
      </c>
      <c r="AE466">
        <v>300</v>
      </c>
      <c r="AF466">
        <v>0.6</v>
      </c>
      <c r="AG466">
        <v>0.2</v>
      </c>
      <c r="AH466">
        <v>0.0279999999999999</v>
      </c>
      <c r="AI466">
        <v>30.28</v>
      </c>
      <c r="AJ466">
        <v>1.99</v>
      </c>
      <c r="AK466">
        <v>2785</v>
      </c>
      <c r="AL466">
        <v>243</v>
      </c>
      <c r="AM466">
        <v>22</v>
      </c>
      <c r="AN466">
        <v>0</v>
      </c>
      <c r="AO466">
        <v>0</v>
      </c>
      <c r="AP466">
        <v>0.932999999999999</v>
      </c>
      <c r="AQ466">
        <v>0.359</v>
      </c>
      <c r="AR466">
        <v>0.943</v>
      </c>
      <c r="AS466" s="3">
        <v>46107.77065972222</v>
      </c>
    </row>
    <row r="467" ht="25.5" customHeight="1">
      <c r="A467" t="inlineStr">
        <is>
          <t>6056ae7c0000000001009458</t>
        </is>
      </c>
      <c r="B467" s="2" t="str">
        <f>=HYPERLINK("https://www.xiaohongshu.com/user/profile/6056ae7c0000000001009458", "https://www.xiaohongshu.com/user/profile/6056ae7c0000000001009458")</f>
        <v>https://www.xiaohongshu.com/user/profile/6056ae7c0000000001009458</v>
      </c>
      <c r="C467" s="2" t="str">
        <f>=HYPERLINK("https://pgy.xiaohongshu.com/solar/pre-trade/blogger-detail/6056ae7c0000000001009458", "https://pgy.xiaohongshu.com/solar/pre-trade/blogger-detail/6056ae7c0000000001009458")</f>
        <v>https://pgy.xiaohongshu.com/solar/pre-trade/blogger-detail/6056ae7c0000000001009458</v>
      </c>
      <c r="D467" t="inlineStr">
        <is>
          <t>女</t>
        </is>
      </c>
      <c r="E467" t="inlineStr">
        <is>
          <t>4213112163</t>
        </is>
      </c>
      <c r="F467" t="inlineStr">
        <is>
          <t>Skylar 任小初</t>
        </is>
      </c>
      <c r="G467" t="inlineStr">
        <is>
          <t>河南 焦作 山阳区</t>
        </is>
      </c>
      <c r="H467" t="inlineStr">
        <is>
          <t>考研过来人</t>
        </is>
      </c>
      <c r="I467" t="inlineStr">
        <is>
          <t>教育</t>
        </is>
      </c>
      <c r="J467">
        <v>121896</v>
      </c>
      <c r="K467" t="inlineStr">
        <is>
          <t>12.2</t>
        </is>
      </c>
      <c r="L467">
        <v>11673</v>
      </c>
      <c r="M467">
        <v>881</v>
      </c>
      <c r="N467">
        <v>130</v>
      </c>
      <c r="O467">
        <v>5000</v>
      </c>
      <c r="P467">
        <v>0</v>
      </c>
      <c r="Q467">
        <v>0.332999999999999</v>
      </c>
      <c r="R467">
        <v>11673</v>
      </c>
      <c r="S467">
        <v>881</v>
      </c>
      <c r="T467">
        <v>106</v>
      </c>
      <c r="U467">
        <v>0.79</v>
      </c>
      <c r="V467">
        <v>5000</v>
      </c>
      <c r="W467">
        <v>0.332999999999999</v>
      </c>
      <c r="X467">
        <v>0</v>
      </c>
      <c r="Y467">
        <v>100.16</v>
      </c>
      <c r="Z467">
        <v>11.49</v>
      </c>
      <c r="AA467">
        <v>0</v>
      </c>
      <c r="AB467">
        <v>0</v>
      </c>
      <c r="AC467">
        <v>0</v>
      </c>
      <c r="AD467">
        <v>0</v>
      </c>
      <c r="AE467">
        <v>8000</v>
      </c>
      <c r="AF467">
        <v>0</v>
      </c>
      <c r="AG467">
        <v>0</v>
      </c>
      <c r="AH467">
        <v>0</v>
      </c>
      <c r="AI467">
        <v>0</v>
      </c>
      <c r="AJ467">
        <v>0</v>
      </c>
      <c r="AK467">
        <v>72759</v>
      </c>
      <c r="AL467">
        <v>10269</v>
      </c>
      <c r="AM467">
        <v>1266</v>
      </c>
      <c r="AN467">
        <v>0</v>
      </c>
      <c r="AO467">
        <v>0</v>
      </c>
      <c r="AP467">
        <v>0.721</v>
      </c>
      <c r="AQ467">
        <v>0.006</v>
      </c>
      <c r="AR467">
        <v>-0.001</v>
      </c>
      <c r="AS467" s="3">
        <v>46107.77065972222</v>
      </c>
    </row>
    <row r="468" ht="25.5" customHeight="1">
      <c r="A468" t="inlineStr">
        <is>
          <t>62f08d0a000000001f017124</t>
        </is>
      </c>
      <c r="B468" s="2" t="str">
        <f>=HYPERLINK("https://www.xiaohongshu.com/user/profile/62f08d0a000000001f017124", "https://www.xiaohongshu.com/user/profile/62f08d0a000000001f017124")</f>
        <v>https://www.xiaohongshu.com/user/profile/62f08d0a000000001f017124</v>
      </c>
      <c r="C468" s="2" t="str">
        <f>=HYPERLINK("https://pgy.xiaohongshu.com/solar/pre-trade/blogger-detail/62f08d0a000000001f017124", "https://pgy.xiaohongshu.com/solar/pre-trade/blogger-detail/62f08d0a000000001f017124")</f>
        <v>https://pgy.xiaohongshu.com/solar/pre-trade/blogger-detail/62f08d0a000000001f017124</v>
      </c>
      <c r="D468" t="inlineStr">
        <is>
          <t>男</t>
        </is>
      </c>
      <c r="E468" t="inlineStr">
        <is>
          <t>2999327529</t>
        </is>
      </c>
      <c r="F468" t="inlineStr">
        <is>
          <t>英语老王说</t>
        </is>
      </c>
      <c r="G468" t="inlineStr">
        <is>
          <t>江苏 苏州 姑苏区</t>
        </is>
      </c>
      <c r="H468"/>
      <c r="I468" t="inlineStr">
        <is>
          <t>教育</t>
        </is>
      </c>
      <c r="J468">
        <v>15868</v>
      </c>
      <c r="K468" t="inlineStr">
        <is>
          <t>1.6</t>
        </is>
      </c>
      <c r="L468">
        <v>5203</v>
      </c>
      <c r="M468">
        <v>1857</v>
      </c>
      <c r="N468">
        <v>190</v>
      </c>
      <c r="O468">
        <v>233</v>
      </c>
      <c r="P468">
        <v>0.091</v>
      </c>
      <c r="Q468">
        <v>0.455</v>
      </c>
      <c r="R468">
        <v>10866</v>
      </c>
      <c r="S468">
        <v>1041</v>
      </c>
      <c r="T468">
        <v>283</v>
      </c>
      <c r="U468">
        <v>0.52</v>
      </c>
      <c r="V468">
        <v>233</v>
      </c>
      <c r="W468">
        <v>1</v>
      </c>
      <c r="X468">
        <v>0</v>
      </c>
      <c r="Y468">
        <v>21.44</v>
      </c>
      <c r="Z468">
        <v>0.63</v>
      </c>
      <c r="AA468">
        <v>4892</v>
      </c>
      <c r="AB468">
        <v>1904</v>
      </c>
      <c r="AC468">
        <v>149</v>
      </c>
      <c r="AD468">
        <v>2.55</v>
      </c>
      <c r="AE468">
        <v>2000</v>
      </c>
      <c r="AF468">
        <v>0.4</v>
      </c>
      <c r="AG468">
        <v>0.1</v>
      </c>
      <c r="AH468">
        <v>0.156</v>
      </c>
      <c r="AI468">
        <v>408.79</v>
      </c>
      <c r="AJ468">
        <v>11.43</v>
      </c>
      <c r="AK468">
        <v>0</v>
      </c>
      <c r="AL468">
        <v>0</v>
      </c>
      <c r="AM468">
        <v>0</v>
      </c>
      <c r="AN468">
        <v>0</v>
      </c>
      <c r="AO468">
        <v>0</v>
      </c>
      <c r="AP468">
        <v>0.989</v>
      </c>
      <c r="AQ468">
        <v>0.11</v>
      </c>
      <c r="AR468">
        <v>0.188999999999999</v>
      </c>
      <c r="AS468" s="3">
        <v>46107.77065972222</v>
      </c>
    </row>
    <row r="469" ht="25.5" customHeight="1">
      <c r="A469" t="inlineStr">
        <is>
          <t>66911288000000000d027606</t>
        </is>
      </c>
      <c r="B469" s="2" t="str">
        <f>=HYPERLINK("https://www.xiaohongshu.com/user/profile/66911288000000000d027606", "https://www.xiaohongshu.com/user/profile/66911288000000000d027606")</f>
        <v>https://www.xiaohongshu.com/user/profile/66911288000000000d027606</v>
      </c>
      <c r="C469" s="2" t="str">
        <f>=HYPERLINK("https://pgy.xiaohongshu.com/solar/pre-trade/blogger-detail/66911288000000000d027606", "https://pgy.xiaohongshu.com/solar/pre-trade/blogger-detail/66911288000000000d027606")</f>
        <v>https://pgy.xiaohongshu.com/solar/pre-trade/blogger-detail/66911288000000000d027606</v>
      </c>
      <c r="D469" t="inlineStr">
        <is>
          <t>男</t>
        </is>
      </c>
      <c r="E469" t="inlineStr">
        <is>
          <t>26516195812</t>
        </is>
      </c>
      <c r="F469" t="inlineStr">
        <is>
          <t>考研君.</t>
        </is>
      </c>
      <c r="G469" t="inlineStr">
        <is>
          <t>辽宁 大连 甘井子区</t>
        </is>
      </c>
      <c r="H469"/>
      <c r="I469" t="inlineStr">
        <is>
          <t>教育</t>
        </is>
      </c>
      <c r="J469">
        <v>25903</v>
      </c>
      <c r="K469" t="inlineStr">
        <is>
          <t>2.6</t>
        </is>
      </c>
      <c r="L469">
        <v>6848</v>
      </c>
      <c r="M469">
        <v>2488</v>
      </c>
      <c r="N469">
        <v>221</v>
      </c>
      <c r="O469">
        <v>738</v>
      </c>
      <c r="P469">
        <v>0.0969999999999999</v>
      </c>
      <c r="Q469">
        <v>0.419</v>
      </c>
      <c r="R469">
        <v>34489</v>
      </c>
      <c r="S469">
        <v>4806</v>
      </c>
      <c r="T469">
        <v>767</v>
      </c>
      <c r="U469">
        <v>0.45</v>
      </c>
      <c r="V469">
        <v>738</v>
      </c>
      <c r="W469">
        <v>0.833</v>
      </c>
      <c r="X469">
        <v>0.332999999999999</v>
      </c>
      <c r="Y469">
        <v>21.4</v>
      </c>
      <c r="Z469">
        <v>0.91</v>
      </c>
      <c r="AA469">
        <v>6245</v>
      </c>
      <c r="AB469">
        <v>2282</v>
      </c>
      <c r="AC469">
        <v>177</v>
      </c>
      <c r="AD469">
        <v>2.03</v>
      </c>
      <c r="AE469">
        <v>1200</v>
      </c>
      <c r="AF469">
        <v>0.32</v>
      </c>
      <c r="AG469">
        <v>0.04</v>
      </c>
      <c r="AH469">
        <v>0.078</v>
      </c>
      <c r="AI469">
        <v>192.15</v>
      </c>
      <c r="AJ469">
        <v>6.63</v>
      </c>
      <c r="AK469">
        <v>0</v>
      </c>
      <c r="AL469">
        <v>0</v>
      </c>
      <c r="AM469">
        <v>0</v>
      </c>
      <c r="AN469">
        <v>0</v>
      </c>
      <c r="AO469">
        <v>0</v>
      </c>
      <c r="AP469">
        <v>0.914</v>
      </c>
      <c r="AQ469">
        <v>0.091</v>
      </c>
      <c r="AR469">
        <v>0.059</v>
      </c>
      <c r="AS469" s="3">
        <v>46107.77065972222</v>
      </c>
    </row>
    <row r="470" ht="25.5" customHeight="1">
      <c r="A470" t="inlineStr">
        <is>
          <t>61e42e9f0000000010007821</t>
        </is>
      </c>
      <c r="B470" s="2" t="str">
        <f>=HYPERLINK("https://www.xiaohongshu.com/user/profile/61e42e9f0000000010007821", "https://www.xiaohongshu.com/user/profile/61e42e9f0000000010007821")</f>
        <v>https://www.xiaohongshu.com/user/profile/61e42e9f0000000010007821</v>
      </c>
      <c r="C470" s="2" t="str">
        <f>=HYPERLINK("https://pgy.xiaohongshu.com/solar/pre-trade/blogger-detail/61e42e9f0000000010007821", "https://pgy.xiaohongshu.com/solar/pre-trade/blogger-detail/61e42e9f0000000010007821")</f>
        <v>https://pgy.xiaohongshu.com/solar/pre-trade/blogger-detail/61e42e9f0000000010007821</v>
      </c>
      <c r="D470" t="inlineStr">
        <is>
          <t>男</t>
        </is>
      </c>
      <c r="E470" t="inlineStr">
        <is>
          <t>6560092885</t>
        </is>
      </c>
      <c r="F470" t="inlineStr">
        <is>
          <t>乔治老师教西语</t>
        </is>
      </c>
      <c r="G470" t="inlineStr">
        <is>
          <t>广东 广州 天河区</t>
        </is>
      </c>
      <c r="H470"/>
      <c r="I470" t="inlineStr">
        <is>
          <t>教育</t>
        </is>
      </c>
      <c r="J470">
        <v>6193</v>
      </c>
      <c r="K470" t="inlineStr">
        <is>
          <t>0.6</t>
        </is>
      </c>
      <c r="L470">
        <v>79367</v>
      </c>
      <c r="M470">
        <v>10673</v>
      </c>
      <c r="N470">
        <v>2160</v>
      </c>
      <c r="O470">
        <v>1000</v>
      </c>
      <c r="P470">
        <v>0.332999999999999</v>
      </c>
      <c r="Q470">
        <v>1</v>
      </c>
      <c r="R470">
        <v>0</v>
      </c>
      <c r="S470">
        <v>0</v>
      </c>
      <c r="T470">
        <v>0</v>
      </c>
      <c r="U470">
        <v>0</v>
      </c>
      <c r="V470">
        <v>1000</v>
      </c>
      <c r="W470">
        <v>0</v>
      </c>
      <c r="X470">
        <v>0</v>
      </c>
      <c r="Y470">
        <v>0</v>
      </c>
      <c r="Z470">
        <v>0</v>
      </c>
      <c r="AA470">
        <v>79367</v>
      </c>
      <c r="AB470">
        <v>10673</v>
      </c>
      <c r="AC470">
        <v>1616</v>
      </c>
      <c r="AD470">
        <v>1.69</v>
      </c>
      <c r="AE470">
        <v>2000</v>
      </c>
      <c r="AF470">
        <v>1</v>
      </c>
      <c r="AG470">
        <v>0.332999999999999</v>
      </c>
      <c r="AH470">
        <v>0.218999999999999</v>
      </c>
      <c r="AI470">
        <v>25.2</v>
      </c>
      <c r="AJ470">
        <v>0.93</v>
      </c>
      <c r="AK470">
        <v>0</v>
      </c>
      <c r="AL470">
        <v>0</v>
      </c>
      <c r="AM470">
        <v>0</v>
      </c>
      <c r="AN470">
        <v>0</v>
      </c>
      <c r="AO470">
        <v>0</v>
      </c>
      <c r="AP470">
        <v>0.956</v>
      </c>
      <c r="AQ470">
        <v>0.128</v>
      </c>
      <c r="AR470">
        <v>0.299</v>
      </c>
      <c r="AS470" s="3">
        <v>46107.77065972222</v>
      </c>
    </row>
    <row r="471" ht="25.5" customHeight="1">
      <c r="A471" t="inlineStr">
        <is>
          <t>629b35bf000000002102a0e5</t>
        </is>
      </c>
      <c r="B471" s="2" t="str">
        <f>=HYPERLINK("https://www.xiaohongshu.com/user/profile/629b35bf000000002102a0e5", "https://www.xiaohongshu.com/user/profile/629b35bf000000002102a0e5")</f>
        <v>https://www.xiaohongshu.com/user/profile/629b35bf000000002102a0e5</v>
      </c>
      <c r="C471" s="2" t="str">
        <f>=HYPERLINK("https://pgy.xiaohongshu.com/solar/pre-trade/blogger-detail/629b35bf000000002102a0e5", "https://pgy.xiaohongshu.com/solar/pre-trade/blogger-detail/629b35bf000000002102a0e5")</f>
        <v>https://pgy.xiaohongshu.com/solar/pre-trade/blogger-detail/629b35bf000000002102a0e5</v>
      </c>
      <c r="D471" t="inlineStr">
        <is>
          <t>女</t>
        </is>
      </c>
      <c r="E471" t="inlineStr">
        <is>
          <t>6288332186</t>
        </is>
      </c>
      <c r="F471" t="inlineStr">
        <is>
          <t>Helen的英语角</t>
        </is>
      </c>
      <c r="G471" t="inlineStr">
        <is>
          <t>湖北 荆州 松滋市</t>
        </is>
      </c>
      <c r="H471" t="inlineStr">
        <is>
          <t>户外爱好者</t>
        </is>
      </c>
      <c r="I471" t="inlineStr">
        <is>
          <t>教育</t>
        </is>
      </c>
      <c r="J471">
        <v>15052</v>
      </c>
      <c r="K471" t="inlineStr">
        <is>
          <t>1.5</t>
        </is>
      </c>
      <c r="L471">
        <v>41895</v>
      </c>
      <c r="M471">
        <v>40227</v>
      </c>
      <c r="N471">
        <v>4554</v>
      </c>
      <c r="O471">
        <v>329</v>
      </c>
      <c r="P471">
        <v>1</v>
      </c>
      <c r="Q471">
        <v>1</v>
      </c>
      <c r="R471">
        <v>0</v>
      </c>
      <c r="S471">
        <v>0</v>
      </c>
      <c r="T471">
        <v>0</v>
      </c>
      <c r="U471">
        <v>0</v>
      </c>
      <c r="V471">
        <v>329</v>
      </c>
      <c r="W471">
        <v>0</v>
      </c>
      <c r="X471">
        <v>0</v>
      </c>
      <c r="Y471">
        <v>0</v>
      </c>
      <c r="Z471">
        <v>0</v>
      </c>
      <c r="AA471">
        <v>41895</v>
      </c>
      <c r="AB471">
        <v>40227</v>
      </c>
      <c r="AC471">
        <v>2051</v>
      </c>
      <c r="AD471">
        <v>1.58</v>
      </c>
      <c r="AE471">
        <v>3164</v>
      </c>
      <c r="AF471">
        <v>1</v>
      </c>
      <c r="AG471">
        <v>1</v>
      </c>
      <c r="AH471">
        <v>0.166</v>
      </c>
      <c r="AI471">
        <v>75.52</v>
      </c>
      <c r="AJ471">
        <v>0.69</v>
      </c>
      <c r="AK471">
        <v>0</v>
      </c>
      <c r="AL471">
        <v>0</v>
      </c>
      <c r="AM471">
        <v>0</v>
      </c>
      <c r="AN471">
        <v>0</v>
      </c>
      <c r="AO471">
        <v>0</v>
      </c>
      <c r="AP471">
        <v>0.967</v>
      </c>
      <c r="AQ471">
        <v>0.049</v>
      </c>
      <c r="AR471">
        <v>0.193</v>
      </c>
      <c r="AS471" s="3">
        <v>46107.77065972222</v>
      </c>
    </row>
    <row r="472" ht="25.5" customHeight="1">
      <c r="A472" t="inlineStr">
        <is>
          <t>5d3b9b1e000000001202cced</t>
        </is>
      </c>
      <c r="B472" s="2" t="str">
        <f>=HYPERLINK("https://www.xiaohongshu.com/user/profile/5d3b9b1e000000001202cced", "https://www.xiaohongshu.com/user/profile/5d3b9b1e000000001202cced")</f>
        <v>https://www.xiaohongshu.com/user/profile/5d3b9b1e000000001202cced</v>
      </c>
      <c r="C472" s="2" t="str">
        <f>=HYPERLINK("https://pgy.xiaohongshu.com/solar/pre-trade/blogger-detail/5d3b9b1e000000001202cced", "https://pgy.xiaohongshu.com/solar/pre-trade/blogger-detail/5d3b9b1e000000001202cced")</f>
        <v>https://pgy.xiaohongshu.com/solar/pre-trade/blogger-detail/5d3b9b1e000000001202cced</v>
      </c>
      <c r="D472" t="inlineStr">
        <is>
          <t>女</t>
        </is>
      </c>
      <c r="E472" t="inlineStr">
        <is>
          <t>abccccccdddddd</t>
        </is>
      </c>
      <c r="F472" t="inlineStr">
        <is>
          <t>无敌铁拳飘老师🥥（西语版）</t>
        </is>
      </c>
      <c r="G472" t="inlineStr">
        <is>
          <t>江苏 南京 秦淮区</t>
        </is>
      </c>
      <c r="H472"/>
      <c r="I472" t="inlineStr">
        <is>
          <t>教育</t>
        </is>
      </c>
      <c r="J472">
        <v>2385</v>
      </c>
      <c r="K472" t="inlineStr">
        <is>
          <t>0.2</t>
        </is>
      </c>
      <c r="L472">
        <v>2643</v>
      </c>
      <c r="M472">
        <v>946</v>
      </c>
      <c r="N472">
        <v>113</v>
      </c>
      <c r="O472">
        <v>160</v>
      </c>
      <c r="P472">
        <v>0</v>
      </c>
      <c r="Q472">
        <v>0.308</v>
      </c>
      <c r="R472">
        <v>1140</v>
      </c>
      <c r="S472">
        <v>268</v>
      </c>
      <c r="T472">
        <v>22</v>
      </c>
      <c r="U472">
        <v>0.9</v>
      </c>
      <c r="V472">
        <v>160</v>
      </c>
      <c r="W472">
        <v>0</v>
      </c>
      <c r="X472">
        <v>0</v>
      </c>
      <c r="Y472">
        <v>140.35</v>
      </c>
      <c r="Z472">
        <v>5.52</v>
      </c>
      <c r="AA472">
        <v>3464</v>
      </c>
      <c r="AB472">
        <v>1224</v>
      </c>
      <c r="AC472">
        <v>105</v>
      </c>
      <c r="AD472">
        <v>1.75</v>
      </c>
      <c r="AE472">
        <v>300</v>
      </c>
      <c r="AF472">
        <v>0.4</v>
      </c>
      <c r="AG472">
        <v>0</v>
      </c>
      <c r="AH472">
        <v>0.052</v>
      </c>
      <c r="AI472">
        <v>87.59</v>
      </c>
      <c r="AJ472">
        <v>2.42</v>
      </c>
      <c r="AK472">
        <v>3425</v>
      </c>
      <c r="AL472">
        <v>968</v>
      </c>
      <c r="AM472">
        <v>74</v>
      </c>
      <c r="AN472">
        <v>0</v>
      </c>
      <c r="AO472">
        <v>0</v>
      </c>
      <c r="AP472">
        <v>0.915999999999999</v>
      </c>
      <c r="AQ472">
        <v>0.139</v>
      </c>
      <c r="AR472">
        <v>0.215</v>
      </c>
      <c r="AS472" s="3">
        <v>46107.77065972222</v>
      </c>
    </row>
    <row r="473" ht="25.5" customHeight="1">
      <c r="A473" t="inlineStr">
        <is>
          <t>5e54af72000000000100bdaa</t>
        </is>
      </c>
      <c r="B473" s="2" t="str">
        <f>=HYPERLINK("https://www.xiaohongshu.com/user/profile/5e54af72000000000100bdaa", "https://www.xiaohongshu.com/user/profile/5e54af72000000000100bdaa")</f>
        <v>https://www.xiaohongshu.com/user/profile/5e54af72000000000100bdaa</v>
      </c>
      <c r="C473" s="2" t="str">
        <f>=HYPERLINK("https://pgy.xiaohongshu.com/solar/pre-trade/blogger-detail/5e54af72000000000100bdaa", "https://pgy.xiaohongshu.com/solar/pre-trade/blogger-detail/5e54af72000000000100bdaa")</f>
        <v>https://pgy.xiaohongshu.com/solar/pre-trade/blogger-detail/5e54af72000000000100bdaa</v>
      </c>
      <c r="D473" t="inlineStr">
        <is>
          <t>女</t>
        </is>
      </c>
      <c r="E473" t="inlineStr">
        <is>
          <t>z1258096m</t>
        </is>
      </c>
      <c r="F473" t="inlineStr">
        <is>
          <t>小柠小柠快快走</t>
        </is>
      </c>
      <c r="G473" t="inlineStr">
        <is>
          <t>浙江 杭州 钱塘区</t>
        </is>
      </c>
      <c r="H473" t="inlineStr">
        <is>
          <t>学生</t>
        </is>
      </c>
      <c r="I473" t="inlineStr">
        <is>
          <t>教育</t>
        </is>
      </c>
      <c r="J473">
        <v>2630</v>
      </c>
      <c r="K473" t="inlineStr">
        <is>
          <t>0.3</t>
        </is>
      </c>
      <c r="L473">
        <v>4991</v>
      </c>
      <c r="M473">
        <v>659</v>
      </c>
      <c r="N473">
        <v>123</v>
      </c>
      <c r="O473">
        <v>200</v>
      </c>
      <c r="P473">
        <v>0</v>
      </c>
      <c r="Q473">
        <v>0.332999999999999</v>
      </c>
      <c r="R473">
        <v>4991</v>
      </c>
      <c r="S473">
        <v>659</v>
      </c>
      <c r="T473">
        <v>101</v>
      </c>
      <c r="U473">
        <v>0.6</v>
      </c>
      <c r="V473">
        <v>200</v>
      </c>
      <c r="W473">
        <v>0.332999999999999</v>
      </c>
      <c r="X473">
        <v>0</v>
      </c>
      <c r="Y473">
        <v>40.07</v>
      </c>
      <c r="Z473">
        <v>1.63</v>
      </c>
      <c r="AA473">
        <v>0</v>
      </c>
      <c r="AB473">
        <v>0</v>
      </c>
      <c r="AC473">
        <v>0</v>
      </c>
      <c r="AD473">
        <v>0</v>
      </c>
      <c r="AE473">
        <v>400</v>
      </c>
      <c r="AF473">
        <v>0</v>
      </c>
      <c r="AG473">
        <v>0</v>
      </c>
      <c r="AH473">
        <v>0</v>
      </c>
      <c r="AI473">
        <v>0</v>
      </c>
      <c r="AJ473">
        <v>0</v>
      </c>
      <c r="AK473">
        <v>0</v>
      </c>
      <c r="AL473">
        <v>0</v>
      </c>
      <c r="AM473">
        <v>0</v>
      </c>
      <c r="AN473">
        <v>0</v>
      </c>
      <c r="AO473">
        <v>0</v>
      </c>
      <c r="AP473">
        <v>0.904</v>
      </c>
      <c r="AQ473">
        <v>0.151</v>
      </c>
      <c r="AR473">
        <v>0.462</v>
      </c>
      <c r="AS473" s="3">
        <v>46107.77065972222</v>
      </c>
    </row>
    <row r="474" ht="25.5" customHeight="1">
      <c r="A474" t="inlineStr">
        <is>
          <t>5a8973e811be103058f62ceb</t>
        </is>
      </c>
      <c r="B474" s="2" t="str">
        <f>=HYPERLINK("https://www.xiaohongshu.com/user/profile/5a8973e811be103058f62ceb", "https://www.xiaohongshu.com/user/profile/5a8973e811be103058f62ceb")</f>
        <v>https://www.xiaohongshu.com/user/profile/5a8973e811be103058f62ceb</v>
      </c>
      <c r="C474" s="2" t="str">
        <f>=HYPERLINK("https://pgy.xiaohongshu.com/solar/pre-trade/blogger-detail/5a8973e811be103058f62ceb", "https://pgy.xiaohongshu.com/solar/pre-trade/blogger-detail/5a8973e811be103058f62ceb")</f>
        <v>https://pgy.xiaohongshu.com/solar/pre-trade/blogger-detail/5a8973e811be103058f62ceb</v>
      </c>
      <c r="D474" t="inlineStr">
        <is>
          <t>女</t>
        </is>
      </c>
      <c r="E474" t="inlineStr">
        <is>
          <t>499014572</t>
        </is>
      </c>
      <c r="F474" t="inlineStr">
        <is>
          <t>小吉娅(读研版)</t>
        </is>
      </c>
      <c r="G474" t="inlineStr">
        <is>
          <t>浙江 杭州 西湖区</t>
        </is>
      </c>
      <c r="H474" t="inlineStr">
        <is>
          <t>考研过来人, 数码爱好者, 户外爱好者, 学生, 情侣</t>
        </is>
      </c>
      <c r="I474" t="inlineStr">
        <is>
          <t>教育, 情感, 音乐</t>
        </is>
      </c>
      <c r="J474">
        <v>11375</v>
      </c>
      <c r="K474" t="inlineStr">
        <is>
          <t>1.1</t>
        </is>
      </c>
      <c r="L474">
        <v>6806</v>
      </c>
      <c r="M474">
        <v>1018</v>
      </c>
      <c r="N474">
        <v>441</v>
      </c>
      <c r="O474">
        <v>1500</v>
      </c>
      <c r="P474">
        <v>0.2</v>
      </c>
      <c r="Q474">
        <v>1</v>
      </c>
      <c r="R474">
        <v>6806</v>
      </c>
      <c r="S474">
        <v>1018</v>
      </c>
      <c r="T474">
        <v>312</v>
      </c>
      <c r="U474">
        <v>1.77</v>
      </c>
      <c r="V474">
        <v>1500</v>
      </c>
      <c r="W474">
        <v>1</v>
      </c>
      <c r="X474">
        <v>0</v>
      </c>
      <c r="Y474">
        <v>220.39</v>
      </c>
      <c r="Z474">
        <v>4.73</v>
      </c>
      <c r="AA474">
        <v>8568</v>
      </c>
      <c r="AB474">
        <v>3182</v>
      </c>
      <c r="AC474">
        <v>757</v>
      </c>
      <c r="AD474">
        <v>4.45</v>
      </c>
      <c r="AE474">
        <v>2500</v>
      </c>
      <c r="AF474">
        <v>1</v>
      </c>
      <c r="AG474">
        <v>0.25</v>
      </c>
      <c r="AH474">
        <v>0.187</v>
      </c>
      <c r="AI474">
        <v>572.08</v>
      </c>
      <c r="AJ474">
        <v>7.53</v>
      </c>
      <c r="AK474">
        <v>4573</v>
      </c>
      <c r="AL474">
        <v>848</v>
      </c>
      <c r="AM474">
        <v>262</v>
      </c>
      <c r="AN474">
        <v>0</v>
      </c>
      <c r="AO474">
        <v>3457.38</v>
      </c>
      <c r="AP474">
        <v>0.814</v>
      </c>
      <c r="AQ474">
        <v>0.045</v>
      </c>
      <c r="AR474">
        <v>0.017</v>
      </c>
      <c r="AS474" s="3">
        <v>46107.77065972222</v>
      </c>
    </row>
    <row r="475" ht="25.5" customHeight="1">
      <c r="A475" t="inlineStr">
        <is>
          <t>620148e80000000010006789</t>
        </is>
      </c>
      <c r="B475" s="2" t="str">
        <f>=HYPERLINK("https://www.xiaohongshu.com/user/profile/620148e80000000010006789", "https://www.xiaohongshu.com/user/profile/620148e80000000010006789")</f>
        <v>https://www.xiaohongshu.com/user/profile/620148e80000000010006789</v>
      </c>
      <c r="C475" s="2" t="str">
        <f>=HYPERLINK("https://pgy.xiaohongshu.com/solar/pre-trade/blogger-detail/620148e80000000010006789", "https://pgy.xiaohongshu.com/solar/pre-trade/blogger-detail/620148e80000000010006789")</f>
        <v>https://pgy.xiaohongshu.com/solar/pre-trade/blogger-detail/620148e80000000010006789</v>
      </c>
      <c r="D475" t="inlineStr">
        <is>
          <t>女</t>
        </is>
      </c>
      <c r="E475" t="inlineStr">
        <is>
          <t>ZYX00000714</t>
        </is>
      </c>
      <c r="F475" t="inlineStr">
        <is>
          <t>28秒可爱🍥</t>
        </is>
      </c>
      <c r="G475" t="inlineStr">
        <is>
          <t>美国</t>
        </is>
      </c>
      <c r="H475"/>
      <c r="I475" t="inlineStr">
        <is>
          <t>教育</t>
        </is>
      </c>
      <c r="J475">
        <v>10082</v>
      </c>
      <c r="K475" t="inlineStr">
        <is>
          <t>1.0</t>
        </is>
      </c>
      <c r="L475">
        <v>11105</v>
      </c>
      <c r="M475">
        <v>1980</v>
      </c>
      <c r="N475">
        <v>123</v>
      </c>
      <c r="O475">
        <v>849</v>
      </c>
      <c r="P475">
        <v>0</v>
      </c>
      <c r="Q475">
        <v>0</v>
      </c>
      <c r="R475">
        <v>11105</v>
      </c>
      <c r="S475">
        <v>1980</v>
      </c>
      <c r="T475">
        <v>108</v>
      </c>
      <c r="U475">
        <v>0.7</v>
      </c>
      <c r="V475">
        <v>849</v>
      </c>
      <c r="W475">
        <v>0</v>
      </c>
      <c r="X475">
        <v>0</v>
      </c>
      <c r="Y475">
        <v>68.17</v>
      </c>
      <c r="Z475">
        <v>6.11</v>
      </c>
      <c r="AA475">
        <v>0</v>
      </c>
      <c r="AB475">
        <v>0</v>
      </c>
      <c r="AC475">
        <v>0</v>
      </c>
      <c r="AD475">
        <v>0</v>
      </c>
      <c r="AE475">
        <v>850</v>
      </c>
      <c r="AF475">
        <v>0</v>
      </c>
      <c r="AG475">
        <v>0</v>
      </c>
      <c r="AH475">
        <v>0</v>
      </c>
      <c r="AI475">
        <v>0</v>
      </c>
      <c r="AJ475">
        <v>0</v>
      </c>
      <c r="AK475">
        <v>17947</v>
      </c>
      <c r="AL475">
        <v>2865</v>
      </c>
      <c r="AM475">
        <v>117</v>
      </c>
      <c r="AN475">
        <v>0</v>
      </c>
      <c r="AO475">
        <v>0</v>
      </c>
      <c r="AP475">
        <v>0.858</v>
      </c>
      <c r="AQ475">
        <v>0.031</v>
      </c>
      <c r="AR475">
        <v>0.012</v>
      </c>
      <c r="AS475" s="3">
        <v>46107.77065972222</v>
      </c>
    </row>
    <row r="476" ht="25.5" customHeight="1">
      <c r="A476" t="inlineStr">
        <is>
          <t>67c801a7000000000e0108e3</t>
        </is>
      </c>
      <c r="B476" s="2" t="str">
        <f>=HYPERLINK("https://www.xiaohongshu.com/user/profile/67c801a7000000000e0108e3", "https://www.xiaohongshu.com/user/profile/67c801a7000000000e0108e3")</f>
        <v>https://www.xiaohongshu.com/user/profile/67c801a7000000000e0108e3</v>
      </c>
      <c r="C476" s="2" t="str">
        <f>=HYPERLINK("https://pgy.xiaohongshu.com/solar/pre-trade/blogger-detail/67c801a7000000000e0108e3", "https://pgy.xiaohongshu.com/solar/pre-trade/blogger-detail/67c801a7000000000e0108e3")</f>
        <v>https://pgy.xiaohongshu.com/solar/pre-trade/blogger-detail/67c801a7000000000e0108e3</v>
      </c>
      <c r="D476" t="inlineStr">
        <is>
          <t>女</t>
        </is>
      </c>
      <c r="E476" t="inlineStr">
        <is>
          <t>94120859323</t>
        </is>
      </c>
      <c r="F476" t="inlineStr">
        <is>
          <t>小琦神丸</t>
        </is>
      </c>
      <c r="G476" t="inlineStr">
        <is>
          <t>上海</t>
        </is>
      </c>
      <c r="H476" t="inlineStr">
        <is>
          <t>学生</t>
        </is>
      </c>
      <c r="I476" t="inlineStr">
        <is>
          <t>生活记录</t>
        </is>
      </c>
      <c r="J476">
        <v>4696</v>
      </c>
      <c r="K476" t="inlineStr">
        <is>
          <t>0.5</t>
        </is>
      </c>
      <c r="L476">
        <v>15914</v>
      </c>
      <c r="M476">
        <v>2500</v>
      </c>
      <c r="N476">
        <v>234</v>
      </c>
      <c r="O476">
        <v>330</v>
      </c>
      <c r="P476">
        <v>0</v>
      </c>
      <c r="Q476">
        <v>0.846</v>
      </c>
      <c r="R476">
        <v>0</v>
      </c>
      <c r="S476">
        <v>0</v>
      </c>
      <c r="T476">
        <v>0</v>
      </c>
      <c r="U476">
        <v>0</v>
      </c>
      <c r="V476">
        <v>330</v>
      </c>
      <c r="W476">
        <v>0</v>
      </c>
      <c r="X476">
        <v>0</v>
      </c>
      <c r="Y476">
        <v>0</v>
      </c>
      <c r="Z476">
        <v>0</v>
      </c>
      <c r="AA476">
        <v>15914</v>
      </c>
      <c r="AB476">
        <v>2500</v>
      </c>
      <c r="AC476">
        <v>205</v>
      </c>
      <c r="AD476">
        <v>1.67</v>
      </c>
      <c r="AE476">
        <v>425</v>
      </c>
      <c r="AF476">
        <v>0.846</v>
      </c>
      <c r="AG476">
        <v>0</v>
      </c>
      <c r="AH476">
        <v>0.057</v>
      </c>
      <c r="AI476">
        <v>26.71</v>
      </c>
      <c r="AJ476">
        <v>1.81</v>
      </c>
      <c r="AK476">
        <v>17605</v>
      </c>
      <c r="AL476">
        <v>2569</v>
      </c>
      <c r="AM476">
        <v>233</v>
      </c>
      <c r="AN476">
        <v>5</v>
      </c>
      <c r="AO476">
        <v>2.37</v>
      </c>
      <c r="AP476">
        <v>0.907999999999999</v>
      </c>
      <c r="AQ476">
        <v>0.119</v>
      </c>
      <c r="AR476">
        <v>0.195</v>
      </c>
      <c r="AS476" s="3">
        <v>46107.77065972222</v>
      </c>
    </row>
    <row r="477" ht="25.5" customHeight="1">
      <c r="A477" t="inlineStr">
        <is>
          <t>5dff3a310000000001004636</t>
        </is>
      </c>
      <c r="B477" s="2" t="str">
        <f>=HYPERLINK("https://www.xiaohongshu.com/user/profile/5dff3a310000000001004636", "https://www.xiaohongshu.com/user/profile/5dff3a310000000001004636")</f>
        <v>https://www.xiaohongshu.com/user/profile/5dff3a310000000001004636</v>
      </c>
      <c r="C477" s="2" t="str">
        <f>=HYPERLINK("https://pgy.xiaohongshu.com/solar/pre-trade/blogger-detail/5dff3a310000000001004636", "https://pgy.xiaohongshu.com/solar/pre-trade/blogger-detail/5dff3a310000000001004636")</f>
        <v>https://pgy.xiaohongshu.com/solar/pre-trade/blogger-detail/5dff3a310000000001004636</v>
      </c>
      <c r="D477" t="inlineStr">
        <is>
          <t>女</t>
        </is>
      </c>
      <c r="E477" t="inlineStr">
        <is>
          <t>667092269</t>
        </is>
      </c>
      <c r="F477" t="inlineStr">
        <is>
          <t>阿彤木</t>
        </is>
      </c>
      <c r="G477" t="inlineStr">
        <is>
          <t>山东 济南 历城区</t>
        </is>
      </c>
      <c r="H477" t="inlineStr">
        <is>
          <t>考研过来人, 编辑</t>
        </is>
      </c>
      <c r="I477" t="inlineStr">
        <is>
          <t>教育</t>
        </is>
      </c>
      <c r="J477">
        <v>6138</v>
      </c>
      <c r="K477" t="inlineStr">
        <is>
          <t>0.6</t>
        </is>
      </c>
      <c r="L477">
        <v>9143</v>
      </c>
      <c r="M477">
        <v>1596</v>
      </c>
      <c r="N477">
        <v>302</v>
      </c>
      <c r="O477">
        <v>417</v>
      </c>
      <c r="P477">
        <v>0</v>
      </c>
      <c r="Q477">
        <v>0.5</v>
      </c>
      <c r="R477">
        <v>6890</v>
      </c>
      <c r="S477">
        <v>625</v>
      </c>
      <c r="T477">
        <v>99</v>
      </c>
      <c r="U477">
        <v>1.15</v>
      </c>
      <c r="V477">
        <v>417</v>
      </c>
      <c r="W477">
        <v>0.332999999999999</v>
      </c>
      <c r="X477">
        <v>0</v>
      </c>
      <c r="Y477">
        <v>84.7</v>
      </c>
      <c r="Z477">
        <v>6.09</v>
      </c>
      <c r="AA477">
        <v>11396</v>
      </c>
      <c r="AB477">
        <v>2568</v>
      </c>
      <c r="AC477">
        <v>405</v>
      </c>
      <c r="AD477">
        <v>1.81</v>
      </c>
      <c r="AE477">
        <v>787</v>
      </c>
      <c r="AF477">
        <v>1</v>
      </c>
      <c r="AG477">
        <v>0</v>
      </c>
      <c r="AH477">
        <v>0.02</v>
      </c>
      <c r="AI477">
        <v>69.06</v>
      </c>
      <c r="AJ477">
        <v>1.6</v>
      </c>
      <c r="AK477">
        <v>2956</v>
      </c>
      <c r="AL477">
        <v>356</v>
      </c>
      <c r="AM477">
        <v>25</v>
      </c>
      <c r="AN477">
        <v>0</v>
      </c>
      <c r="AO477">
        <v>0</v>
      </c>
      <c r="AP477">
        <v>0.818</v>
      </c>
      <c r="AQ477">
        <v>0.03</v>
      </c>
      <c r="AR477">
        <v>0.024</v>
      </c>
      <c r="AS477" s="3">
        <v>46107.77065972222</v>
      </c>
    </row>
    <row r="478" ht="25.5" customHeight="1">
      <c r="A478" t="inlineStr">
        <is>
          <t>627b25f900000000210292e1</t>
        </is>
      </c>
      <c r="B478" s="2" t="str">
        <f>=HYPERLINK("https://www.xiaohongshu.com/user/profile/627b25f900000000210292e1", "https://www.xiaohongshu.com/user/profile/627b25f900000000210292e1")</f>
        <v>https://www.xiaohongshu.com/user/profile/627b25f900000000210292e1</v>
      </c>
      <c r="C478" s="2" t="str">
        <f>=HYPERLINK("https://pgy.xiaohongshu.com/solar/pre-trade/blogger-detail/627b25f900000000210292e1", "https://pgy.xiaohongshu.com/solar/pre-trade/blogger-detail/627b25f900000000210292e1")</f>
        <v>https://pgy.xiaohongshu.com/solar/pre-trade/blogger-detail/627b25f900000000210292e1</v>
      </c>
      <c r="D478" t="inlineStr">
        <is>
          <t>男</t>
        </is>
      </c>
      <c r="E478" t="inlineStr">
        <is>
          <t>1528697956</t>
        </is>
      </c>
      <c r="F478" t="inlineStr">
        <is>
          <t>三三d成长记</t>
        </is>
      </c>
      <c r="G478" t="inlineStr">
        <is>
          <t>福建 厦门 思明区</t>
        </is>
      </c>
      <c r="H478" t="inlineStr">
        <is>
          <t>考研过来人, 学生</t>
        </is>
      </c>
      <c r="I478" t="inlineStr">
        <is>
          <t>出行旅游, 教育, 生活记录</t>
        </is>
      </c>
      <c r="J478">
        <v>49495</v>
      </c>
      <c r="K478" t="inlineStr">
        <is>
          <t>4.9</t>
        </is>
      </c>
      <c r="L478">
        <v>15186</v>
      </c>
      <c r="M478">
        <v>1886</v>
      </c>
      <c r="N478">
        <v>188</v>
      </c>
      <c r="O478">
        <v>3000</v>
      </c>
      <c r="P478">
        <v>0</v>
      </c>
      <c r="Q478">
        <v>0.75</v>
      </c>
      <c r="R478">
        <v>15186</v>
      </c>
      <c r="S478">
        <v>1886</v>
      </c>
      <c r="T478">
        <v>178</v>
      </c>
      <c r="U478">
        <v>1.89</v>
      </c>
      <c r="V478">
        <v>3000</v>
      </c>
      <c r="W478">
        <v>0.75</v>
      </c>
      <c r="X478">
        <v>0</v>
      </c>
      <c r="Y478">
        <v>197.55</v>
      </c>
      <c r="Z478">
        <v>15.92</v>
      </c>
      <c r="AA478">
        <v>0</v>
      </c>
      <c r="AB478">
        <v>0</v>
      </c>
      <c r="AC478">
        <v>0</v>
      </c>
      <c r="AD478">
        <v>0</v>
      </c>
      <c r="AE478">
        <v>3000</v>
      </c>
      <c r="AF478">
        <v>0</v>
      </c>
      <c r="AG478">
        <v>0</v>
      </c>
      <c r="AH478">
        <v>0</v>
      </c>
      <c r="AI478">
        <v>0</v>
      </c>
      <c r="AJ478">
        <v>0</v>
      </c>
      <c r="AK478">
        <v>0</v>
      </c>
      <c r="AL478">
        <v>0</v>
      </c>
      <c r="AM478">
        <v>0</v>
      </c>
      <c r="AN478">
        <v>0</v>
      </c>
      <c r="AO478">
        <v>0</v>
      </c>
      <c r="AP478">
        <v>0.733</v>
      </c>
      <c r="AQ478">
        <v>0.009</v>
      </c>
      <c r="AR478">
        <v>-0.003</v>
      </c>
      <c r="AS478" s="3">
        <v>46107.77065972222</v>
      </c>
    </row>
    <row r="479" ht="25.5" customHeight="1">
      <c r="A479" t="inlineStr">
        <is>
          <t>5d18fb0b0000000016002536</t>
        </is>
      </c>
      <c r="B479" s="2" t="str">
        <f>=HYPERLINK("https://www.xiaohongshu.com/user/profile/5d18fb0b0000000016002536", "https://www.xiaohongshu.com/user/profile/5d18fb0b0000000016002536")</f>
        <v>https://www.xiaohongshu.com/user/profile/5d18fb0b0000000016002536</v>
      </c>
      <c r="C479" s="2" t="str">
        <f>=HYPERLINK("https://pgy.xiaohongshu.com/solar/pre-trade/blogger-detail/5d18fb0b0000000016002536", "https://pgy.xiaohongshu.com/solar/pre-trade/blogger-detail/5d18fb0b0000000016002536")</f>
        <v>https://pgy.xiaohongshu.com/solar/pre-trade/blogger-detail/5d18fb0b0000000016002536</v>
      </c>
      <c r="D479" t="inlineStr">
        <is>
          <t>女</t>
        </is>
      </c>
      <c r="E479" t="inlineStr">
        <is>
          <t>776729640</t>
        </is>
      </c>
      <c r="F479" t="inlineStr">
        <is>
          <t>aiFei猛猛学</t>
        </is>
      </c>
      <c r="G479" t="inlineStr">
        <is>
          <t>北京</t>
        </is>
      </c>
      <c r="H479" t="inlineStr">
        <is>
          <t>考研过来人, 手账爱好者, 学生</t>
        </is>
      </c>
      <c r="I479" t="inlineStr">
        <is>
          <t>教育, 生活记录</t>
        </is>
      </c>
      <c r="J479">
        <v>20088</v>
      </c>
      <c r="K479" t="inlineStr">
        <is>
          <t>2.0</t>
        </is>
      </c>
      <c r="L479">
        <v>31419</v>
      </c>
      <c r="M479">
        <v>8131</v>
      </c>
      <c r="N479">
        <v>1139</v>
      </c>
      <c r="O479">
        <v>1500</v>
      </c>
      <c r="P479">
        <v>0.25</v>
      </c>
      <c r="Q479">
        <v>1</v>
      </c>
      <c r="R479">
        <v>0</v>
      </c>
      <c r="S479">
        <v>0</v>
      </c>
      <c r="T479">
        <v>0</v>
      </c>
      <c r="U479">
        <v>0</v>
      </c>
      <c r="V479">
        <v>1500</v>
      </c>
      <c r="W479">
        <v>0</v>
      </c>
      <c r="X479">
        <v>0</v>
      </c>
      <c r="Y479">
        <v>0</v>
      </c>
      <c r="Z479">
        <v>0</v>
      </c>
      <c r="AA479">
        <v>31419</v>
      </c>
      <c r="AB479">
        <v>8131</v>
      </c>
      <c r="AC479">
        <v>1045</v>
      </c>
      <c r="AD479">
        <v>1.8</v>
      </c>
      <c r="AE479">
        <v>2400</v>
      </c>
      <c r="AF479">
        <v>1</v>
      </c>
      <c r="AG479">
        <v>0.25</v>
      </c>
      <c r="AH479">
        <v>0.01</v>
      </c>
      <c r="AI479">
        <v>76.39</v>
      </c>
      <c r="AJ479">
        <v>2.11</v>
      </c>
      <c r="AK479">
        <v>0</v>
      </c>
      <c r="AL479">
        <v>0</v>
      </c>
      <c r="AM479">
        <v>0</v>
      </c>
      <c r="AN479">
        <v>0</v>
      </c>
      <c r="AO479">
        <v>0</v>
      </c>
      <c r="AP479">
        <v>0.790999999999999</v>
      </c>
      <c r="AQ479">
        <v>0.121</v>
      </c>
      <c r="AR479">
        <v>0.154</v>
      </c>
      <c r="AS479" s="3">
        <v>46107.77065972222</v>
      </c>
    </row>
    <row r="480" ht="25.5" customHeight="1">
      <c r="A480" t="inlineStr">
        <is>
          <t>5ddf0d100000000001000c20</t>
        </is>
      </c>
      <c r="B480" s="2" t="str">
        <f>=HYPERLINK("https://www.xiaohongshu.com/user/profile/5ddf0d100000000001000c20", "https://www.xiaohongshu.com/user/profile/5ddf0d100000000001000c20")</f>
        <v>https://www.xiaohongshu.com/user/profile/5ddf0d100000000001000c20</v>
      </c>
      <c r="C480" s="2" t="str">
        <f>=HYPERLINK("https://pgy.xiaohongshu.com/solar/pre-trade/blogger-detail/5ddf0d100000000001000c20", "https://pgy.xiaohongshu.com/solar/pre-trade/blogger-detail/5ddf0d100000000001000c20")</f>
        <v>https://pgy.xiaohongshu.com/solar/pre-trade/blogger-detail/5ddf0d100000000001000c20</v>
      </c>
      <c r="D480" t="inlineStr">
        <is>
          <t>男</t>
        </is>
      </c>
      <c r="E480" t="inlineStr">
        <is>
          <t>794419647</t>
        </is>
      </c>
      <c r="F480" t="inlineStr">
        <is>
          <t>我是小余同学</t>
        </is>
      </c>
      <c r="G480" t="inlineStr">
        <is>
          <t>河南 郑州 惠济区</t>
        </is>
      </c>
      <c r="H480" t="inlineStr">
        <is>
          <t>学生, 运营</t>
        </is>
      </c>
      <c r="I480" t="inlineStr">
        <is>
          <t>教育</t>
        </is>
      </c>
      <c r="J480">
        <v>154190</v>
      </c>
      <c r="K480" t="inlineStr">
        <is>
          <t>15.4</t>
        </is>
      </c>
      <c r="L480">
        <v>9904</v>
      </c>
      <c r="M480">
        <v>5381</v>
      </c>
      <c r="N480">
        <v>253</v>
      </c>
      <c r="O480">
        <v>4000</v>
      </c>
      <c r="P480">
        <v>0.182</v>
      </c>
      <c r="Q480">
        <v>0.727</v>
      </c>
      <c r="R480">
        <v>2294</v>
      </c>
      <c r="S480">
        <v>233</v>
      </c>
      <c r="T480">
        <v>113</v>
      </c>
      <c r="U480">
        <v>17.47</v>
      </c>
      <c r="V480">
        <v>4000</v>
      </c>
      <c r="W480">
        <v>0</v>
      </c>
      <c r="X480">
        <v>0</v>
      </c>
      <c r="Y480">
        <v>1743.68</v>
      </c>
      <c r="Z480">
        <v>28.37</v>
      </c>
      <c r="AA480">
        <v>9911</v>
      </c>
      <c r="AB480">
        <v>5384</v>
      </c>
      <c r="AC480">
        <v>218</v>
      </c>
      <c r="AD480">
        <v>2.43</v>
      </c>
      <c r="AE480">
        <v>5000</v>
      </c>
      <c r="AF480">
        <v>0.762</v>
      </c>
      <c r="AG480">
        <v>0.19</v>
      </c>
      <c r="AH480">
        <v>0.236</v>
      </c>
      <c r="AI480">
        <v>504.49</v>
      </c>
      <c r="AJ480">
        <v>19.23</v>
      </c>
      <c r="AK480">
        <v>0</v>
      </c>
      <c r="AL480">
        <v>0</v>
      </c>
      <c r="AM480">
        <v>0</v>
      </c>
      <c r="AN480">
        <v>0</v>
      </c>
      <c r="AO480">
        <v>0</v>
      </c>
      <c r="AP480">
        <v>0.585</v>
      </c>
      <c r="AQ480">
        <v>0.018</v>
      </c>
      <c r="AR480">
        <v>0.013</v>
      </c>
      <c r="AS480" s="3">
        <v>46107.77065972222</v>
      </c>
    </row>
    <row r="481" ht="25.5" customHeight="1">
      <c r="A481" t="inlineStr">
        <is>
          <t>619b66f700000000210282f7</t>
        </is>
      </c>
      <c r="B481" s="2" t="str">
        <f>=HYPERLINK("https://www.xiaohongshu.com/user/profile/619b66f700000000210282f7", "https://www.xiaohongshu.com/user/profile/619b66f700000000210282f7")</f>
        <v>https://www.xiaohongshu.com/user/profile/619b66f700000000210282f7</v>
      </c>
      <c r="C481" s="2" t="str">
        <f>=HYPERLINK("https://pgy.xiaohongshu.com/solar/pre-trade/blogger-detail/619b66f700000000210282f7", "https://pgy.xiaohongshu.com/solar/pre-trade/blogger-detail/619b66f700000000210282f7")</f>
        <v>https://pgy.xiaohongshu.com/solar/pre-trade/blogger-detail/619b66f700000000210282f7</v>
      </c>
      <c r="D481" t="inlineStr">
        <is>
          <t>女</t>
        </is>
      </c>
      <c r="E481" t="inlineStr">
        <is>
          <t>1859156424</t>
        </is>
      </c>
      <c r="F481" t="inlineStr">
        <is>
          <t>Verity（教育学值得我再次出发！</t>
        </is>
      </c>
      <c r="G481" t="inlineStr">
        <is>
          <t>广东 广州 花都区</t>
        </is>
      </c>
      <c r="H481"/>
      <c r="I481" t="inlineStr">
        <is>
          <t>教育</t>
        </is>
      </c>
      <c r="J481">
        <v>40232</v>
      </c>
      <c r="K481" t="inlineStr">
        <is>
          <t>4.0</t>
        </is>
      </c>
      <c r="L481">
        <v>27210</v>
      </c>
      <c r="M481">
        <v>7656</v>
      </c>
      <c r="N481">
        <v>397</v>
      </c>
      <c r="O481">
        <v>1098</v>
      </c>
      <c r="P481">
        <v>0</v>
      </c>
      <c r="Q481">
        <v>0.5</v>
      </c>
      <c r="R481">
        <v>49829</v>
      </c>
      <c r="S481">
        <v>14270</v>
      </c>
      <c r="T481">
        <v>634</v>
      </c>
      <c r="U481">
        <v>0.38</v>
      </c>
      <c r="V481">
        <v>1098</v>
      </c>
      <c r="W481">
        <v>1</v>
      </c>
      <c r="X481">
        <v>0</v>
      </c>
      <c r="Y481">
        <v>22.04</v>
      </c>
      <c r="Z481">
        <v>1.57</v>
      </c>
      <c r="AA481">
        <v>4591</v>
      </c>
      <c r="AB481">
        <v>1042</v>
      </c>
      <c r="AC481">
        <v>68</v>
      </c>
      <c r="AD481">
        <v>3.93</v>
      </c>
      <c r="AE481">
        <v>2530</v>
      </c>
      <c r="AF481">
        <v>0</v>
      </c>
      <c r="AG481">
        <v>0</v>
      </c>
      <c r="AH481">
        <v>0.045</v>
      </c>
      <c r="AI481">
        <v>551.08</v>
      </c>
      <c r="AJ481">
        <v>26.91</v>
      </c>
      <c r="AK481">
        <v>0</v>
      </c>
      <c r="AL481">
        <v>0</v>
      </c>
      <c r="AM481">
        <v>0</v>
      </c>
      <c r="AN481">
        <v>0</v>
      </c>
      <c r="AO481">
        <v>0</v>
      </c>
      <c r="AP481">
        <v>0.905</v>
      </c>
      <c r="AQ481">
        <v>0.008</v>
      </c>
      <c r="AR481">
        <v>-0.012</v>
      </c>
      <c r="AS481" s="3">
        <v>46107.77065972222</v>
      </c>
    </row>
    <row r="482" ht="25.5" customHeight="1">
      <c r="A482" t="inlineStr">
        <is>
          <t>5f01c2cd0000000001007254</t>
        </is>
      </c>
      <c r="B482" s="2" t="str">
        <f>=HYPERLINK("https://www.xiaohongshu.com/user/profile/5f01c2cd0000000001007254", "https://www.xiaohongshu.com/user/profile/5f01c2cd0000000001007254")</f>
        <v>https://www.xiaohongshu.com/user/profile/5f01c2cd0000000001007254</v>
      </c>
      <c r="C482" s="2" t="str">
        <f>=HYPERLINK("https://pgy.xiaohongshu.com/solar/pre-trade/blogger-detail/5f01c2cd0000000001007254", "https://pgy.xiaohongshu.com/solar/pre-trade/blogger-detail/5f01c2cd0000000001007254")</f>
        <v>https://pgy.xiaohongshu.com/solar/pre-trade/blogger-detail/5f01c2cd0000000001007254</v>
      </c>
      <c r="D482" t="inlineStr">
        <is>
          <t>男</t>
        </is>
      </c>
      <c r="E482" t="inlineStr">
        <is>
          <t>824531812</t>
        </is>
      </c>
      <c r="F482" t="inlineStr">
        <is>
          <t>Estella_a</t>
        </is>
      </c>
      <c r="G482" t="inlineStr">
        <is>
          <t>上海</t>
        </is>
      </c>
      <c r="H482" t="inlineStr">
        <is>
          <t>学生</t>
        </is>
      </c>
      <c r="I482" t="inlineStr">
        <is>
          <t>教育</t>
        </is>
      </c>
      <c r="J482">
        <v>4818</v>
      </c>
      <c r="K482" t="inlineStr">
        <is>
          <t>0.5</t>
        </is>
      </c>
      <c r="L482">
        <v>4379</v>
      </c>
      <c r="M482">
        <v>1232</v>
      </c>
      <c r="N482">
        <v>212</v>
      </c>
      <c r="O482">
        <v>200</v>
      </c>
      <c r="P482">
        <v>0.5</v>
      </c>
      <c r="Q482">
        <v>1</v>
      </c>
      <c r="R482">
        <v>0</v>
      </c>
      <c r="S482">
        <v>0</v>
      </c>
      <c r="T482">
        <v>0</v>
      </c>
      <c r="U482">
        <v>0</v>
      </c>
      <c r="V482">
        <v>200</v>
      </c>
      <c r="W482">
        <v>0</v>
      </c>
      <c r="X482">
        <v>0</v>
      </c>
      <c r="Y482">
        <v>0</v>
      </c>
      <c r="Z482">
        <v>0</v>
      </c>
      <c r="AA482">
        <v>48022</v>
      </c>
      <c r="AB482">
        <v>7791</v>
      </c>
      <c r="AC482">
        <v>806</v>
      </c>
      <c r="AD482">
        <v>1.58</v>
      </c>
      <c r="AE482">
        <v>600</v>
      </c>
      <c r="AF482">
        <v>1</v>
      </c>
      <c r="AG482">
        <v>0.5</v>
      </c>
      <c r="AH482">
        <v>0.039</v>
      </c>
      <c r="AI482">
        <v>12.49</v>
      </c>
      <c r="AJ482">
        <v>0.54</v>
      </c>
      <c r="AK482">
        <v>0</v>
      </c>
      <c r="AL482">
        <v>0</v>
      </c>
      <c r="AM482">
        <v>0</v>
      </c>
      <c r="AN482">
        <v>0</v>
      </c>
      <c r="AO482">
        <v>0</v>
      </c>
      <c r="AP482">
        <v>0.947</v>
      </c>
      <c r="AQ482">
        <v>0.100999999999999</v>
      </c>
      <c r="AR482">
        <v>0.155</v>
      </c>
      <c r="AS482" s="3">
        <v>46107.77086805556</v>
      </c>
    </row>
    <row r="483" ht="25.5" customHeight="1">
      <c r="A483" t="inlineStr">
        <is>
          <t>657fc24c000000001901103d</t>
        </is>
      </c>
      <c r="B483" s="2" t="str">
        <f>=HYPERLINK("https://www.xiaohongshu.com/user/profile/657fc24c000000001901103d", "https://www.xiaohongshu.com/user/profile/657fc24c000000001901103d")</f>
        <v>https://www.xiaohongshu.com/user/profile/657fc24c000000001901103d</v>
      </c>
      <c r="C483" s="2" t="str">
        <f>=HYPERLINK("https://pgy.xiaohongshu.com/solar/pre-trade/blogger-detail/657fc24c000000001901103d", "https://pgy.xiaohongshu.com/solar/pre-trade/blogger-detail/657fc24c000000001901103d")</f>
        <v>https://pgy.xiaohongshu.com/solar/pre-trade/blogger-detail/657fc24c000000001901103d</v>
      </c>
      <c r="D483" t="inlineStr">
        <is>
          <t>女</t>
        </is>
      </c>
      <c r="E483" t="inlineStr">
        <is>
          <t>NGMLL11</t>
        </is>
      </c>
      <c r="F483" t="inlineStr">
        <is>
          <t>一战研🐴（专门辅导马毛新）</t>
        </is>
      </c>
      <c r="G483" t="inlineStr">
        <is>
          <t>江西 南昌 青山湖区</t>
        </is>
      </c>
      <c r="H483" t="inlineStr">
        <is>
          <t>考研过来人</t>
        </is>
      </c>
      <c r="I483" t="inlineStr">
        <is>
          <t>教育</t>
        </is>
      </c>
      <c r="J483">
        <v>8967</v>
      </c>
      <c r="K483" t="inlineStr">
        <is>
          <t>0.9</t>
        </is>
      </c>
      <c r="L483">
        <v>9006</v>
      </c>
      <c r="M483">
        <v>1569</v>
      </c>
      <c r="N483">
        <v>351</v>
      </c>
      <c r="O483">
        <v>442</v>
      </c>
      <c r="P483">
        <v>0</v>
      </c>
      <c r="Q483">
        <v>0.625</v>
      </c>
      <c r="R483">
        <v>9006</v>
      </c>
      <c r="S483">
        <v>1569</v>
      </c>
      <c r="T483">
        <v>306</v>
      </c>
      <c r="U483">
        <v>0.58</v>
      </c>
      <c r="V483">
        <v>442</v>
      </c>
      <c r="W483">
        <v>0.625</v>
      </c>
      <c r="X483">
        <v>0</v>
      </c>
      <c r="Y483">
        <v>49.08</v>
      </c>
      <c r="Z483">
        <v>1.26</v>
      </c>
      <c r="AA483">
        <v>0</v>
      </c>
      <c r="AB483">
        <v>0</v>
      </c>
      <c r="AC483">
        <v>0</v>
      </c>
      <c r="AD483">
        <v>0</v>
      </c>
      <c r="AE483">
        <v>737</v>
      </c>
      <c r="AF483">
        <v>0</v>
      </c>
      <c r="AG483">
        <v>0</v>
      </c>
      <c r="AH483">
        <v>0</v>
      </c>
      <c r="AI483">
        <v>0</v>
      </c>
      <c r="AJ483">
        <v>0</v>
      </c>
      <c r="AK483">
        <v>0</v>
      </c>
      <c r="AL483">
        <v>0</v>
      </c>
      <c r="AM483">
        <v>0</v>
      </c>
      <c r="AN483">
        <v>0</v>
      </c>
      <c r="AO483">
        <v>0</v>
      </c>
      <c r="AP483">
        <v>0.864</v>
      </c>
      <c r="AQ483">
        <v>0.133</v>
      </c>
      <c r="AR483">
        <v>0.053</v>
      </c>
      <c r="AS483" s="3">
        <v>46107.77086805556</v>
      </c>
    </row>
    <row r="484" ht="25.5" customHeight="1">
      <c r="A484" t="inlineStr">
        <is>
          <t>684f8098000000001d015f19</t>
        </is>
      </c>
      <c r="B484" s="2" t="str">
        <f>=HYPERLINK("https://www.xiaohongshu.com/user/profile/684f8098000000001d015f19", "https://www.xiaohongshu.com/user/profile/684f8098000000001d015f19")</f>
        <v>https://www.xiaohongshu.com/user/profile/684f8098000000001d015f19</v>
      </c>
      <c r="C484" s="2" t="str">
        <f>=HYPERLINK("https://pgy.xiaohongshu.com/solar/pre-trade/blogger-detail/684f8098000000001d015f19", "https://pgy.xiaohongshu.com/solar/pre-trade/blogger-detail/684f8098000000001d015f19")</f>
        <v>https://pgy.xiaohongshu.com/solar/pre-trade/blogger-detail/684f8098000000001d015f19</v>
      </c>
      <c r="D484" t="inlineStr">
        <is>
          <t>男</t>
        </is>
      </c>
      <c r="E484" t="inlineStr">
        <is>
          <t>26160934788</t>
        </is>
      </c>
      <c r="F484" t="inlineStr">
        <is>
          <t>茶茶的嘉讯</t>
        </is>
      </c>
      <c r="G484" t="inlineStr">
        <is>
          <t>天津</t>
        </is>
      </c>
      <c r="H484" t="inlineStr">
        <is>
          <t>考研过来人, 妈妈, 夫妻, 6-12个月</t>
        </is>
      </c>
      <c r="I484" t="inlineStr">
        <is>
          <t>生活记录, 母婴</t>
        </is>
      </c>
      <c r="J484">
        <v>6957</v>
      </c>
      <c r="K484" t="inlineStr">
        <is>
          <t>0.7</t>
        </is>
      </c>
      <c r="L484">
        <v>4465</v>
      </c>
      <c r="M484">
        <v>889</v>
      </c>
      <c r="N484">
        <v>135</v>
      </c>
      <c r="O484">
        <v>350</v>
      </c>
      <c r="P484">
        <v>0</v>
      </c>
      <c r="Q484">
        <v>0.3</v>
      </c>
      <c r="R484">
        <v>4465</v>
      </c>
      <c r="S484">
        <v>889</v>
      </c>
      <c r="T484">
        <v>130</v>
      </c>
      <c r="U484">
        <v>0.65</v>
      </c>
      <c r="V484">
        <v>350</v>
      </c>
      <c r="W484">
        <v>0.3</v>
      </c>
      <c r="X484">
        <v>0</v>
      </c>
      <c r="Y484">
        <v>73.39</v>
      </c>
      <c r="Z484">
        <v>2.92</v>
      </c>
      <c r="AA484">
        <v>0</v>
      </c>
      <c r="AB484">
        <v>0</v>
      </c>
      <c r="AC484">
        <v>0</v>
      </c>
      <c r="AD484">
        <v>0</v>
      </c>
      <c r="AE484">
        <v>500</v>
      </c>
      <c r="AF484">
        <v>0</v>
      </c>
      <c r="AG484">
        <v>0</v>
      </c>
      <c r="AH484">
        <v>0</v>
      </c>
      <c r="AI484">
        <v>0</v>
      </c>
      <c r="AJ484">
        <v>0</v>
      </c>
      <c r="AK484">
        <v>16071</v>
      </c>
      <c r="AL484">
        <v>2395</v>
      </c>
      <c r="AM484">
        <v>33</v>
      </c>
      <c r="AN484">
        <v>0</v>
      </c>
      <c r="AO484">
        <v>0</v>
      </c>
      <c r="AP484">
        <v>0.902</v>
      </c>
      <c r="AQ484">
        <v>0.016</v>
      </c>
      <c r="AR484">
        <v>-0.023</v>
      </c>
      <c r="AS484" s="3">
        <v>46107.77086805556</v>
      </c>
    </row>
    <row r="485" ht="25.5" customHeight="1">
      <c r="A485" t="inlineStr">
        <is>
          <t>603e3ac00000000001002bc8</t>
        </is>
      </c>
      <c r="B485" s="2" t="str">
        <f>=HYPERLINK("https://www.xiaohongshu.com/user/profile/603e3ac00000000001002bc8", "https://www.xiaohongshu.com/user/profile/603e3ac00000000001002bc8")</f>
        <v>https://www.xiaohongshu.com/user/profile/603e3ac00000000001002bc8</v>
      </c>
      <c r="C485" s="2" t="str">
        <f>=HYPERLINK("https://pgy.xiaohongshu.com/solar/pre-trade/blogger-detail/603e3ac00000000001002bc8", "https://pgy.xiaohongshu.com/solar/pre-trade/blogger-detail/603e3ac00000000001002bc8")</f>
        <v>https://pgy.xiaohongshu.com/solar/pre-trade/blogger-detail/603e3ac00000000001002bc8</v>
      </c>
      <c r="D485" t="inlineStr">
        <is>
          <t>女</t>
        </is>
      </c>
      <c r="E485" t="inlineStr">
        <is>
          <t>1808647823</t>
        </is>
      </c>
      <c r="F485" t="inlineStr">
        <is>
          <t>momo信息分享版</t>
        </is>
      </c>
      <c r="G485" t="inlineStr">
        <is>
          <t>福建 福州 闽侯县</t>
        </is>
      </c>
      <c r="H485"/>
      <c r="I485" t="inlineStr">
        <is>
          <t>职场, 教育</t>
        </is>
      </c>
      <c r="J485">
        <v>7729</v>
      </c>
      <c r="K485" t="inlineStr">
        <is>
          <t>0.8</t>
        </is>
      </c>
      <c r="L485">
        <v>22777</v>
      </c>
      <c r="M485">
        <v>4259</v>
      </c>
      <c r="N485">
        <v>280</v>
      </c>
      <c r="O485">
        <v>699</v>
      </c>
      <c r="P485">
        <v>0</v>
      </c>
      <c r="Q485">
        <v>0.25</v>
      </c>
      <c r="R485">
        <v>22777</v>
      </c>
      <c r="S485">
        <v>4259</v>
      </c>
      <c r="T485">
        <v>202</v>
      </c>
      <c r="U485">
        <v>0.46</v>
      </c>
      <c r="V485">
        <v>699</v>
      </c>
      <c r="W485">
        <v>0.25</v>
      </c>
      <c r="X485">
        <v>0</v>
      </c>
      <c r="Y485">
        <v>30.69</v>
      </c>
      <c r="Z485">
        <v>2.5</v>
      </c>
      <c r="AA485">
        <v>0</v>
      </c>
      <c r="AB485">
        <v>0</v>
      </c>
      <c r="AC485">
        <v>0</v>
      </c>
      <c r="AD485">
        <v>0</v>
      </c>
      <c r="AE485">
        <v>788</v>
      </c>
      <c r="AF485">
        <v>0</v>
      </c>
      <c r="AG485">
        <v>0</v>
      </c>
      <c r="AH485">
        <v>0</v>
      </c>
      <c r="AI485">
        <v>0</v>
      </c>
      <c r="AJ485">
        <v>0</v>
      </c>
      <c r="AK485">
        <v>0</v>
      </c>
      <c r="AL485">
        <v>0</v>
      </c>
      <c r="AM485">
        <v>0</v>
      </c>
      <c r="AN485">
        <v>0</v>
      </c>
      <c r="AO485">
        <v>0</v>
      </c>
      <c r="AP485">
        <v>0.892</v>
      </c>
      <c r="AQ485">
        <v>0.035</v>
      </c>
      <c r="AR485">
        <v>0.0289999999999999</v>
      </c>
      <c r="AS485" s="3">
        <v>46107.77086805556</v>
      </c>
    </row>
    <row r="486" ht="25.5" customHeight="1">
      <c r="A486" t="inlineStr">
        <is>
          <t>5d09e14e000000001102f618</t>
        </is>
      </c>
      <c r="B486" s="2" t="str">
        <f>=HYPERLINK("https://www.xiaohongshu.com/user/profile/5d09e14e000000001102f618", "https://www.xiaohongshu.com/user/profile/5d09e14e000000001102f618")</f>
        <v>https://www.xiaohongshu.com/user/profile/5d09e14e000000001102f618</v>
      </c>
      <c r="C486" s="2" t="str">
        <f>=HYPERLINK("https://pgy.xiaohongshu.com/solar/pre-trade/blogger-detail/5d09e14e000000001102f618", "https://pgy.xiaohongshu.com/solar/pre-trade/blogger-detail/5d09e14e000000001102f618")</f>
        <v>https://pgy.xiaohongshu.com/solar/pre-trade/blogger-detail/5d09e14e000000001102f618</v>
      </c>
      <c r="D486" t="inlineStr">
        <is>
          <t>男</t>
        </is>
      </c>
      <c r="E486" t="inlineStr">
        <is>
          <t>Gzx200106</t>
        </is>
      </c>
      <c r="F486" t="inlineStr">
        <is>
          <t>阿行学长</t>
        </is>
      </c>
      <c r="G486" t="inlineStr">
        <is>
          <t>陕西 西安 长安区</t>
        </is>
      </c>
      <c r="H486" t="inlineStr">
        <is>
          <t>考研过来人, 学生</t>
        </is>
      </c>
      <c r="I486" t="inlineStr">
        <is>
          <t>教育</t>
        </is>
      </c>
      <c r="J486">
        <v>10786</v>
      </c>
      <c r="K486" t="inlineStr">
        <is>
          <t>1.1</t>
        </is>
      </c>
      <c r="L486">
        <v>15228</v>
      </c>
      <c r="M486">
        <v>3030</v>
      </c>
      <c r="N486">
        <v>116</v>
      </c>
      <c r="O486">
        <v>2000</v>
      </c>
      <c r="P486">
        <v>0</v>
      </c>
      <c r="Q486">
        <v>0.375</v>
      </c>
      <c r="R486">
        <v>17027</v>
      </c>
      <c r="S486">
        <v>3624</v>
      </c>
      <c r="T486">
        <v>125</v>
      </c>
      <c r="U486">
        <v>0.85</v>
      </c>
      <c r="V486">
        <v>2000</v>
      </c>
      <c r="W486">
        <v>0.375</v>
      </c>
      <c r="X486">
        <v>0</v>
      </c>
      <c r="Y486">
        <v>117.46</v>
      </c>
      <c r="Z486">
        <v>13.51</v>
      </c>
      <c r="AA486">
        <v>0</v>
      </c>
      <c r="AB486">
        <v>0</v>
      </c>
      <c r="AC486">
        <v>0</v>
      </c>
      <c r="AD486">
        <v>0</v>
      </c>
      <c r="AE486">
        <v>2000</v>
      </c>
      <c r="AF486">
        <v>0</v>
      </c>
      <c r="AG486">
        <v>0</v>
      </c>
      <c r="AH486">
        <v>0</v>
      </c>
      <c r="AI486">
        <v>0</v>
      </c>
      <c r="AJ486">
        <v>0</v>
      </c>
      <c r="AK486">
        <v>0</v>
      </c>
      <c r="AL486">
        <v>0</v>
      </c>
      <c r="AM486">
        <v>0</v>
      </c>
      <c r="AN486">
        <v>0</v>
      </c>
      <c r="AO486">
        <v>0</v>
      </c>
      <c r="AP486">
        <v>0.855</v>
      </c>
      <c r="AQ486">
        <v>0.066</v>
      </c>
      <c r="AR486">
        <v>0.018</v>
      </c>
      <c r="AS486" s="3">
        <v>46107.77086805556</v>
      </c>
    </row>
    <row r="487" ht="25.5" customHeight="1">
      <c r="A487" t="inlineStr">
        <is>
          <t>5bb85dc03c2ad9000102021e</t>
        </is>
      </c>
      <c r="B487" s="2" t="str">
        <f>=HYPERLINK("https://www.xiaohongshu.com/user/profile/5bb85dc03c2ad9000102021e", "https://www.xiaohongshu.com/user/profile/5bb85dc03c2ad9000102021e")</f>
        <v>https://www.xiaohongshu.com/user/profile/5bb85dc03c2ad9000102021e</v>
      </c>
      <c r="C487" s="2" t="str">
        <f>=HYPERLINK("https://pgy.xiaohongshu.com/solar/pre-trade/blogger-detail/5bb85dc03c2ad9000102021e", "https://pgy.xiaohongshu.com/solar/pre-trade/blogger-detail/5bb85dc03c2ad9000102021e")</f>
        <v>https://pgy.xiaohongshu.com/solar/pre-trade/blogger-detail/5bb85dc03c2ad9000102021e</v>
      </c>
      <c r="D487" t="inlineStr">
        <is>
          <t>女</t>
        </is>
      </c>
      <c r="E487" t="inlineStr">
        <is>
          <t>567935822</t>
        </is>
      </c>
      <c r="F487" t="inlineStr">
        <is>
          <t>读博的小饶学姐</t>
        </is>
      </c>
      <c r="G487" t="inlineStr">
        <is>
          <t>湖北 武汉 江夏区</t>
        </is>
      </c>
      <c r="H487"/>
      <c r="I487" t="inlineStr">
        <is>
          <t>教育</t>
        </is>
      </c>
      <c r="J487">
        <v>80766</v>
      </c>
      <c r="K487" t="inlineStr">
        <is>
          <t>8.1</t>
        </is>
      </c>
      <c r="L487">
        <v>142709</v>
      </c>
      <c r="M487">
        <v>26691</v>
      </c>
      <c r="N487">
        <v>2535</v>
      </c>
      <c r="O487">
        <v>5000</v>
      </c>
      <c r="P487">
        <v>0.332999999999999</v>
      </c>
      <c r="Q487">
        <v>1</v>
      </c>
      <c r="R487">
        <v>142709</v>
      </c>
      <c r="S487">
        <v>26691</v>
      </c>
      <c r="T487">
        <v>1765</v>
      </c>
      <c r="U487">
        <v>0.49</v>
      </c>
      <c r="V487">
        <v>5000</v>
      </c>
      <c r="W487">
        <v>1</v>
      </c>
      <c r="X487">
        <v>0.332999999999999</v>
      </c>
      <c r="Y487">
        <v>35.04</v>
      </c>
      <c r="Z487">
        <v>1.97</v>
      </c>
      <c r="AA487">
        <v>0</v>
      </c>
      <c r="AB487">
        <v>0</v>
      </c>
      <c r="AC487">
        <v>0</v>
      </c>
      <c r="AD487">
        <v>0</v>
      </c>
      <c r="AE487">
        <v>10000</v>
      </c>
      <c r="AF487">
        <v>0</v>
      </c>
      <c r="AG487">
        <v>0</v>
      </c>
      <c r="AH487">
        <v>0</v>
      </c>
      <c r="AI487">
        <v>0</v>
      </c>
      <c r="AJ487">
        <v>0</v>
      </c>
      <c r="AK487">
        <v>0</v>
      </c>
      <c r="AL487">
        <v>0</v>
      </c>
      <c r="AM487">
        <v>0</v>
      </c>
      <c r="AN487">
        <v>0</v>
      </c>
      <c r="AO487">
        <v>0</v>
      </c>
      <c r="AP487">
        <v>0.804</v>
      </c>
      <c r="AQ487">
        <v>0.0139999999999999</v>
      </c>
      <c r="AR487">
        <v>0.001</v>
      </c>
      <c r="AS487" s="3">
        <v>46107.77086805556</v>
      </c>
    </row>
    <row r="488" ht="25.5" customHeight="1">
      <c r="A488" t="inlineStr">
        <is>
          <t>5d07b0ff0000000010013e4b</t>
        </is>
      </c>
      <c r="B488" s="2" t="str">
        <f>=HYPERLINK("https://www.xiaohongshu.com/user/profile/5d07b0ff0000000010013e4b", "https://www.xiaohongshu.com/user/profile/5d07b0ff0000000010013e4b")</f>
        <v>https://www.xiaohongshu.com/user/profile/5d07b0ff0000000010013e4b</v>
      </c>
      <c r="C488" s="2" t="str">
        <f>=HYPERLINK("https://pgy.xiaohongshu.com/solar/pre-trade/blogger-detail/5d07b0ff0000000010013e4b", "https://pgy.xiaohongshu.com/solar/pre-trade/blogger-detail/5d07b0ff0000000010013e4b")</f>
        <v>https://pgy.xiaohongshu.com/solar/pre-trade/blogger-detail/5d07b0ff0000000010013e4b</v>
      </c>
      <c r="D488" t="inlineStr">
        <is>
          <t>女</t>
        </is>
      </c>
      <c r="E488" t="inlineStr">
        <is>
          <t>qi6442852548</t>
        </is>
      </c>
      <c r="F488" t="inlineStr">
        <is>
          <t>二七同学呀</t>
        </is>
      </c>
      <c r="G488" t="inlineStr">
        <is>
          <t>河南 郑州 二七区</t>
        </is>
      </c>
      <c r="H488" t="inlineStr">
        <is>
          <t>考研过来人, 学生</t>
        </is>
      </c>
      <c r="I488" t="inlineStr">
        <is>
          <t>教育, 健康养生</t>
        </is>
      </c>
      <c r="J488">
        <v>3597</v>
      </c>
      <c r="K488" t="inlineStr">
        <is>
          <t>0.4</t>
        </is>
      </c>
      <c r="L488">
        <v>4727</v>
      </c>
      <c r="M488">
        <v>801</v>
      </c>
      <c r="N488">
        <v>135</v>
      </c>
      <c r="O488">
        <v>270</v>
      </c>
      <c r="P488">
        <v>0</v>
      </c>
      <c r="Q488">
        <v>0.174</v>
      </c>
      <c r="R488">
        <v>4727</v>
      </c>
      <c r="S488">
        <v>787</v>
      </c>
      <c r="T488">
        <v>96</v>
      </c>
      <c r="U488">
        <v>0.64</v>
      </c>
      <c r="V488">
        <v>270</v>
      </c>
      <c r="W488">
        <v>0.143</v>
      </c>
      <c r="X488">
        <v>0</v>
      </c>
      <c r="Y488">
        <v>56.96</v>
      </c>
      <c r="Z488">
        <v>2.21</v>
      </c>
      <c r="AA488">
        <v>4687</v>
      </c>
      <c r="AB488">
        <v>1242</v>
      </c>
      <c r="AC488">
        <v>516</v>
      </c>
      <c r="AD488">
        <v>1.9</v>
      </c>
      <c r="AE488">
        <v>500</v>
      </c>
      <c r="AF488">
        <v>0.5</v>
      </c>
      <c r="AG488">
        <v>0</v>
      </c>
      <c r="AH488">
        <v>0.055</v>
      </c>
      <c r="AI488">
        <v>106.67</v>
      </c>
      <c r="AJ488">
        <v>0.94</v>
      </c>
      <c r="AK488">
        <v>10178</v>
      </c>
      <c r="AL488">
        <v>1377</v>
      </c>
      <c r="AM488">
        <v>34</v>
      </c>
      <c r="AN488">
        <v>0</v>
      </c>
      <c r="AO488">
        <v>0</v>
      </c>
      <c r="AP488">
        <v>0.927999999999999</v>
      </c>
      <c r="AQ488">
        <v>0.139</v>
      </c>
      <c r="AR488">
        <v>0.195</v>
      </c>
      <c r="AS488" s="3">
        <v>46107.77086805556</v>
      </c>
    </row>
    <row r="489" ht="25.5" customHeight="1">
      <c r="A489" t="inlineStr">
        <is>
          <t>5c62362f000000001a03acd5</t>
        </is>
      </c>
      <c r="B489" s="2" t="str">
        <f>=HYPERLINK("https://www.xiaohongshu.com/user/profile/5c62362f000000001a03acd5", "https://www.xiaohongshu.com/user/profile/5c62362f000000001a03acd5")</f>
        <v>https://www.xiaohongshu.com/user/profile/5c62362f000000001a03acd5</v>
      </c>
      <c r="C489" s="2" t="str">
        <f>=HYPERLINK("https://pgy.xiaohongshu.com/solar/pre-trade/blogger-detail/5c62362f000000001a03acd5", "https://pgy.xiaohongshu.com/solar/pre-trade/blogger-detail/5c62362f000000001a03acd5")</f>
        <v>https://pgy.xiaohongshu.com/solar/pre-trade/blogger-detail/5c62362f000000001a03acd5</v>
      </c>
      <c r="D489" t="inlineStr">
        <is>
          <t>女</t>
        </is>
      </c>
      <c r="E489" t="inlineStr">
        <is>
          <t>Hii_Bonniecc</t>
        </is>
      </c>
      <c r="F489" t="inlineStr">
        <is>
          <t>白昼月亮</t>
        </is>
      </c>
      <c r="G489" t="inlineStr">
        <is>
          <t>马来西亚</t>
        </is>
      </c>
      <c r="H489" t="inlineStr">
        <is>
          <t>学生, 留学背景</t>
        </is>
      </c>
      <c r="I489" t="inlineStr">
        <is>
          <t>教育</t>
        </is>
      </c>
      <c r="J489">
        <v>7821</v>
      </c>
      <c r="K489" t="inlineStr">
        <is>
          <t>0.8</t>
        </is>
      </c>
      <c r="L489">
        <v>6406</v>
      </c>
      <c r="M489">
        <v>1112</v>
      </c>
      <c r="N489">
        <v>149</v>
      </c>
      <c r="O489">
        <v>788</v>
      </c>
      <c r="P489">
        <v>0</v>
      </c>
      <c r="Q489">
        <v>0.429</v>
      </c>
      <c r="R489">
        <v>6406</v>
      </c>
      <c r="S489">
        <v>1112</v>
      </c>
      <c r="T489">
        <v>262</v>
      </c>
      <c r="U489">
        <v>1.39</v>
      </c>
      <c r="V489">
        <v>788</v>
      </c>
      <c r="W489">
        <v>0.667</v>
      </c>
      <c r="X489">
        <v>0</v>
      </c>
      <c r="Y489">
        <v>142.42</v>
      </c>
      <c r="Z489">
        <v>5.57</v>
      </c>
      <c r="AA489">
        <v>7415</v>
      </c>
      <c r="AB489">
        <v>1082</v>
      </c>
      <c r="AC489">
        <v>118</v>
      </c>
      <c r="AD489">
        <v>2.42</v>
      </c>
      <c r="AE489">
        <v>1000</v>
      </c>
      <c r="AF489">
        <v>0.25</v>
      </c>
      <c r="AG489">
        <v>0</v>
      </c>
      <c r="AH489">
        <v>0.0819999999999999</v>
      </c>
      <c r="AI489">
        <v>134.86</v>
      </c>
      <c r="AJ489">
        <v>7.04</v>
      </c>
      <c r="AK489">
        <v>3504</v>
      </c>
      <c r="AL489">
        <v>594</v>
      </c>
      <c r="AM489">
        <v>43</v>
      </c>
      <c r="AN489">
        <v>0</v>
      </c>
      <c r="AO489">
        <v>0</v>
      </c>
      <c r="AP489">
        <v>0.660999999999999</v>
      </c>
      <c r="AQ489">
        <v>0.06</v>
      </c>
      <c r="AR489">
        <v>0.069</v>
      </c>
      <c r="AS489" s="3">
        <v>46107.77086805556</v>
      </c>
    </row>
    <row r="490" ht="25.5" customHeight="1">
      <c r="A490" t="inlineStr">
        <is>
          <t>5d445458000000001203c29c</t>
        </is>
      </c>
      <c r="B490" s="2" t="str">
        <f>=HYPERLINK("https://www.xiaohongshu.com/user/profile/5d445458000000001203c29c", "https://www.xiaohongshu.com/user/profile/5d445458000000001203c29c")</f>
        <v>https://www.xiaohongshu.com/user/profile/5d445458000000001203c29c</v>
      </c>
      <c r="C490" s="2" t="str">
        <f>=HYPERLINK("https://pgy.xiaohongshu.com/solar/pre-trade/blogger-detail/5d445458000000001203c29c", "https://pgy.xiaohongshu.com/solar/pre-trade/blogger-detail/5d445458000000001203c29c")</f>
        <v>https://pgy.xiaohongshu.com/solar/pre-trade/blogger-detail/5d445458000000001203c29c</v>
      </c>
      <c r="D490" t="inlineStr">
        <is>
          <t>女</t>
        </is>
      </c>
      <c r="E490" t="inlineStr">
        <is>
          <t>238101686</t>
        </is>
      </c>
      <c r="F490" t="inlineStr">
        <is>
          <t>慧咕咕</t>
        </is>
      </c>
      <c r="G490" t="inlineStr">
        <is>
          <t>美国</t>
        </is>
      </c>
      <c r="H490" t="inlineStr">
        <is>
          <t>留学背景</t>
        </is>
      </c>
      <c r="I490" t="inlineStr">
        <is>
          <t>教育</t>
        </is>
      </c>
      <c r="J490">
        <v>1889</v>
      </c>
      <c r="K490" t="inlineStr">
        <is>
          <t>0.2</t>
        </is>
      </c>
      <c r="L490">
        <v>10089</v>
      </c>
      <c r="M490">
        <v>1714</v>
      </c>
      <c r="N490">
        <v>122</v>
      </c>
      <c r="O490">
        <v>280</v>
      </c>
      <c r="P490">
        <v>0.067</v>
      </c>
      <c r="Q490">
        <v>0.332999999999999</v>
      </c>
      <c r="R490">
        <v>10089</v>
      </c>
      <c r="S490">
        <v>1714</v>
      </c>
      <c r="T490">
        <v>120</v>
      </c>
      <c r="U490">
        <v>0.52</v>
      </c>
      <c r="V490">
        <v>280</v>
      </c>
      <c r="W490">
        <v>0.332999999999999</v>
      </c>
      <c r="X490">
        <v>0.067</v>
      </c>
      <c r="Y490">
        <v>41.14</v>
      </c>
      <c r="Z490">
        <v>2.63</v>
      </c>
      <c r="AA490">
        <v>0</v>
      </c>
      <c r="AB490">
        <v>0</v>
      </c>
      <c r="AC490">
        <v>0</v>
      </c>
      <c r="AD490">
        <v>0</v>
      </c>
      <c r="AE490">
        <v>700</v>
      </c>
      <c r="AF490">
        <v>0</v>
      </c>
      <c r="AG490">
        <v>0</v>
      </c>
      <c r="AH490">
        <v>0</v>
      </c>
      <c r="AI490">
        <v>0</v>
      </c>
      <c r="AJ490">
        <v>0</v>
      </c>
      <c r="AK490">
        <v>3444</v>
      </c>
      <c r="AL490">
        <v>449</v>
      </c>
      <c r="AM490">
        <v>31</v>
      </c>
      <c r="AN490">
        <v>0</v>
      </c>
      <c r="AO490">
        <v>8.91</v>
      </c>
      <c r="AP490">
        <v>0.873</v>
      </c>
      <c r="AQ490">
        <v>0.131</v>
      </c>
      <c r="AR490">
        <v>0.126</v>
      </c>
      <c r="AS490" s="3">
        <v>46107.77086805556</v>
      </c>
    </row>
    <row r="491" ht="25.5" customHeight="1">
      <c r="A491" t="inlineStr">
        <is>
          <t>5ae6729a11be107997d00ac2</t>
        </is>
      </c>
      <c r="B491" s="2" t="str">
        <f>=HYPERLINK("https://www.xiaohongshu.com/user/profile/5ae6729a11be107997d00ac2", "https://www.xiaohongshu.com/user/profile/5ae6729a11be107997d00ac2")</f>
        <v>https://www.xiaohongshu.com/user/profile/5ae6729a11be107997d00ac2</v>
      </c>
      <c r="C491" s="2" t="str">
        <f>=HYPERLINK("https://pgy.xiaohongshu.com/solar/pre-trade/blogger-detail/5ae6729a11be107997d00ac2", "https://pgy.xiaohongshu.com/solar/pre-trade/blogger-detail/5ae6729a11be107997d00ac2")</f>
        <v>https://pgy.xiaohongshu.com/solar/pre-trade/blogger-detail/5ae6729a11be107997d00ac2</v>
      </c>
      <c r="D491" t="inlineStr">
        <is>
          <t>女</t>
        </is>
      </c>
      <c r="E491" t="inlineStr">
        <is>
          <t>944124638</t>
        </is>
      </c>
      <c r="F491" t="inlineStr">
        <is>
          <t>小羊不摆烂</t>
        </is>
      </c>
      <c r="G491" t="inlineStr">
        <is>
          <t>广东 东莞</t>
        </is>
      </c>
      <c r="H491" t="inlineStr">
        <is>
          <t>考研过来人, 学生</t>
        </is>
      </c>
      <c r="I491"/>
      <c r="J491">
        <v>8104</v>
      </c>
      <c r="K491" t="inlineStr">
        <is>
          <t>0.8</t>
        </is>
      </c>
      <c r="L491">
        <v>22502</v>
      </c>
      <c r="M491">
        <v>2780</v>
      </c>
      <c r="N491">
        <v>583</v>
      </c>
      <c r="O491">
        <v>500</v>
      </c>
      <c r="P491">
        <v>0</v>
      </c>
      <c r="Q491">
        <v>1</v>
      </c>
      <c r="R491">
        <v>0</v>
      </c>
      <c r="S491">
        <v>0</v>
      </c>
      <c r="T491">
        <v>0</v>
      </c>
      <c r="U491">
        <v>0</v>
      </c>
      <c r="V491">
        <v>500</v>
      </c>
      <c r="W491">
        <v>0</v>
      </c>
      <c r="X491">
        <v>0</v>
      </c>
      <c r="Y491">
        <v>0</v>
      </c>
      <c r="Z491">
        <v>0</v>
      </c>
      <c r="AA491">
        <v>22502</v>
      </c>
      <c r="AB491">
        <v>2780</v>
      </c>
      <c r="AC491">
        <v>487</v>
      </c>
      <c r="AD491">
        <v>1.79</v>
      </c>
      <c r="AE491">
        <v>800</v>
      </c>
      <c r="AF491">
        <v>1</v>
      </c>
      <c r="AG491">
        <v>0</v>
      </c>
      <c r="AH491">
        <v>0.013</v>
      </c>
      <c r="AI491">
        <v>35.55</v>
      </c>
      <c r="AJ491">
        <v>1.37</v>
      </c>
      <c r="AK491">
        <v>0</v>
      </c>
      <c r="AL491">
        <v>0</v>
      </c>
      <c r="AM491">
        <v>0</v>
      </c>
      <c r="AN491">
        <v>0</v>
      </c>
      <c r="AO491">
        <v>0</v>
      </c>
      <c r="AP491">
        <v>0.713</v>
      </c>
      <c r="AQ491">
        <v>0.008</v>
      </c>
      <c r="AR491">
        <v>0.009</v>
      </c>
      <c r="AS491" s="3">
        <v>46107.77086805556</v>
      </c>
    </row>
    <row r="492" ht="25.5" customHeight="1">
      <c r="A492" t="inlineStr">
        <is>
          <t>5984328b4f8fd60f1c81ee5e</t>
        </is>
      </c>
      <c r="B492" s="2" t="str">
        <f>=HYPERLINK("https://www.xiaohongshu.com/user/profile/5984328b4f8fd60f1c81ee5e", "https://www.xiaohongshu.com/user/profile/5984328b4f8fd60f1c81ee5e")</f>
        <v>https://www.xiaohongshu.com/user/profile/5984328b4f8fd60f1c81ee5e</v>
      </c>
      <c r="C492" s="2" t="str">
        <f>=HYPERLINK("https://pgy.xiaohongshu.com/solar/pre-trade/blogger-detail/5984328b4f8fd60f1c81ee5e", "https://pgy.xiaohongshu.com/solar/pre-trade/blogger-detail/5984328b4f8fd60f1c81ee5e")</f>
        <v>https://pgy.xiaohongshu.com/solar/pre-trade/blogger-detail/5984328b4f8fd60f1c81ee5e</v>
      </c>
      <c r="D492" t="inlineStr">
        <is>
          <t>女</t>
        </is>
      </c>
      <c r="E492" t="inlineStr">
        <is>
          <t>513377430</t>
        </is>
      </c>
      <c r="F492" t="inlineStr">
        <is>
          <t>苏端端</t>
        </is>
      </c>
      <c r="G492" t="inlineStr">
        <is>
          <t>辽宁 沈阳 皇姑区</t>
        </is>
      </c>
      <c r="H492" t="inlineStr">
        <is>
          <t>学生</t>
        </is>
      </c>
      <c r="I492" t="inlineStr">
        <is>
          <t>职场, 教育</t>
        </is>
      </c>
      <c r="J492">
        <v>335771</v>
      </c>
      <c r="K492" t="inlineStr">
        <is>
          <t>33.6</t>
        </is>
      </c>
      <c r="L492">
        <v>278663</v>
      </c>
      <c r="M492">
        <v>143614</v>
      </c>
      <c r="N492">
        <v>23318</v>
      </c>
      <c r="O492">
        <v>18452</v>
      </c>
      <c r="P492">
        <v>0.667</v>
      </c>
      <c r="Q492">
        <v>1</v>
      </c>
      <c r="R492">
        <v>0</v>
      </c>
      <c r="S492">
        <v>0</v>
      </c>
      <c r="T492">
        <v>0</v>
      </c>
      <c r="U492">
        <v>0</v>
      </c>
      <c r="V492">
        <v>18452</v>
      </c>
      <c r="W492">
        <v>0</v>
      </c>
      <c r="X492">
        <v>0</v>
      </c>
      <c r="Y492">
        <v>0</v>
      </c>
      <c r="Z492">
        <v>0</v>
      </c>
      <c r="AA492">
        <v>278663</v>
      </c>
      <c r="AB492">
        <v>143614</v>
      </c>
      <c r="AC492">
        <v>21367</v>
      </c>
      <c r="AD492">
        <v>3.71</v>
      </c>
      <c r="AE492">
        <v>27785</v>
      </c>
      <c r="AF492">
        <v>1</v>
      </c>
      <c r="AG492">
        <v>0.667</v>
      </c>
      <c r="AH492">
        <v>0.0139999999999999</v>
      </c>
      <c r="AI492">
        <v>259.25</v>
      </c>
      <c r="AJ492">
        <v>9.17</v>
      </c>
      <c r="AK492">
        <v>138405</v>
      </c>
      <c r="AL492">
        <v>10954</v>
      </c>
      <c r="AM492">
        <v>1994</v>
      </c>
      <c r="AN492">
        <v>0</v>
      </c>
      <c r="AO492">
        <v>0</v>
      </c>
      <c r="AP492">
        <v>0.711</v>
      </c>
      <c r="AQ492">
        <v>0.05</v>
      </c>
      <c r="AR492">
        <v>0.036</v>
      </c>
      <c r="AS492" s="3">
        <v>46107.77086805556</v>
      </c>
    </row>
    <row r="493" ht="25.5" customHeight="1">
      <c r="A493" t="inlineStr">
        <is>
          <t>5e3eb3300000000001008995</t>
        </is>
      </c>
      <c r="B493" s="2" t="str">
        <f>=HYPERLINK("https://www.xiaohongshu.com/user/profile/5e3eb3300000000001008995", "https://www.xiaohongshu.com/user/profile/5e3eb3300000000001008995")</f>
        <v>https://www.xiaohongshu.com/user/profile/5e3eb3300000000001008995</v>
      </c>
      <c r="C493" s="2" t="str">
        <f>=HYPERLINK("https://pgy.xiaohongshu.com/solar/pre-trade/blogger-detail/5e3eb3300000000001008995", "https://pgy.xiaohongshu.com/solar/pre-trade/blogger-detail/5e3eb3300000000001008995")</f>
        <v>https://pgy.xiaohongshu.com/solar/pre-trade/blogger-detail/5e3eb3300000000001008995</v>
      </c>
      <c r="D493" t="inlineStr">
        <is>
          <t>女</t>
        </is>
      </c>
      <c r="E493" t="inlineStr">
        <is>
          <t>575294923</t>
        </is>
      </c>
      <c r="F493" t="inlineStr">
        <is>
          <t>我是小q</t>
        </is>
      </c>
      <c r="G493" t="inlineStr">
        <is>
          <t>澳大利亚</t>
        </is>
      </c>
      <c r="H493"/>
      <c r="I493" t="inlineStr">
        <is>
          <t>出行旅游, 教育, 生活记录</t>
        </is>
      </c>
      <c r="J493">
        <v>6100</v>
      </c>
      <c r="K493" t="inlineStr">
        <is>
          <t>0.6</t>
        </is>
      </c>
      <c r="L493">
        <v>72157</v>
      </c>
      <c r="M493">
        <v>10802</v>
      </c>
      <c r="N493">
        <v>338</v>
      </c>
      <c r="O493">
        <v>760</v>
      </c>
      <c r="P493">
        <v>0.25</v>
      </c>
      <c r="Q493">
        <v>0.75</v>
      </c>
      <c r="R493">
        <v>209105</v>
      </c>
      <c r="S493">
        <v>56847</v>
      </c>
      <c r="T493">
        <v>1339</v>
      </c>
      <c r="U493">
        <v>0.4</v>
      </c>
      <c r="V493">
        <v>760</v>
      </c>
      <c r="W493">
        <v>1</v>
      </c>
      <c r="X493">
        <v>1</v>
      </c>
      <c r="Y493">
        <v>18.63</v>
      </c>
      <c r="Z493">
        <v>2.15</v>
      </c>
      <c r="AA493">
        <v>23351</v>
      </c>
      <c r="AB493">
        <v>2826</v>
      </c>
      <c r="AC493">
        <v>142</v>
      </c>
      <c r="AD493">
        <v>2</v>
      </c>
      <c r="AE493">
        <v>1400</v>
      </c>
      <c r="AF493">
        <v>0.667</v>
      </c>
      <c r="AG493">
        <v>0</v>
      </c>
      <c r="AH493">
        <v>0.245</v>
      </c>
      <c r="AI493">
        <v>59.95</v>
      </c>
      <c r="AJ493">
        <v>9.21</v>
      </c>
      <c r="AK493">
        <v>28644</v>
      </c>
      <c r="AL493">
        <v>4932</v>
      </c>
      <c r="AM493">
        <v>245</v>
      </c>
      <c r="AN493">
        <v>0</v>
      </c>
      <c r="AO493">
        <v>0</v>
      </c>
      <c r="AP493">
        <v>0.800999999999999</v>
      </c>
      <c r="AQ493">
        <v>0.066</v>
      </c>
      <c r="AR493">
        <v>0.025</v>
      </c>
      <c r="AS493" s="3">
        <v>46107.77086805556</v>
      </c>
    </row>
    <row r="494" ht="25.5" customHeight="1">
      <c r="A494" t="inlineStr">
        <is>
          <t>631f29e1000000002303e6fc</t>
        </is>
      </c>
      <c r="B494" s="2" t="str">
        <f>=HYPERLINK("https://www.xiaohongshu.com/user/profile/631f29e1000000002303e6fc", "https://www.xiaohongshu.com/user/profile/631f29e1000000002303e6fc")</f>
        <v>https://www.xiaohongshu.com/user/profile/631f29e1000000002303e6fc</v>
      </c>
      <c r="C494" s="2" t="str">
        <f>=HYPERLINK("https://pgy.xiaohongshu.com/solar/pre-trade/blogger-detail/631f29e1000000002303e6fc", "https://pgy.xiaohongshu.com/solar/pre-trade/blogger-detail/631f29e1000000002303e6fc")</f>
        <v>https://pgy.xiaohongshu.com/solar/pre-trade/blogger-detail/631f29e1000000002303e6fc</v>
      </c>
      <c r="D494" t="inlineStr">
        <is>
          <t>女</t>
        </is>
      </c>
      <c r="E494" t="inlineStr">
        <is>
          <t>6705280081</t>
        </is>
      </c>
      <c r="F494" t="inlineStr">
        <is>
          <t>Irene Chinese Speaking</t>
        </is>
      </c>
      <c r="G494" t="inlineStr">
        <is>
          <t>上海</t>
        </is>
      </c>
      <c r="H494"/>
      <c r="I494" t="inlineStr">
        <is>
          <t>教育</t>
        </is>
      </c>
      <c r="J494">
        <v>22516</v>
      </c>
      <c r="K494" t="inlineStr">
        <is>
          <t>2.3</t>
        </is>
      </c>
      <c r="L494">
        <v>2626</v>
      </c>
      <c r="M494">
        <v>1145</v>
      </c>
      <c r="N494">
        <v>189</v>
      </c>
      <c r="O494">
        <v>500</v>
      </c>
      <c r="P494">
        <v>0</v>
      </c>
      <c r="Q494">
        <v>0.545</v>
      </c>
      <c r="R494">
        <v>0</v>
      </c>
      <c r="S494">
        <v>0</v>
      </c>
      <c r="T494">
        <v>0</v>
      </c>
      <c r="U494">
        <v>0</v>
      </c>
      <c r="V494">
        <v>500</v>
      </c>
      <c r="W494">
        <v>0</v>
      </c>
      <c r="X494">
        <v>0</v>
      </c>
      <c r="Y494">
        <v>0</v>
      </c>
      <c r="Z494">
        <v>0</v>
      </c>
      <c r="AA494">
        <v>2626</v>
      </c>
      <c r="AB494">
        <v>1145</v>
      </c>
      <c r="AC494">
        <v>173</v>
      </c>
      <c r="AD494">
        <v>3.25</v>
      </c>
      <c r="AE494">
        <v>2000</v>
      </c>
      <c r="AF494">
        <v>0.545</v>
      </c>
      <c r="AG494">
        <v>0</v>
      </c>
      <c r="AH494">
        <v>0.131</v>
      </c>
      <c r="AI494">
        <v>761.61</v>
      </c>
      <c r="AJ494">
        <v>10.58</v>
      </c>
      <c r="AK494">
        <v>0</v>
      </c>
      <c r="AL494">
        <v>0</v>
      </c>
      <c r="AM494">
        <v>0</v>
      </c>
      <c r="AN494">
        <v>0</v>
      </c>
      <c r="AO494">
        <v>0</v>
      </c>
      <c r="AP494">
        <v>0.698</v>
      </c>
      <c r="AQ494">
        <v>0.044</v>
      </c>
      <c r="AR494">
        <v>0.038</v>
      </c>
      <c r="AS494" s="3">
        <v>46107.77086805556</v>
      </c>
    </row>
    <row r="495" ht="25.5" customHeight="1">
      <c r="A495" t="inlineStr">
        <is>
          <t>5ba466be3046ad0001f84839</t>
        </is>
      </c>
      <c r="B495" s="2" t="str">
        <f>=HYPERLINK("https://www.xiaohongshu.com/user/profile/5ba466be3046ad0001f84839", "https://www.xiaohongshu.com/user/profile/5ba466be3046ad0001f84839")</f>
        <v>https://www.xiaohongshu.com/user/profile/5ba466be3046ad0001f84839</v>
      </c>
      <c r="C495" s="2" t="str">
        <f>=HYPERLINK("https://pgy.xiaohongshu.com/solar/pre-trade/blogger-detail/5ba466be3046ad0001f84839", "https://pgy.xiaohongshu.com/solar/pre-trade/blogger-detail/5ba466be3046ad0001f84839")</f>
        <v>https://pgy.xiaohongshu.com/solar/pre-trade/blogger-detail/5ba466be3046ad0001f84839</v>
      </c>
      <c r="D495" t="inlineStr">
        <is>
          <t>女</t>
        </is>
      </c>
      <c r="E495" t="inlineStr">
        <is>
          <t>413693113</t>
        </is>
      </c>
      <c r="F495" t="inlineStr">
        <is>
          <t>Sandy庄庄</t>
        </is>
      </c>
      <c r="G495" t="inlineStr">
        <is>
          <t>法国</t>
        </is>
      </c>
      <c r="H495" t="inlineStr">
        <is>
          <t>留学背景, 海外华人, 学生</t>
        </is>
      </c>
      <c r="I495" t="inlineStr">
        <is>
          <t>美食, 教育</t>
        </is>
      </c>
      <c r="J495">
        <v>4747</v>
      </c>
      <c r="K495" t="inlineStr">
        <is>
          <t>0.5</t>
        </is>
      </c>
      <c r="L495">
        <v>44007</v>
      </c>
      <c r="M495">
        <v>11824</v>
      </c>
      <c r="N495">
        <v>2242</v>
      </c>
      <c r="O495">
        <v>500</v>
      </c>
      <c r="P495">
        <v>0.5</v>
      </c>
      <c r="Q495">
        <v>1</v>
      </c>
      <c r="R495">
        <v>0</v>
      </c>
      <c r="S495">
        <v>0</v>
      </c>
      <c r="T495">
        <v>0</v>
      </c>
      <c r="U495">
        <v>0</v>
      </c>
      <c r="V495">
        <v>500</v>
      </c>
      <c r="W495">
        <v>0</v>
      </c>
      <c r="X495">
        <v>0</v>
      </c>
      <c r="Y495">
        <v>0</v>
      </c>
      <c r="Z495">
        <v>0</v>
      </c>
      <c r="AA495">
        <v>44007</v>
      </c>
      <c r="AB495">
        <v>11824</v>
      </c>
      <c r="AC495">
        <v>1842</v>
      </c>
      <c r="AD495">
        <v>1.86</v>
      </c>
      <c r="AE495">
        <v>780</v>
      </c>
      <c r="AF495">
        <v>1</v>
      </c>
      <c r="AG495">
        <v>0.5</v>
      </c>
      <c r="AH495">
        <v>0.036</v>
      </c>
      <c r="AI495">
        <v>53.92</v>
      </c>
      <c r="AJ495">
        <v>1.97</v>
      </c>
      <c r="AK495">
        <v>4108</v>
      </c>
      <c r="AL495">
        <v>544</v>
      </c>
      <c r="AM495">
        <v>130</v>
      </c>
      <c r="AN495">
        <v>0</v>
      </c>
      <c r="AO495">
        <v>0</v>
      </c>
      <c r="AP495">
        <v>0.83</v>
      </c>
      <c r="AQ495">
        <v>0.116999999999999</v>
      </c>
      <c r="AR495">
        <v>0.183</v>
      </c>
      <c r="AS495" s="3">
        <v>46107.77086805556</v>
      </c>
    </row>
    <row r="496" ht="25.5" customHeight="1">
      <c r="A496" t="inlineStr">
        <is>
          <t>5a019f894eacab48afc57398</t>
        </is>
      </c>
      <c r="B496" s="2" t="str">
        <f>=HYPERLINK("https://www.xiaohongshu.com/user/profile/5a019f894eacab48afc57398", "https://www.xiaohongshu.com/user/profile/5a019f894eacab48afc57398")</f>
        <v>https://www.xiaohongshu.com/user/profile/5a019f894eacab48afc57398</v>
      </c>
      <c r="C496" s="2" t="str">
        <f>=HYPERLINK("https://pgy.xiaohongshu.com/solar/pre-trade/blogger-detail/5a019f894eacab48afc57398", "https://pgy.xiaohongshu.com/solar/pre-trade/blogger-detail/5a019f894eacab48afc57398")</f>
        <v>https://pgy.xiaohongshu.com/solar/pre-trade/blogger-detail/5a019f894eacab48afc57398</v>
      </c>
      <c r="D496" t="inlineStr">
        <is>
          <t>女</t>
        </is>
      </c>
      <c r="E496" t="inlineStr">
        <is>
          <t>422092519</t>
        </is>
      </c>
      <c r="F496" t="inlineStr">
        <is>
          <t>杰妮龟在北欧</t>
        </is>
      </c>
      <c r="G496" t="inlineStr">
        <is>
          <t>浙江 嘉兴 嘉善县</t>
        </is>
      </c>
      <c r="H496" t="inlineStr">
        <is>
          <t>学生, 留学背景</t>
        </is>
      </c>
      <c r="I496" t="inlineStr">
        <is>
          <t>教育</t>
        </is>
      </c>
      <c r="J496">
        <v>19639</v>
      </c>
      <c r="K496" t="inlineStr">
        <is>
          <t>2.0</t>
        </is>
      </c>
      <c r="L496">
        <v>17836</v>
      </c>
      <c r="M496">
        <v>3405</v>
      </c>
      <c r="N496">
        <v>314</v>
      </c>
      <c r="O496">
        <v>1901</v>
      </c>
      <c r="P496">
        <v>0</v>
      </c>
      <c r="Q496">
        <v>1</v>
      </c>
      <c r="R496">
        <v>23107</v>
      </c>
      <c r="S496">
        <v>4418</v>
      </c>
      <c r="T496">
        <v>234</v>
      </c>
      <c r="U496">
        <v>0.73</v>
      </c>
      <c r="V496">
        <v>1901</v>
      </c>
      <c r="W496">
        <v>1</v>
      </c>
      <c r="X496">
        <v>0</v>
      </c>
      <c r="Y496">
        <v>82.27</v>
      </c>
      <c r="Z496">
        <v>7.31</v>
      </c>
      <c r="AA496">
        <v>15197</v>
      </c>
      <c r="AB496">
        <v>3229</v>
      </c>
      <c r="AC496">
        <v>317</v>
      </c>
      <c r="AD496">
        <v>2.49</v>
      </c>
      <c r="AE496">
        <v>3200</v>
      </c>
      <c r="AF496">
        <v>1</v>
      </c>
      <c r="AG496">
        <v>0</v>
      </c>
      <c r="AH496">
        <v>0.16</v>
      </c>
      <c r="AI496">
        <v>210.57</v>
      </c>
      <c r="AJ496">
        <v>8.86</v>
      </c>
      <c r="AK496">
        <v>0</v>
      </c>
      <c r="AL496">
        <v>0</v>
      </c>
      <c r="AM496">
        <v>0</v>
      </c>
      <c r="AN496">
        <v>0</v>
      </c>
      <c r="AO496">
        <v>0</v>
      </c>
      <c r="AP496">
        <v>0.85</v>
      </c>
      <c r="AQ496">
        <v>0.025</v>
      </c>
      <c r="AR496">
        <v>0.008</v>
      </c>
      <c r="AS496" s="3">
        <v>46107.77086805556</v>
      </c>
    </row>
    <row r="497" ht="25.5" customHeight="1">
      <c r="A497" t="inlineStr">
        <is>
          <t>5fe965c200000000010083e4</t>
        </is>
      </c>
      <c r="B497" s="2" t="str">
        <f>=HYPERLINK("https://www.xiaohongshu.com/user/profile/5fe965c200000000010083e4", "https://www.xiaohongshu.com/user/profile/5fe965c200000000010083e4")</f>
        <v>https://www.xiaohongshu.com/user/profile/5fe965c200000000010083e4</v>
      </c>
      <c r="C497" s="2" t="str">
        <f>=HYPERLINK("https://pgy.xiaohongshu.com/solar/pre-trade/blogger-detail/5fe965c200000000010083e4", "https://pgy.xiaohongshu.com/solar/pre-trade/blogger-detail/5fe965c200000000010083e4")</f>
        <v>https://pgy.xiaohongshu.com/solar/pre-trade/blogger-detail/5fe965c200000000010083e4</v>
      </c>
      <c r="D497" t="inlineStr">
        <is>
          <t>女</t>
        </is>
      </c>
      <c r="E497" t="inlineStr">
        <is>
          <t>lizhi1029</t>
        </is>
      </c>
      <c r="F497" t="inlineStr">
        <is>
          <t>莉至</t>
        </is>
      </c>
      <c r="G497" t="inlineStr">
        <is>
          <t>浙江 杭州 余杭区</t>
        </is>
      </c>
      <c r="H497" t="inlineStr">
        <is>
          <t>学生, 留学背景, 运营, 产品经理, 翻译</t>
        </is>
      </c>
      <c r="I497" t="inlineStr">
        <is>
          <t>职场, 教育</t>
        </is>
      </c>
      <c r="J497">
        <v>24284</v>
      </c>
      <c r="K497" t="inlineStr">
        <is>
          <t>2.4</t>
        </is>
      </c>
      <c r="L497">
        <v>8181</v>
      </c>
      <c r="M497">
        <v>1966</v>
      </c>
      <c r="N497">
        <v>291</v>
      </c>
      <c r="O497">
        <v>3000</v>
      </c>
      <c r="P497">
        <v>0</v>
      </c>
      <c r="Q497">
        <v>0.556</v>
      </c>
      <c r="R497">
        <v>14444</v>
      </c>
      <c r="S497">
        <v>2091</v>
      </c>
      <c r="T497">
        <v>365</v>
      </c>
      <c r="U497">
        <v>0.73</v>
      </c>
      <c r="V497">
        <v>3000</v>
      </c>
      <c r="W497">
        <v>0.667</v>
      </c>
      <c r="X497">
        <v>0</v>
      </c>
      <c r="Y497">
        <v>163.35</v>
      </c>
      <c r="Z497">
        <v>5.85</v>
      </c>
      <c r="AA497">
        <v>6201</v>
      </c>
      <c r="AB497">
        <v>1819</v>
      </c>
      <c r="AC497">
        <v>213</v>
      </c>
      <c r="AD497">
        <v>3.97</v>
      </c>
      <c r="AE497">
        <v>4500</v>
      </c>
      <c r="AF497">
        <v>0.5</v>
      </c>
      <c r="AG497">
        <v>0</v>
      </c>
      <c r="AH497">
        <v>0.0409999999999999</v>
      </c>
      <c r="AI497">
        <v>725.63</v>
      </c>
      <c r="AJ497">
        <v>19.4</v>
      </c>
      <c r="AK497">
        <v>81786</v>
      </c>
      <c r="AL497">
        <v>7283</v>
      </c>
      <c r="AM497">
        <v>861</v>
      </c>
      <c r="AN497">
        <v>11</v>
      </c>
      <c r="AO497">
        <v>508.62</v>
      </c>
      <c r="AP497">
        <v>0.816</v>
      </c>
      <c r="AQ497">
        <v>0.045</v>
      </c>
      <c r="AR497">
        <v>0.0139999999999999</v>
      </c>
      <c r="AS497" s="3">
        <v>46107.77086805556</v>
      </c>
    </row>
    <row r="498" ht="25.5" customHeight="1">
      <c r="A498" t="inlineStr">
        <is>
          <t>678ae1f3000000000e013441</t>
        </is>
      </c>
      <c r="B498" s="2" t="str">
        <f>=HYPERLINK("https://www.xiaohongshu.com/user/profile/678ae1f3000000000e013441", "https://www.xiaohongshu.com/user/profile/678ae1f3000000000e013441")</f>
        <v>https://www.xiaohongshu.com/user/profile/678ae1f3000000000e013441</v>
      </c>
      <c r="C498" s="2" t="str">
        <f>=HYPERLINK("https://pgy.xiaohongshu.com/solar/pre-trade/blogger-detail/678ae1f3000000000e013441", "https://pgy.xiaohongshu.com/solar/pre-trade/blogger-detail/678ae1f3000000000e013441")</f>
        <v>https://pgy.xiaohongshu.com/solar/pre-trade/blogger-detail/678ae1f3000000000e013441</v>
      </c>
      <c r="D498" t="inlineStr">
        <is>
          <t>未知</t>
        </is>
      </c>
      <c r="E498" t="inlineStr">
        <is>
          <t>11589764251</t>
        </is>
      </c>
      <c r="F498" t="inlineStr">
        <is>
          <t>Barnes家的中美日常</t>
        </is>
      </c>
      <c r="G498" t="inlineStr">
        <is>
          <t>美国</t>
        </is>
      </c>
      <c r="H498" t="inlineStr">
        <is>
          <t>爸爸, 外国人, 家庭</t>
        </is>
      </c>
      <c r="I498" t="inlineStr">
        <is>
          <t>出行旅游, 教育, 母婴</t>
        </is>
      </c>
      <c r="J498">
        <v>75148</v>
      </c>
      <c r="K498" t="inlineStr">
        <is>
          <t>7.5</t>
        </is>
      </c>
      <c r="L498">
        <v>17309</v>
      </c>
      <c r="M498">
        <v>6985</v>
      </c>
      <c r="N498">
        <v>341</v>
      </c>
      <c r="O498">
        <v>3000</v>
      </c>
      <c r="P498">
        <v>0.25</v>
      </c>
      <c r="Q498">
        <v>1</v>
      </c>
      <c r="R498">
        <v>15083</v>
      </c>
      <c r="S498">
        <v>2218</v>
      </c>
      <c r="T498">
        <v>351</v>
      </c>
      <c r="U498">
        <v>1.65</v>
      </c>
      <c r="V498">
        <v>3000</v>
      </c>
      <c r="W498">
        <v>1</v>
      </c>
      <c r="X498">
        <v>0</v>
      </c>
      <c r="Y498">
        <v>198.9</v>
      </c>
      <c r="Z498">
        <v>7.85</v>
      </c>
      <c r="AA498">
        <v>19536</v>
      </c>
      <c r="AB498">
        <v>10935</v>
      </c>
      <c r="AC498">
        <v>271</v>
      </c>
      <c r="AD498">
        <v>2</v>
      </c>
      <c r="AE498">
        <v>5500</v>
      </c>
      <c r="AF498">
        <v>1</v>
      </c>
      <c r="AG498">
        <v>0.286</v>
      </c>
      <c r="AH498">
        <v>0.059</v>
      </c>
      <c r="AI498">
        <v>281.53</v>
      </c>
      <c r="AJ498">
        <v>18.33</v>
      </c>
      <c r="AK498">
        <v>0</v>
      </c>
      <c r="AL498">
        <v>0</v>
      </c>
      <c r="AM498">
        <v>0</v>
      </c>
      <c r="AN498">
        <v>0</v>
      </c>
      <c r="AO498">
        <v>0</v>
      </c>
      <c r="AP498">
        <v>0.778</v>
      </c>
      <c r="AQ498">
        <v>0.022</v>
      </c>
      <c r="AR498">
        <v>0.0289999999999999</v>
      </c>
      <c r="AS498" s="3">
        <v>46107.77086805556</v>
      </c>
    </row>
    <row r="499" ht="25.5" customHeight="1">
      <c r="A499" t="inlineStr">
        <is>
          <t>5a5455c311be1073c6366ed7</t>
        </is>
      </c>
      <c r="B499" s="2" t="str">
        <f>=HYPERLINK("https://www.xiaohongshu.com/user/profile/5a5455c311be1073c6366ed7", "https://www.xiaohongshu.com/user/profile/5a5455c311be1073c6366ed7")</f>
        <v>https://www.xiaohongshu.com/user/profile/5a5455c311be1073c6366ed7</v>
      </c>
      <c r="C499" s="2" t="str">
        <f>=HYPERLINK("https://pgy.xiaohongshu.com/solar/pre-trade/blogger-detail/5a5455c311be1073c6366ed7", "https://pgy.xiaohongshu.com/solar/pre-trade/blogger-detail/5a5455c311be1073c6366ed7")</f>
        <v>https://pgy.xiaohongshu.com/solar/pre-trade/blogger-detail/5a5455c311be1073c6366ed7</v>
      </c>
      <c r="D499" t="inlineStr">
        <is>
          <t>女</t>
        </is>
      </c>
      <c r="E499" t="inlineStr">
        <is>
          <t>635654874</t>
        </is>
      </c>
      <c r="F499" t="inlineStr">
        <is>
          <t>小吕的诗与远方</t>
        </is>
      </c>
      <c r="G499" t="inlineStr">
        <is>
          <t>浙江 金华 兰溪市</t>
        </is>
      </c>
      <c r="H499"/>
      <c r="I499" t="inlineStr">
        <is>
          <t>教育</t>
        </is>
      </c>
      <c r="J499">
        <v>7725</v>
      </c>
      <c r="K499" t="inlineStr">
        <is>
          <t>0.8</t>
        </is>
      </c>
      <c r="L499">
        <v>8949</v>
      </c>
      <c r="M499">
        <v>1473</v>
      </c>
      <c r="N499">
        <v>151</v>
      </c>
      <c r="O499">
        <v>200</v>
      </c>
      <c r="P499">
        <v>0</v>
      </c>
      <c r="Q499">
        <v>0.455</v>
      </c>
      <c r="R499">
        <v>8816</v>
      </c>
      <c r="S499">
        <v>1358</v>
      </c>
      <c r="T499">
        <v>125</v>
      </c>
      <c r="U499">
        <v>0.45</v>
      </c>
      <c r="V499">
        <v>200</v>
      </c>
      <c r="W499">
        <v>0.4</v>
      </c>
      <c r="X499">
        <v>0</v>
      </c>
      <c r="Y499">
        <v>22.69</v>
      </c>
      <c r="Z499">
        <v>1.32</v>
      </c>
      <c r="AA499">
        <v>11526</v>
      </c>
      <c r="AB499">
        <v>2226</v>
      </c>
      <c r="AC499">
        <v>239</v>
      </c>
      <c r="AD499">
        <v>1.62</v>
      </c>
      <c r="AE499">
        <v>256</v>
      </c>
      <c r="AF499">
        <v>1</v>
      </c>
      <c r="AG499">
        <v>0</v>
      </c>
      <c r="AH499">
        <v>0.185</v>
      </c>
      <c r="AI499">
        <v>22.21</v>
      </c>
      <c r="AJ499">
        <v>0.89</v>
      </c>
      <c r="AK499">
        <v>0</v>
      </c>
      <c r="AL499">
        <v>0</v>
      </c>
      <c r="AM499">
        <v>0</v>
      </c>
      <c r="AN499">
        <v>0</v>
      </c>
      <c r="AO499">
        <v>0</v>
      </c>
      <c r="AP499">
        <v>0.930999999999999</v>
      </c>
      <c r="AQ499">
        <v>0.067</v>
      </c>
      <c r="AR499">
        <v>0.042</v>
      </c>
      <c r="AS499" s="3">
        <v>46107.77086805556</v>
      </c>
    </row>
    <row r="500" ht="25.5" customHeight="1">
      <c r="A500" t="inlineStr">
        <is>
          <t>64dcb356000000000100c035</t>
        </is>
      </c>
      <c r="B500" s="2" t="str">
        <f>=HYPERLINK("https://www.xiaohongshu.com/user/profile/64dcb356000000000100c035", "https://www.xiaohongshu.com/user/profile/64dcb356000000000100c035")</f>
        <v>https://www.xiaohongshu.com/user/profile/64dcb356000000000100c035</v>
      </c>
      <c r="C500" s="2" t="str">
        <f>=HYPERLINK("https://pgy.xiaohongshu.com/solar/pre-trade/blogger-detail/64dcb356000000000100c035", "https://pgy.xiaohongshu.com/solar/pre-trade/blogger-detail/64dcb356000000000100c035")</f>
        <v>https://pgy.xiaohongshu.com/solar/pre-trade/blogger-detail/64dcb356000000000100c035</v>
      </c>
      <c r="D500" t="inlineStr">
        <is>
          <t>女</t>
        </is>
      </c>
      <c r="E500" t="inlineStr">
        <is>
          <t>9958960937</t>
        </is>
      </c>
      <c r="F500" t="inlineStr">
        <is>
          <t>BIG田田</t>
        </is>
      </c>
      <c r="G500" t="inlineStr">
        <is>
          <t>德国</t>
        </is>
      </c>
      <c r="H500" t="inlineStr">
        <is>
          <t>学生, 留学背景, 海外华人, 独居人群</t>
        </is>
      </c>
      <c r="I500" t="inlineStr">
        <is>
          <t>教育, 情感</t>
        </is>
      </c>
      <c r="J500">
        <v>23246</v>
      </c>
      <c r="K500" t="inlineStr">
        <is>
          <t>2.3</t>
        </is>
      </c>
      <c r="L500">
        <v>8983</v>
      </c>
      <c r="M500">
        <v>2045</v>
      </c>
      <c r="N500">
        <v>297</v>
      </c>
      <c r="O500">
        <v>2400</v>
      </c>
      <c r="P500">
        <v>0.143</v>
      </c>
      <c r="Q500">
        <v>0.571</v>
      </c>
      <c r="R500">
        <v>0</v>
      </c>
      <c r="S500">
        <v>0</v>
      </c>
      <c r="T500">
        <v>0</v>
      </c>
      <c r="U500">
        <v>0</v>
      </c>
      <c r="V500">
        <v>2400</v>
      </c>
      <c r="W500">
        <v>0</v>
      </c>
      <c r="X500">
        <v>0</v>
      </c>
      <c r="Y500">
        <v>0</v>
      </c>
      <c r="Z500">
        <v>0</v>
      </c>
      <c r="AA500">
        <v>8983</v>
      </c>
      <c r="AB500">
        <v>2045</v>
      </c>
      <c r="AC500">
        <v>241</v>
      </c>
      <c r="AD500">
        <v>3.46</v>
      </c>
      <c r="AE500">
        <v>4000</v>
      </c>
      <c r="AF500">
        <v>0.571</v>
      </c>
      <c r="AG500">
        <v>0.143</v>
      </c>
      <c r="AH500">
        <v>0.133</v>
      </c>
      <c r="AI500">
        <v>445.29</v>
      </c>
      <c r="AJ500">
        <v>13.47</v>
      </c>
      <c r="AK500">
        <v>0</v>
      </c>
      <c r="AL500">
        <v>0</v>
      </c>
      <c r="AM500">
        <v>0</v>
      </c>
      <c r="AN500">
        <v>0</v>
      </c>
      <c r="AO500">
        <v>0</v>
      </c>
      <c r="AP500">
        <v>0.895999999999999</v>
      </c>
      <c r="AQ500">
        <v>0.034</v>
      </c>
      <c r="AR500">
        <v>0.009</v>
      </c>
      <c r="AS500" s="3">
        <v>46107.77086805556</v>
      </c>
    </row>
    <row r="501" ht="25.5" customHeight="1">
      <c r="A501" t="inlineStr">
        <is>
          <t>646edaa9000000001f0041d8</t>
        </is>
      </c>
      <c r="B501" s="2" t="str">
        <f>=HYPERLINK("https://www.xiaohongshu.com/user/profile/646edaa9000000001f0041d8", "https://www.xiaohongshu.com/user/profile/646edaa9000000001f0041d8")</f>
        <v>https://www.xiaohongshu.com/user/profile/646edaa9000000001f0041d8</v>
      </c>
      <c r="C501" s="2" t="str">
        <f>=HYPERLINK("https://pgy.xiaohongshu.com/solar/pre-trade/blogger-detail/646edaa9000000001f0041d8", "https://pgy.xiaohongshu.com/solar/pre-trade/blogger-detail/646edaa9000000001f0041d8")</f>
        <v>https://pgy.xiaohongshu.com/solar/pre-trade/blogger-detail/646edaa9000000001f0041d8</v>
      </c>
      <c r="D501" t="inlineStr">
        <is>
          <t>男</t>
        </is>
      </c>
      <c r="E501" t="inlineStr">
        <is>
          <t>8972197876</t>
        </is>
      </c>
      <c r="F501" t="inlineStr">
        <is>
          <t>罗变强同学</t>
        </is>
      </c>
      <c r="G501" t="inlineStr">
        <is>
          <t>上海</t>
        </is>
      </c>
      <c r="H501" t="inlineStr">
        <is>
          <t>学生</t>
        </is>
      </c>
      <c r="I501" t="inlineStr">
        <is>
          <t>教育, 搞笑</t>
        </is>
      </c>
      <c r="J501">
        <v>18237</v>
      </c>
      <c r="K501" t="inlineStr">
        <is>
          <t>1.8</t>
        </is>
      </c>
      <c r="L501">
        <v>24349</v>
      </c>
      <c r="M501">
        <v>6864</v>
      </c>
      <c r="N501">
        <v>237</v>
      </c>
      <c r="O501">
        <v>300</v>
      </c>
      <c r="P501">
        <v>0.176</v>
      </c>
      <c r="Q501">
        <v>0.529</v>
      </c>
      <c r="R501">
        <v>0</v>
      </c>
      <c r="S501">
        <v>0</v>
      </c>
      <c r="T501">
        <v>0</v>
      </c>
      <c r="U501">
        <v>0</v>
      </c>
      <c r="V501">
        <v>300</v>
      </c>
      <c r="W501">
        <v>0</v>
      </c>
      <c r="X501">
        <v>0</v>
      </c>
      <c r="Y501">
        <v>0</v>
      </c>
      <c r="Z501">
        <v>0</v>
      </c>
      <c r="AA501">
        <v>24349</v>
      </c>
      <c r="AB501">
        <v>6864</v>
      </c>
      <c r="AC501">
        <v>143</v>
      </c>
      <c r="AD501">
        <v>1.65</v>
      </c>
      <c r="AE501">
        <v>1000</v>
      </c>
      <c r="AF501">
        <v>0.529</v>
      </c>
      <c r="AG501">
        <v>0.176</v>
      </c>
      <c r="AH501">
        <v>0.386</v>
      </c>
      <c r="AI501">
        <v>41.07</v>
      </c>
      <c r="AJ501">
        <v>4.22</v>
      </c>
      <c r="AK501">
        <v>0</v>
      </c>
      <c r="AL501">
        <v>0</v>
      </c>
      <c r="AM501">
        <v>0</v>
      </c>
      <c r="AN501">
        <v>0</v>
      </c>
      <c r="AO501">
        <v>0</v>
      </c>
      <c r="AP501">
        <v>0.753</v>
      </c>
      <c r="AQ501">
        <v>0.01</v>
      </c>
      <c r="AR501">
        <v>0.009</v>
      </c>
      <c r="AS501" s="3">
        <v>46107.77086805556</v>
      </c>
    </row>
    <row r="502" ht="25.5" customHeight="1">
      <c r="A502" t="inlineStr">
        <is>
          <t>63e2c58900000000270355cd</t>
        </is>
      </c>
      <c r="B502" s="2" t="str">
        <f>=HYPERLINK("https://www.xiaohongshu.com/user/profile/63e2c58900000000270355cd", "https://www.xiaohongshu.com/user/profile/63e2c58900000000270355cd")</f>
        <v>https://www.xiaohongshu.com/user/profile/63e2c58900000000270355cd</v>
      </c>
      <c r="C502" s="2" t="str">
        <f>=HYPERLINK("https://pgy.xiaohongshu.com/solar/pre-trade/blogger-detail/63e2c58900000000270355cd", "https://pgy.xiaohongshu.com/solar/pre-trade/blogger-detail/63e2c58900000000270355cd")</f>
        <v>https://pgy.xiaohongshu.com/solar/pre-trade/blogger-detail/63e2c58900000000270355cd</v>
      </c>
      <c r="D502" t="inlineStr">
        <is>
          <t>女</t>
        </is>
      </c>
      <c r="E502" t="inlineStr">
        <is>
          <t>tuoya091125</t>
        </is>
      </c>
      <c r="F502" t="inlineStr">
        <is>
          <t>在美国的Tuoya</t>
        </is>
      </c>
      <c r="G502" t="inlineStr">
        <is>
          <t>美国</t>
        </is>
      </c>
      <c r="H502" t="inlineStr">
        <is>
          <t>海外华人, 留学背景, 学生</t>
        </is>
      </c>
      <c r="I502" t="inlineStr">
        <is>
          <t>教育</t>
        </is>
      </c>
      <c r="J502">
        <v>66159</v>
      </c>
      <c r="K502" t="inlineStr">
        <is>
          <t>6.6</t>
        </is>
      </c>
      <c r="L502">
        <v>78772</v>
      </c>
      <c r="M502">
        <v>18990</v>
      </c>
      <c r="N502">
        <v>1549</v>
      </c>
      <c r="O502">
        <v>4500</v>
      </c>
      <c r="P502">
        <v>1</v>
      </c>
      <c r="Q502">
        <v>1</v>
      </c>
      <c r="R502">
        <v>0</v>
      </c>
      <c r="S502">
        <v>0</v>
      </c>
      <c r="T502">
        <v>0</v>
      </c>
      <c r="U502">
        <v>0</v>
      </c>
      <c r="V502">
        <v>5271</v>
      </c>
      <c r="W502">
        <v>0</v>
      </c>
      <c r="X502">
        <v>0</v>
      </c>
      <c r="Y502">
        <v>0</v>
      </c>
      <c r="Z502">
        <v>0</v>
      </c>
      <c r="AA502">
        <v>78772</v>
      </c>
      <c r="AB502">
        <v>18990</v>
      </c>
      <c r="AC502">
        <v>1368</v>
      </c>
      <c r="AD502">
        <v>1.76</v>
      </c>
      <c r="AE502">
        <v>4500</v>
      </c>
      <c r="AF502">
        <v>1</v>
      </c>
      <c r="AG502">
        <v>1</v>
      </c>
      <c r="AH502">
        <v>0.165</v>
      </c>
      <c r="AI502">
        <v>57.24</v>
      </c>
      <c r="AJ502">
        <v>2.25</v>
      </c>
      <c r="AK502">
        <v>93711</v>
      </c>
      <c r="AL502">
        <v>15601</v>
      </c>
      <c r="AM502">
        <v>2426</v>
      </c>
      <c r="AN502">
        <v>28</v>
      </c>
      <c r="AO502">
        <v>189.53</v>
      </c>
      <c r="AP502">
        <v>0.703</v>
      </c>
      <c r="AQ502">
        <v>0.052</v>
      </c>
      <c r="AR502">
        <v>0.07</v>
      </c>
      <c r="AS502" s="3">
        <v>46107.771099537036</v>
      </c>
    </row>
    <row r="503" ht="25.5" customHeight="1">
      <c r="A503" t="inlineStr">
        <is>
          <t>5c5bcbeb000000001b01a9bb</t>
        </is>
      </c>
      <c r="B503" s="2" t="str">
        <f>=HYPERLINK("https://www.xiaohongshu.com/user/profile/5c5bcbeb000000001b01a9bb", "https://www.xiaohongshu.com/user/profile/5c5bcbeb000000001b01a9bb")</f>
        <v>https://www.xiaohongshu.com/user/profile/5c5bcbeb000000001b01a9bb</v>
      </c>
      <c r="C503" s="2" t="str">
        <f>=HYPERLINK("https://pgy.xiaohongshu.com/solar/pre-trade/blogger-detail/5c5bcbeb000000001b01a9bb", "https://pgy.xiaohongshu.com/solar/pre-trade/blogger-detail/5c5bcbeb000000001b01a9bb")</f>
        <v>https://pgy.xiaohongshu.com/solar/pre-trade/blogger-detail/5c5bcbeb000000001b01a9bb</v>
      </c>
      <c r="D503" t="inlineStr">
        <is>
          <t>女</t>
        </is>
      </c>
      <c r="E503" t="inlineStr">
        <is>
          <t>554328638</t>
        </is>
      </c>
      <c r="F503" t="inlineStr">
        <is>
          <t>模拟小鹅</t>
        </is>
      </c>
      <c r="G503" t="inlineStr">
        <is>
          <t>广东 广州 黄埔区</t>
        </is>
      </c>
      <c r="H503"/>
      <c r="I503" t="inlineStr">
        <is>
          <t>教育</t>
        </is>
      </c>
      <c r="J503">
        <v>4338</v>
      </c>
      <c r="K503" t="inlineStr">
        <is>
          <t>0.4</t>
        </is>
      </c>
      <c r="L503">
        <v>14772</v>
      </c>
      <c r="M503">
        <v>2549</v>
      </c>
      <c r="N503">
        <v>509</v>
      </c>
      <c r="O503">
        <v>260</v>
      </c>
      <c r="P503">
        <v>0.059</v>
      </c>
      <c r="Q503">
        <v>0.706</v>
      </c>
      <c r="R503">
        <v>14772</v>
      </c>
      <c r="S503">
        <v>2549</v>
      </c>
      <c r="T503">
        <v>427</v>
      </c>
      <c r="U503">
        <v>0.42</v>
      </c>
      <c r="V503">
        <v>260</v>
      </c>
      <c r="W503">
        <v>0.706</v>
      </c>
      <c r="X503">
        <v>0.059</v>
      </c>
      <c r="Y503">
        <v>22.69</v>
      </c>
      <c r="Z503">
        <v>0.57</v>
      </c>
      <c r="AA503">
        <v>0</v>
      </c>
      <c r="AB503">
        <v>0</v>
      </c>
      <c r="AC503">
        <v>0</v>
      </c>
      <c r="AD503">
        <v>0</v>
      </c>
      <c r="AE503">
        <v>400</v>
      </c>
      <c r="AF503">
        <v>0</v>
      </c>
      <c r="AG503">
        <v>0</v>
      </c>
      <c r="AH503">
        <v>0</v>
      </c>
      <c r="AI503">
        <v>0</v>
      </c>
      <c r="AJ503">
        <v>0</v>
      </c>
      <c r="AK503">
        <v>3135</v>
      </c>
      <c r="AL503">
        <v>178</v>
      </c>
      <c r="AM503">
        <v>10</v>
      </c>
      <c r="AN503">
        <v>0</v>
      </c>
      <c r="AO503">
        <v>61.99</v>
      </c>
      <c r="AP503">
        <v>0.938</v>
      </c>
      <c r="AQ503">
        <v>0.185</v>
      </c>
      <c r="AR503">
        <v>0.162</v>
      </c>
      <c r="AS503" s="3">
        <v>46107.771099537036</v>
      </c>
    </row>
    <row r="504" ht="25.5" customHeight="1">
      <c r="A504" t="inlineStr">
        <is>
          <t>60a171430000000001006151</t>
        </is>
      </c>
      <c r="B504" s="2" t="str">
        <f>=HYPERLINK("https://www.xiaohongshu.com/user/profile/60a171430000000001006151", "https://www.xiaohongshu.com/user/profile/60a171430000000001006151")</f>
        <v>https://www.xiaohongshu.com/user/profile/60a171430000000001006151</v>
      </c>
      <c r="C504" s="2" t="str">
        <f>=HYPERLINK("https://pgy.xiaohongshu.com/solar/pre-trade/blogger-detail/60a171430000000001006151", "https://pgy.xiaohongshu.com/solar/pre-trade/blogger-detail/60a171430000000001006151")</f>
        <v>https://pgy.xiaohongshu.com/solar/pre-trade/blogger-detail/60a171430000000001006151</v>
      </c>
      <c r="D504" t="inlineStr">
        <is>
          <t>女</t>
        </is>
      </c>
      <c r="E504" t="inlineStr">
        <is>
          <t>9476675023</t>
        </is>
      </c>
      <c r="F504" t="inlineStr">
        <is>
          <t>朱朱大猫猫</t>
        </is>
      </c>
      <c r="G504" t="inlineStr">
        <is>
          <t>英国</t>
        </is>
      </c>
      <c r="H504" t="inlineStr">
        <is>
          <t>学生, 留学背景, 海外华人, 闺蜜</t>
        </is>
      </c>
      <c r="I504" t="inlineStr">
        <is>
          <t>教育</t>
        </is>
      </c>
      <c r="J504">
        <v>186715</v>
      </c>
      <c r="K504" t="inlineStr">
        <is>
          <t>18.7</t>
        </is>
      </c>
      <c r="L504">
        <v>85144</v>
      </c>
      <c r="M504">
        <v>25836</v>
      </c>
      <c r="N504">
        <v>1343</v>
      </c>
      <c r="O504">
        <v>16000</v>
      </c>
      <c r="P504">
        <v>1</v>
      </c>
      <c r="Q504">
        <v>1</v>
      </c>
      <c r="R504">
        <v>0</v>
      </c>
      <c r="S504">
        <v>0</v>
      </c>
      <c r="T504">
        <v>0</v>
      </c>
      <c r="U504">
        <v>0</v>
      </c>
      <c r="V504">
        <v>16000</v>
      </c>
      <c r="W504">
        <v>0</v>
      </c>
      <c r="X504">
        <v>0</v>
      </c>
      <c r="Y504">
        <v>0</v>
      </c>
      <c r="Z504">
        <v>0</v>
      </c>
      <c r="AA504">
        <v>85144</v>
      </c>
      <c r="AB504">
        <v>25836</v>
      </c>
      <c r="AC504">
        <v>1251</v>
      </c>
      <c r="AD504">
        <v>2.32</v>
      </c>
      <c r="AE504">
        <v>17800</v>
      </c>
      <c r="AF504">
        <v>1</v>
      </c>
      <c r="AG504">
        <v>1</v>
      </c>
      <c r="AH504">
        <v>0.416</v>
      </c>
      <c r="AI504">
        <v>401.26</v>
      </c>
      <c r="AJ504">
        <v>13.25</v>
      </c>
      <c r="AK504">
        <v>69645</v>
      </c>
      <c r="AL504">
        <v>19682</v>
      </c>
      <c r="AM504">
        <v>2635</v>
      </c>
      <c r="AN504">
        <v>0</v>
      </c>
      <c r="AO504">
        <v>0</v>
      </c>
      <c r="AP504">
        <v>0.777</v>
      </c>
      <c r="AQ504">
        <v>0.013</v>
      </c>
      <c r="AR504">
        <v>-0.001</v>
      </c>
      <c r="AS504" s="3">
        <v>46107.771099537036</v>
      </c>
    </row>
    <row r="505" ht="25.5" customHeight="1">
      <c r="A505" t="inlineStr">
        <is>
          <t>682f94a5000000000a03c149</t>
        </is>
      </c>
      <c r="B505" s="2" t="str">
        <f>=HYPERLINK("https://www.xiaohongshu.com/user/profile/682f94a5000000000a03c149", "https://www.xiaohongshu.com/user/profile/682f94a5000000000a03c149")</f>
        <v>https://www.xiaohongshu.com/user/profile/682f94a5000000000a03c149</v>
      </c>
      <c r="C505" s="2" t="str">
        <f>=HYPERLINK("https://pgy.xiaohongshu.com/solar/pre-trade/blogger-detail/682f94a5000000000a03c149", "https://pgy.xiaohongshu.com/solar/pre-trade/blogger-detail/682f94a5000000000a03c149")</f>
        <v>https://pgy.xiaohongshu.com/solar/pre-trade/blogger-detail/682f94a5000000000a03c149</v>
      </c>
      <c r="D505" t="inlineStr">
        <is>
          <t>男</t>
        </is>
      </c>
      <c r="E505" t="inlineStr">
        <is>
          <t>95079976961</t>
        </is>
      </c>
      <c r="F505" t="inlineStr">
        <is>
          <t>谢子B</t>
        </is>
      </c>
      <c r="G505" t="inlineStr">
        <is>
          <t>江苏 苏州 昆山市</t>
        </is>
      </c>
      <c r="H505"/>
      <c r="I505" t="inlineStr">
        <is>
          <t>教育</t>
        </is>
      </c>
      <c r="J505">
        <v>2285</v>
      </c>
      <c r="K505" t="inlineStr">
        <is>
          <t>0.2</t>
        </is>
      </c>
      <c r="L505">
        <v>1196</v>
      </c>
      <c r="M505">
        <v>696</v>
      </c>
      <c r="N505">
        <v>205</v>
      </c>
      <c r="O505">
        <v>150</v>
      </c>
      <c r="P505">
        <v>0</v>
      </c>
      <c r="Q505">
        <v>0.5</v>
      </c>
      <c r="R505">
        <v>0</v>
      </c>
      <c r="S505">
        <v>0</v>
      </c>
      <c r="T505">
        <v>0</v>
      </c>
      <c r="U505">
        <v>0.38</v>
      </c>
      <c r="V505">
        <v>175</v>
      </c>
      <c r="W505">
        <v>0</v>
      </c>
      <c r="X505">
        <v>0</v>
      </c>
      <c r="Y505">
        <v>8.67</v>
      </c>
      <c r="Z505">
        <v>0.44</v>
      </c>
      <c r="AA505">
        <v>1196</v>
      </c>
      <c r="AB505">
        <v>696</v>
      </c>
      <c r="AC505">
        <v>197</v>
      </c>
      <c r="AD505">
        <v>1.72</v>
      </c>
      <c r="AE505">
        <v>150</v>
      </c>
      <c r="AF505">
        <v>0.5</v>
      </c>
      <c r="AG505">
        <v>0</v>
      </c>
      <c r="AH505">
        <v>0.313</v>
      </c>
      <c r="AI505">
        <v>125.37</v>
      </c>
      <c r="AJ505">
        <v>0.73</v>
      </c>
      <c r="AK505">
        <v>20190</v>
      </c>
      <c r="AL505">
        <v>2142</v>
      </c>
      <c r="AM505">
        <v>388</v>
      </c>
      <c r="AN505">
        <v>0</v>
      </c>
      <c r="AO505">
        <v>0</v>
      </c>
      <c r="AP505">
        <v>0.462</v>
      </c>
      <c r="AQ505">
        <v>0.021</v>
      </c>
      <c r="AR505">
        <v>0.023</v>
      </c>
      <c r="AS505" s="3">
        <v>46107.771099537036</v>
      </c>
    </row>
    <row r="506" ht="25.5" customHeight="1">
      <c r="A506" t="inlineStr">
        <is>
          <t>56585338e00dd83941369ba3</t>
        </is>
      </c>
      <c r="B506" s="2" t="str">
        <f>=HYPERLINK("https://www.xiaohongshu.com/user/profile/56585338e00dd83941369ba3", "https://www.xiaohongshu.com/user/profile/56585338e00dd83941369ba3")</f>
        <v>https://www.xiaohongshu.com/user/profile/56585338e00dd83941369ba3</v>
      </c>
      <c r="C506" s="2" t="str">
        <f>=HYPERLINK("https://pgy.xiaohongshu.com/solar/pre-trade/blogger-detail/56585338e00dd83941369ba3", "https://pgy.xiaohongshu.com/solar/pre-trade/blogger-detail/56585338e00dd83941369ba3")</f>
        <v>https://pgy.xiaohongshu.com/solar/pre-trade/blogger-detail/56585338e00dd83941369ba3</v>
      </c>
      <c r="D506" t="inlineStr">
        <is>
          <t>女</t>
        </is>
      </c>
      <c r="E506" t="inlineStr">
        <is>
          <t>966298045</t>
        </is>
      </c>
      <c r="F506" t="inlineStr">
        <is>
          <t>英语老师Megan</t>
        </is>
      </c>
      <c r="G506" t="inlineStr">
        <is>
          <t>广东 东莞</t>
        </is>
      </c>
      <c r="H506"/>
      <c r="I506" t="inlineStr">
        <is>
          <t>教育, 健康养生</t>
        </is>
      </c>
      <c r="J506">
        <v>16337</v>
      </c>
      <c r="K506" t="inlineStr">
        <is>
          <t>1.6</t>
        </is>
      </c>
      <c r="L506">
        <v>47109</v>
      </c>
      <c r="M506">
        <v>6842</v>
      </c>
      <c r="N506">
        <v>1357</v>
      </c>
      <c r="O506">
        <v>150</v>
      </c>
      <c r="P506">
        <v>0</v>
      </c>
      <c r="Q506">
        <v>1</v>
      </c>
      <c r="R506">
        <v>47109</v>
      </c>
      <c r="S506">
        <v>6842</v>
      </c>
      <c r="T506">
        <v>1235</v>
      </c>
      <c r="U506">
        <v>0.32</v>
      </c>
      <c r="V506">
        <v>150</v>
      </c>
      <c r="W506">
        <v>1</v>
      </c>
      <c r="X506">
        <v>0</v>
      </c>
      <c r="Y506">
        <v>3.18</v>
      </c>
      <c r="Z506">
        <v>0.11</v>
      </c>
      <c r="AA506">
        <v>0</v>
      </c>
      <c r="AB506">
        <v>0</v>
      </c>
      <c r="AC506">
        <v>0</v>
      </c>
      <c r="AD506">
        <v>0</v>
      </c>
      <c r="AE506">
        <v>1904</v>
      </c>
      <c r="AF506">
        <v>0</v>
      </c>
      <c r="AG506">
        <v>0</v>
      </c>
      <c r="AH506">
        <v>0</v>
      </c>
      <c r="AI506">
        <v>0</v>
      </c>
      <c r="AJ506">
        <v>0</v>
      </c>
      <c r="AK506">
        <v>0</v>
      </c>
      <c r="AL506">
        <v>0</v>
      </c>
      <c r="AM506">
        <v>0</v>
      </c>
      <c r="AN506">
        <v>0</v>
      </c>
      <c r="AO506">
        <v>0</v>
      </c>
      <c r="AP506">
        <v>0.910999999999999</v>
      </c>
      <c r="AQ506">
        <v>0.026</v>
      </c>
      <c r="AR506">
        <v>0.009</v>
      </c>
      <c r="AS506" s="3">
        <v>46107.771099537036</v>
      </c>
    </row>
    <row r="507" ht="25.5" customHeight="1">
      <c r="A507" t="inlineStr">
        <is>
          <t>60c1f0120000000001002993</t>
        </is>
      </c>
      <c r="B507" s="2" t="str">
        <f>=HYPERLINK("https://www.xiaohongshu.com/user/profile/60c1f0120000000001002993", "https://www.xiaohongshu.com/user/profile/60c1f0120000000001002993")</f>
        <v>https://www.xiaohongshu.com/user/profile/60c1f0120000000001002993</v>
      </c>
      <c r="C507" s="2" t="str">
        <f>=HYPERLINK("https://pgy.xiaohongshu.com/solar/pre-trade/blogger-detail/60c1f0120000000001002993", "https://pgy.xiaohongshu.com/solar/pre-trade/blogger-detail/60c1f0120000000001002993")</f>
        <v>https://pgy.xiaohongshu.com/solar/pre-trade/blogger-detail/60c1f0120000000001002993</v>
      </c>
      <c r="D507" t="inlineStr">
        <is>
          <t>男</t>
        </is>
      </c>
      <c r="E507" t="inlineStr">
        <is>
          <t>9562001913</t>
        </is>
      </c>
      <c r="F507" t="inlineStr">
        <is>
          <t>是不是李</t>
        </is>
      </c>
      <c r="G507" t="inlineStr">
        <is>
          <t>中国 香港</t>
        </is>
      </c>
      <c r="H507" t="inlineStr">
        <is>
          <t>学生</t>
        </is>
      </c>
      <c r="I507" t="inlineStr">
        <is>
          <t>教育</t>
        </is>
      </c>
      <c r="J507">
        <v>2577</v>
      </c>
      <c r="K507" t="inlineStr">
        <is>
          <t>0.3</t>
        </is>
      </c>
      <c r="L507">
        <v>3454</v>
      </c>
      <c r="M507">
        <v>660</v>
      </c>
      <c r="N507">
        <v>119</v>
      </c>
      <c r="O507">
        <v>400</v>
      </c>
      <c r="P507">
        <v>0</v>
      </c>
      <c r="Q507">
        <v>1</v>
      </c>
      <c r="R507">
        <v>3454</v>
      </c>
      <c r="S507">
        <v>660</v>
      </c>
      <c r="T507">
        <v>112</v>
      </c>
      <c r="U507">
        <v>0.84</v>
      </c>
      <c r="V507">
        <v>400</v>
      </c>
      <c r="W507">
        <v>1</v>
      </c>
      <c r="X507">
        <v>0</v>
      </c>
      <c r="Y507">
        <v>73.17</v>
      </c>
      <c r="Z507">
        <v>2.78</v>
      </c>
      <c r="AA507">
        <v>0</v>
      </c>
      <c r="AB507">
        <v>0</v>
      </c>
      <c r="AC507">
        <v>0</v>
      </c>
      <c r="AD507">
        <v>0</v>
      </c>
      <c r="AE507">
        <v>500</v>
      </c>
      <c r="AF507">
        <v>0</v>
      </c>
      <c r="AG507">
        <v>0</v>
      </c>
      <c r="AH507">
        <v>0</v>
      </c>
      <c r="AI507">
        <v>0</v>
      </c>
      <c r="AJ507">
        <v>0</v>
      </c>
      <c r="AK507">
        <v>6570</v>
      </c>
      <c r="AL507">
        <v>1056</v>
      </c>
      <c r="AM507">
        <v>139</v>
      </c>
      <c r="AN507">
        <v>0</v>
      </c>
      <c r="AO507">
        <v>0</v>
      </c>
      <c r="AP507">
        <v>0.890999999999999</v>
      </c>
      <c r="AQ507">
        <v>0.075</v>
      </c>
      <c r="AR507">
        <v>0.011</v>
      </c>
      <c r="AS507" s="3">
        <v>46107.771099537036</v>
      </c>
    </row>
    <row r="508" ht="25.5" customHeight="1">
      <c r="A508" t="inlineStr">
        <is>
          <t>64c12aea000000001403e798</t>
        </is>
      </c>
      <c r="B508" s="2" t="str">
        <f>=HYPERLINK("https://www.xiaohongshu.com/user/profile/64c12aea000000001403e798", "https://www.xiaohongshu.com/user/profile/64c12aea000000001403e798")</f>
        <v>https://www.xiaohongshu.com/user/profile/64c12aea000000001403e798</v>
      </c>
      <c r="C508" s="2" t="str">
        <f>=HYPERLINK("https://pgy.xiaohongshu.com/solar/pre-trade/blogger-detail/64c12aea000000001403e798", "https://pgy.xiaohongshu.com/solar/pre-trade/blogger-detail/64c12aea000000001403e798")</f>
        <v>https://pgy.xiaohongshu.com/solar/pre-trade/blogger-detail/64c12aea000000001403e798</v>
      </c>
      <c r="D508" t="inlineStr">
        <is>
          <t>男</t>
        </is>
      </c>
      <c r="E508" t="inlineStr">
        <is>
          <t>PAP31415926935</t>
        </is>
      </c>
      <c r="F508" t="inlineStr">
        <is>
          <t>Horizon的烤鸭摊子（浙大法学生带你150块学雅思）</t>
        </is>
      </c>
      <c r="G508" t="inlineStr">
        <is>
          <t>浙江 杭州 西湖区</t>
        </is>
      </c>
      <c r="H508" t="inlineStr">
        <is>
          <t>学生</t>
        </is>
      </c>
      <c r="I508" t="inlineStr">
        <is>
          <t>教育</t>
        </is>
      </c>
      <c r="J508">
        <v>1727</v>
      </c>
      <c r="K508" t="inlineStr">
        <is>
          <t>0.2</t>
        </is>
      </c>
      <c r="L508">
        <v>9327</v>
      </c>
      <c r="M508">
        <v>1128</v>
      </c>
      <c r="N508">
        <v>124</v>
      </c>
      <c r="O508">
        <v>500</v>
      </c>
      <c r="P508">
        <v>0</v>
      </c>
      <c r="Q508">
        <v>0.226999999999999</v>
      </c>
      <c r="R508">
        <v>9632</v>
      </c>
      <c r="S508">
        <v>1216</v>
      </c>
      <c r="T508">
        <v>104</v>
      </c>
      <c r="U508">
        <v>0.71</v>
      </c>
      <c r="V508">
        <v>500</v>
      </c>
      <c r="W508">
        <v>0.238</v>
      </c>
      <c r="X508">
        <v>0</v>
      </c>
      <c r="Y508">
        <v>51.91</v>
      </c>
      <c r="Z508">
        <v>3.85</v>
      </c>
      <c r="AA508">
        <v>4612</v>
      </c>
      <c r="AB508">
        <v>762</v>
      </c>
      <c r="AC508">
        <v>67</v>
      </c>
      <c r="AD508">
        <v>2.81</v>
      </c>
      <c r="AE508">
        <v>1000</v>
      </c>
      <c r="AF508">
        <v>0</v>
      </c>
      <c r="AG508">
        <v>0</v>
      </c>
      <c r="AH508">
        <v>0.012</v>
      </c>
      <c r="AI508">
        <v>216.83</v>
      </c>
      <c r="AJ508">
        <v>11.36</v>
      </c>
      <c r="AK508">
        <v>0</v>
      </c>
      <c r="AL508">
        <v>0</v>
      </c>
      <c r="AM508">
        <v>0</v>
      </c>
      <c r="AN508">
        <v>0</v>
      </c>
      <c r="AO508">
        <v>0</v>
      </c>
      <c r="AP508">
        <v>0.947</v>
      </c>
      <c r="AQ508">
        <v>0.272</v>
      </c>
      <c r="AR508">
        <v>0</v>
      </c>
      <c r="AS508" s="3">
        <v>46107.771099537036</v>
      </c>
    </row>
    <row r="509" ht="25.5" customHeight="1">
      <c r="A509" t="inlineStr">
        <is>
          <t>629d993e000000001b028a8c</t>
        </is>
      </c>
      <c r="B509" s="2" t="str">
        <f>=HYPERLINK("https://www.xiaohongshu.com/user/profile/629d993e000000001b028a8c", "https://www.xiaohongshu.com/user/profile/629d993e000000001b028a8c")</f>
        <v>https://www.xiaohongshu.com/user/profile/629d993e000000001b028a8c</v>
      </c>
      <c r="C509" s="2" t="str">
        <f>=HYPERLINK("https://pgy.xiaohongshu.com/solar/pre-trade/blogger-detail/629d993e000000001b028a8c", "https://pgy.xiaohongshu.com/solar/pre-trade/blogger-detail/629d993e000000001b028a8c")</f>
        <v>https://pgy.xiaohongshu.com/solar/pre-trade/blogger-detail/629d993e000000001b028a8c</v>
      </c>
      <c r="D509" t="inlineStr">
        <is>
          <t>女</t>
        </is>
      </c>
      <c r="E509" t="inlineStr">
        <is>
          <t>5605356786</t>
        </is>
      </c>
      <c r="F509" t="inlineStr">
        <is>
          <t>不难过的羊</t>
        </is>
      </c>
      <c r="G509" t="inlineStr">
        <is>
          <t>泰国</t>
        </is>
      </c>
      <c r="H509"/>
      <c r="I509" t="inlineStr">
        <is>
          <t>生活记录</t>
        </is>
      </c>
      <c r="J509">
        <v>11128</v>
      </c>
      <c r="K509" t="inlineStr">
        <is>
          <t>1.1</t>
        </is>
      </c>
      <c r="L509">
        <v>36235</v>
      </c>
      <c r="M509">
        <v>13414</v>
      </c>
      <c r="N509">
        <v>660</v>
      </c>
      <c r="O509">
        <v>700</v>
      </c>
      <c r="P509">
        <v>0</v>
      </c>
      <c r="Q509">
        <v>1</v>
      </c>
      <c r="R509">
        <v>0</v>
      </c>
      <c r="S509">
        <v>0</v>
      </c>
      <c r="T509">
        <v>0</v>
      </c>
      <c r="U509">
        <v>0</v>
      </c>
      <c r="V509">
        <v>700</v>
      </c>
      <c r="W509">
        <v>0</v>
      </c>
      <c r="X509">
        <v>0</v>
      </c>
      <c r="Y509">
        <v>0</v>
      </c>
      <c r="Z509">
        <v>0</v>
      </c>
      <c r="AA509">
        <v>36235</v>
      </c>
      <c r="AB509">
        <v>13414</v>
      </c>
      <c r="AC509">
        <v>524</v>
      </c>
      <c r="AD509">
        <v>1.57</v>
      </c>
      <c r="AE509">
        <v>1000</v>
      </c>
      <c r="AF509">
        <v>1</v>
      </c>
      <c r="AG509">
        <v>0</v>
      </c>
      <c r="AH509">
        <v>0.09</v>
      </c>
      <c r="AI509">
        <v>27.6</v>
      </c>
      <c r="AJ509">
        <v>1.52</v>
      </c>
      <c r="AK509">
        <v>0</v>
      </c>
      <c r="AL509">
        <v>0</v>
      </c>
      <c r="AM509">
        <v>0</v>
      </c>
      <c r="AN509">
        <v>0</v>
      </c>
      <c r="AO509">
        <v>0</v>
      </c>
      <c r="AP509">
        <v>0.824</v>
      </c>
      <c r="AQ509">
        <v>0.057</v>
      </c>
      <c r="AR509">
        <v>0.072</v>
      </c>
      <c r="AS509" s="3">
        <v>46107.771099537036</v>
      </c>
    </row>
    <row r="510" ht="25.5" customHeight="1">
      <c r="A510" t="inlineStr">
        <is>
          <t>6543aaad00000000300335e9</t>
        </is>
      </c>
      <c r="B510" s="2" t="str">
        <f>=HYPERLINK("https://www.xiaohongshu.com/user/profile/6543aaad00000000300335e9", "https://www.xiaohongshu.com/user/profile/6543aaad00000000300335e9")</f>
        <v>https://www.xiaohongshu.com/user/profile/6543aaad00000000300335e9</v>
      </c>
      <c r="C510" s="2" t="str">
        <f>=HYPERLINK("https://pgy.xiaohongshu.com/solar/pre-trade/blogger-detail/6543aaad00000000300335e9", "https://pgy.xiaohongshu.com/solar/pre-trade/blogger-detail/6543aaad00000000300335e9")</f>
        <v>https://pgy.xiaohongshu.com/solar/pre-trade/blogger-detail/6543aaad00000000300335e9</v>
      </c>
      <c r="D510" t="inlineStr">
        <is>
          <t>女</t>
        </is>
      </c>
      <c r="E510" t="inlineStr">
        <is>
          <t>8795387014</t>
        </is>
      </c>
      <c r="F510" t="inlineStr">
        <is>
          <t>爱吃馒头</t>
        </is>
      </c>
      <c r="G510" t="inlineStr">
        <is>
          <t>湖南 长沙 天心区</t>
        </is>
      </c>
      <c r="H510"/>
      <c r="I510" t="inlineStr">
        <is>
          <t>教育</t>
        </is>
      </c>
      <c r="J510">
        <v>4155</v>
      </c>
      <c r="K510" t="inlineStr">
        <is>
          <t>0.4</t>
        </is>
      </c>
      <c r="L510">
        <v>10493</v>
      </c>
      <c r="M510">
        <v>2881</v>
      </c>
      <c r="N510">
        <v>154</v>
      </c>
      <c r="O510">
        <v>300</v>
      </c>
      <c r="P510">
        <v>0.063</v>
      </c>
      <c r="Q510">
        <v>0.625</v>
      </c>
      <c r="R510">
        <v>9262</v>
      </c>
      <c r="S510">
        <v>252</v>
      </c>
      <c r="T510">
        <v>16</v>
      </c>
      <c r="U510">
        <v>1.49</v>
      </c>
      <c r="V510">
        <v>300</v>
      </c>
      <c r="W510">
        <v>0</v>
      </c>
      <c r="X510">
        <v>0</v>
      </c>
      <c r="Y510">
        <v>32.39</v>
      </c>
      <c r="Z510">
        <v>16.67</v>
      </c>
      <c r="AA510">
        <v>11137</v>
      </c>
      <c r="AB510">
        <v>2936</v>
      </c>
      <c r="AC510">
        <v>148</v>
      </c>
      <c r="AD510">
        <v>1.7</v>
      </c>
      <c r="AE510">
        <v>600</v>
      </c>
      <c r="AF510">
        <v>0.667</v>
      </c>
      <c r="AG510">
        <v>0.067</v>
      </c>
      <c r="AH510">
        <v>0.149</v>
      </c>
      <c r="AI510">
        <v>53.87</v>
      </c>
      <c r="AJ510">
        <v>3.47</v>
      </c>
      <c r="AK510">
        <v>0</v>
      </c>
      <c r="AL510">
        <v>0</v>
      </c>
      <c r="AM510">
        <v>0</v>
      </c>
      <c r="AN510">
        <v>0</v>
      </c>
      <c r="AO510">
        <v>0</v>
      </c>
      <c r="AP510">
        <v>0.984</v>
      </c>
      <c r="AQ510">
        <v>0.139</v>
      </c>
      <c r="AR510">
        <v>0.216</v>
      </c>
      <c r="AS510" s="3">
        <v>46107.771099537036</v>
      </c>
    </row>
    <row r="511" ht="25.5" customHeight="1">
      <c r="A511" t="inlineStr">
        <is>
          <t>5a6b442ce8ac2b412380683a</t>
        </is>
      </c>
      <c r="B511" s="2" t="str">
        <f>=HYPERLINK("https://www.xiaohongshu.com/user/profile/5a6b442ce8ac2b412380683a", "https://www.xiaohongshu.com/user/profile/5a6b442ce8ac2b412380683a")</f>
        <v>https://www.xiaohongshu.com/user/profile/5a6b442ce8ac2b412380683a</v>
      </c>
      <c r="C511" s="2" t="str">
        <f>=HYPERLINK("https://pgy.xiaohongshu.com/solar/pre-trade/blogger-detail/5a6b442ce8ac2b412380683a", "https://pgy.xiaohongshu.com/solar/pre-trade/blogger-detail/5a6b442ce8ac2b412380683a")</f>
        <v>https://pgy.xiaohongshu.com/solar/pre-trade/blogger-detail/5a6b442ce8ac2b412380683a</v>
      </c>
      <c r="D511" t="inlineStr">
        <is>
          <t>女</t>
        </is>
      </c>
      <c r="E511" t="inlineStr">
        <is>
          <t>fafanewyork</t>
        </is>
      </c>
      <c r="F511" t="inlineStr">
        <is>
          <t>金小花花🌻 纽约百事通</t>
        </is>
      </c>
      <c r="G511" t="inlineStr">
        <is>
          <t>美国</t>
        </is>
      </c>
      <c r="H511" t="inlineStr">
        <is>
          <t>妈妈, 海外华人, 留学背景</t>
        </is>
      </c>
      <c r="I511" t="inlineStr">
        <is>
          <t>美食</t>
        </is>
      </c>
      <c r="J511">
        <v>9945</v>
      </c>
      <c r="K511" t="inlineStr">
        <is>
          <t>1.0</t>
        </is>
      </c>
      <c r="L511">
        <v>20587</v>
      </c>
      <c r="M511">
        <v>3896</v>
      </c>
      <c r="N511">
        <v>174</v>
      </c>
      <c r="O511">
        <v>900</v>
      </c>
      <c r="P511">
        <v>0.091</v>
      </c>
      <c r="Q511">
        <v>0.364</v>
      </c>
      <c r="R511">
        <v>26260</v>
      </c>
      <c r="S511">
        <v>2443</v>
      </c>
      <c r="T511">
        <v>91</v>
      </c>
      <c r="U511">
        <v>0.79</v>
      </c>
      <c r="V511">
        <v>900</v>
      </c>
      <c r="W511">
        <v>0.332999999999999</v>
      </c>
      <c r="X511">
        <v>0</v>
      </c>
      <c r="Y511">
        <v>64.79</v>
      </c>
      <c r="Z511">
        <v>8.57</v>
      </c>
      <c r="AA511">
        <v>17641</v>
      </c>
      <c r="AB511">
        <v>4069</v>
      </c>
      <c r="AC511">
        <v>107</v>
      </c>
      <c r="AD511">
        <v>1.87</v>
      </c>
      <c r="AE511">
        <v>1500</v>
      </c>
      <c r="AF511">
        <v>0.4</v>
      </c>
      <c r="AG511">
        <v>0.2</v>
      </c>
      <c r="AH511">
        <v>0.607</v>
      </c>
      <c r="AI511">
        <v>85.03</v>
      </c>
      <c r="AJ511">
        <v>8.62</v>
      </c>
      <c r="AK511">
        <v>3930</v>
      </c>
      <c r="AL511">
        <v>456</v>
      </c>
      <c r="AM511">
        <v>14</v>
      </c>
      <c r="AN511">
        <v>0</v>
      </c>
      <c r="AO511">
        <v>0</v>
      </c>
      <c r="AP511">
        <v>0.835</v>
      </c>
      <c r="AQ511">
        <v>0.0279999999999999</v>
      </c>
      <c r="AR511">
        <v>0.018</v>
      </c>
      <c r="AS511" s="3">
        <v>46107.771099537036</v>
      </c>
    </row>
    <row r="512" ht="25.5" customHeight="1">
      <c r="A512" t="inlineStr">
        <is>
          <t>62a4c12100000000210273be</t>
        </is>
      </c>
      <c r="B512" s="2" t="str">
        <f>=HYPERLINK("https://www.xiaohongshu.com/user/profile/62a4c12100000000210273be", "https://www.xiaohongshu.com/user/profile/62a4c12100000000210273be")</f>
        <v>https://www.xiaohongshu.com/user/profile/62a4c12100000000210273be</v>
      </c>
      <c r="C512" s="2" t="str">
        <f>=HYPERLINK("https://pgy.xiaohongshu.com/solar/pre-trade/blogger-detail/62a4c12100000000210273be", "https://pgy.xiaohongshu.com/solar/pre-trade/blogger-detail/62a4c12100000000210273be")</f>
        <v>https://pgy.xiaohongshu.com/solar/pre-trade/blogger-detail/62a4c12100000000210273be</v>
      </c>
      <c r="D512" t="inlineStr">
        <is>
          <t>男</t>
        </is>
      </c>
      <c r="E512" t="inlineStr">
        <is>
          <t>fumomo805</t>
        </is>
      </c>
      <c r="F512" t="inlineStr">
        <is>
          <t>福momo</t>
        </is>
      </c>
      <c r="G512" t="inlineStr">
        <is>
          <t>福建 福州 闽侯县</t>
        </is>
      </c>
      <c r="H512" t="inlineStr">
        <is>
          <t>学生</t>
        </is>
      </c>
      <c r="I512" t="inlineStr">
        <is>
          <t>教育</t>
        </is>
      </c>
      <c r="J512">
        <v>3448</v>
      </c>
      <c r="K512" t="inlineStr">
        <is>
          <t>0.3</t>
        </is>
      </c>
      <c r="L512">
        <v>8193</v>
      </c>
      <c r="M512">
        <v>1267</v>
      </c>
      <c r="N512">
        <v>110</v>
      </c>
      <c r="O512">
        <v>233</v>
      </c>
      <c r="P512">
        <v>0</v>
      </c>
      <c r="Q512">
        <v>0.273</v>
      </c>
      <c r="R512">
        <v>8193</v>
      </c>
      <c r="S512">
        <v>1267</v>
      </c>
      <c r="T512">
        <v>95</v>
      </c>
      <c r="U512">
        <v>0.51</v>
      </c>
      <c r="V512">
        <v>233</v>
      </c>
      <c r="W512">
        <v>0.273</v>
      </c>
      <c r="X512">
        <v>0</v>
      </c>
      <c r="Y512">
        <v>32.48</v>
      </c>
      <c r="Z512">
        <v>2.27</v>
      </c>
      <c r="AA512">
        <v>0</v>
      </c>
      <c r="AB512">
        <v>0</v>
      </c>
      <c r="AC512">
        <v>0</v>
      </c>
      <c r="AD512">
        <v>0</v>
      </c>
      <c r="AE512">
        <v>408</v>
      </c>
      <c r="AF512">
        <v>0</v>
      </c>
      <c r="AG512">
        <v>0</v>
      </c>
      <c r="AH512">
        <v>0</v>
      </c>
      <c r="AI512">
        <v>0</v>
      </c>
      <c r="AJ512">
        <v>0</v>
      </c>
      <c r="AK512">
        <v>6369</v>
      </c>
      <c r="AL512">
        <v>438</v>
      </c>
      <c r="AM512">
        <v>25</v>
      </c>
      <c r="AN512">
        <v>0</v>
      </c>
      <c r="AO512">
        <v>0</v>
      </c>
      <c r="AP512">
        <v>0.914</v>
      </c>
      <c r="AQ512">
        <v>0.171</v>
      </c>
      <c r="AR512">
        <v>0.071</v>
      </c>
      <c r="AS512" s="3">
        <v>46107.771099537036</v>
      </c>
    </row>
    <row r="513" ht="25.5" customHeight="1">
      <c r="A513" t="inlineStr">
        <is>
          <t>5a40874011be103b7d9f9cfc</t>
        </is>
      </c>
      <c r="B513" s="2" t="str">
        <f>=HYPERLINK("https://www.xiaohongshu.com/user/profile/5a40874011be103b7d9f9cfc", "https://www.xiaohongshu.com/user/profile/5a40874011be103b7d9f9cfc")</f>
        <v>https://www.xiaohongshu.com/user/profile/5a40874011be103b7d9f9cfc</v>
      </c>
      <c r="C513" s="2" t="str">
        <f>=HYPERLINK("https://pgy.xiaohongshu.com/solar/pre-trade/blogger-detail/5a40874011be103b7d9f9cfc", "https://pgy.xiaohongshu.com/solar/pre-trade/blogger-detail/5a40874011be103b7d9f9cfc")</f>
        <v>https://pgy.xiaohongshu.com/solar/pre-trade/blogger-detail/5a40874011be103b7d9f9cfc</v>
      </c>
      <c r="D513" t="inlineStr">
        <is>
          <t>男</t>
        </is>
      </c>
      <c r="E513" t="inlineStr">
        <is>
          <t>Dylan9452</t>
        </is>
      </c>
      <c r="F513" t="inlineStr">
        <is>
          <t>Mr Dylan</t>
        </is>
      </c>
      <c r="G513" t="inlineStr">
        <is>
          <t>四川 遂宁 船山区</t>
        </is>
      </c>
      <c r="H513"/>
      <c r="I513" t="inlineStr">
        <is>
          <t>教育</t>
        </is>
      </c>
      <c r="J513">
        <v>13222</v>
      </c>
      <c r="K513" t="inlineStr">
        <is>
          <t>1.3</t>
        </is>
      </c>
      <c r="L513">
        <v>10422</v>
      </c>
      <c r="M513">
        <v>1715</v>
      </c>
      <c r="N513">
        <v>232</v>
      </c>
      <c r="O513">
        <v>478</v>
      </c>
      <c r="P513">
        <v>0</v>
      </c>
      <c r="Q513">
        <v>0.429</v>
      </c>
      <c r="R513">
        <v>4213</v>
      </c>
      <c r="S513">
        <v>335</v>
      </c>
      <c r="T513">
        <v>21</v>
      </c>
      <c r="U513">
        <v>1.73</v>
      </c>
      <c r="V513">
        <v>478</v>
      </c>
      <c r="W513">
        <v>0</v>
      </c>
      <c r="X513">
        <v>0</v>
      </c>
      <c r="Y513">
        <v>113.46</v>
      </c>
      <c r="Z513">
        <v>21.73</v>
      </c>
      <c r="AA513">
        <v>10619</v>
      </c>
      <c r="AB513">
        <v>1967</v>
      </c>
      <c r="AC513">
        <v>188</v>
      </c>
      <c r="AD513">
        <v>2.66</v>
      </c>
      <c r="AE513">
        <v>2284</v>
      </c>
      <c r="AF513">
        <v>0.462</v>
      </c>
      <c r="AG513">
        <v>0</v>
      </c>
      <c r="AH513">
        <v>0.083</v>
      </c>
      <c r="AI513">
        <v>215.09</v>
      </c>
      <c r="AJ513">
        <v>9.1</v>
      </c>
      <c r="AK513">
        <v>0</v>
      </c>
      <c r="AL513">
        <v>0</v>
      </c>
      <c r="AM513">
        <v>0</v>
      </c>
      <c r="AN513">
        <v>0</v>
      </c>
      <c r="AO513">
        <v>0</v>
      </c>
      <c r="AP513">
        <v>0.932</v>
      </c>
      <c r="AQ513">
        <v>0.088</v>
      </c>
      <c r="AR513">
        <v>0.084</v>
      </c>
      <c r="AS513" s="3">
        <v>46107.771099537036</v>
      </c>
    </row>
    <row r="514" ht="25.5" customHeight="1">
      <c r="A514" t="inlineStr">
        <is>
          <t>5b603f0fe8ac2b2a9bc7865c</t>
        </is>
      </c>
      <c r="B514" s="2" t="str">
        <f>=HYPERLINK("https://www.xiaohongshu.com/user/profile/5b603f0fe8ac2b2a9bc7865c", "https://www.xiaohongshu.com/user/profile/5b603f0fe8ac2b2a9bc7865c")</f>
        <v>https://www.xiaohongshu.com/user/profile/5b603f0fe8ac2b2a9bc7865c</v>
      </c>
      <c r="C514" s="2" t="str">
        <f>=HYPERLINK("https://pgy.xiaohongshu.com/solar/pre-trade/blogger-detail/5b603f0fe8ac2b2a9bc7865c", "https://pgy.xiaohongshu.com/solar/pre-trade/blogger-detail/5b603f0fe8ac2b2a9bc7865c")</f>
        <v>https://pgy.xiaohongshu.com/solar/pre-trade/blogger-detail/5b603f0fe8ac2b2a9bc7865c</v>
      </c>
      <c r="D514" t="inlineStr">
        <is>
          <t>女</t>
        </is>
      </c>
      <c r="E514" t="inlineStr">
        <is>
          <t>806317858</t>
        </is>
      </c>
      <c r="F514" t="inlineStr">
        <is>
          <t>烤红薯大王</t>
        </is>
      </c>
      <c r="G514" t="inlineStr">
        <is>
          <t>辽宁 沈阳 皇姑区</t>
        </is>
      </c>
      <c r="H514" t="inlineStr">
        <is>
          <t>学生</t>
        </is>
      </c>
      <c r="I514" t="inlineStr">
        <is>
          <t>教育, 生活记录, 健康养生</t>
        </is>
      </c>
      <c r="J514">
        <v>7897</v>
      </c>
      <c r="K514" t="inlineStr">
        <is>
          <t>0.8</t>
        </is>
      </c>
      <c r="L514">
        <v>10144</v>
      </c>
      <c r="M514">
        <v>1827</v>
      </c>
      <c r="N514">
        <v>140</v>
      </c>
      <c r="O514">
        <v>400</v>
      </c>
      <c r="P514">
        <v>0</v>
      </c>
      <c r="Q514">
        <v>0.5</v>
      </c>
      <c r="R514">
        <v>10144</v>
      </c>
      <c r="S514">
        <v>1827</v>
      </c>
      <c r="T514">
        <v>130</v>
      </c>
      <c r="U514">
        <v>0.68</v>
      </c>
      <c r="V514">
        <v>400</v>
      </c>
      <c r="W514">
        <v>0.5</v>
      </c>
      <c r="X514">
        <v>0</v>
      </c>
      <c r="Y514">
        <v>72.39</v>
      </c>
      <c r="Z514">
        <v>5.33</v>
      </c>
      <c r="AA514">
        <v>0</v>
      </c>
      <c r="AB514">
        <v>0</v>
      </c>
      <c r="AC514">
        <v>0</v>
      </c>
      <c r="AD514">
        <v>0</v>
      </c>
      <c r="AE514">
        <v>500</v>
      </c>
      <c r="AF514">
        <v>0</v>
      </c>
      <c r="AG514">
        <v>0</v>
      </c>
      <c r="AH514">
        <v>0</v>
      </c>
      <c r="AI514">
        <v>0</v>
      </c>
      <c r="AJ514">
        <v>0</v>
      </c>
      <c r="AK514">
        <v>850</v>
      </c>
      <c r="AL514">
        <v>130</v>
      </c>
      <c r="AM514">
        <v>17</v>
      </c>
      <c r="AN514">
        <v>0</v>
      </c>
      <c r="AO514">
        <v>0</v>
      </c>
      <c r="AP514">
        <v>0.883</v>
      </c>
      <c r="AQ514">
        <v>0.038</v>
      </c>
      <c r="AR514">
        <v>0.01</v>
      </c>
      <c r="AS514" s="3">
        <v>46107.771099537036</v>
      </c>
    </row>
    <row r="515" ht="25.5" customHeight="1">
      <c r="A515" t="inlineStr">
        <is>
          <t>5d1d812a0000000011019305</t>
        </is>
      </c>
      <c r="B515" s="2" t="str">
        <f>=HYPERLINK("https://www.xiaohongshu.com/user/profile/5d1d812a0000000011019305", "https://www.xiaohongshu.com/user/profile/5d1d812a0000000011019305")</f>
        <v>https://www.xiaohongshu.com/user/profile/5d1d812a0000000011019305</v>
      </c>
      <c r="C515" s="2" t="str">
        <f>=HYPERLINK("https://pgy.xiaohongshu.com/solar/pre-trade/blogger-detail/5d1d812a0000000011019305", "https://pgy.xiaohongshu.com/solar/pre-trade/blogger-detail/5d1d812a0000000011019305")</f>
        <v>https://pgy.xiaohongshu.com/solar/pre-trade/blogger-detail/5d1d812a0000000011019305</v>
      </c>
      <c r="D515" t="inlineStr">
        <is>
          <t>女</t>
        </is>
      </c>
      <c r="E515" t="inlineStr">
        <is>
          <t>937303204</t>
        </is>
      </c>
      <c r="F515" t="inlineStr">
        <is>
          <t>五道口第一深情</t>
        </is>
      </c>
      <c r="G515" t="inlineStr">
        <is>
          <t>北京</t>
        </is>
      </c>
      <c r="H515" t="inlineStr">
        <is>
          <t>学生</t>
        </is>
      </c>
      <c r="I515" t="inlineStr">
        <is>
          <t>情感</t>
        </is>
      </c>
      <c r="J515">
        <v>6714</v>
      </c>
      <c r="K515" t="inlineStr">
        <is>
          <t>0.7</t>
        </is>
      </c>
      <c r="L515">
        <v>12609</v>
      </c>
      <c r="M515">
        <v>2750</v>
      </c>
      <c r="N515">
        <v>120</v>
      </c>
      <c r="O515">
        <v>258</v>
      </c>
      <c r="P515">
        <v>0</v>
      </c>
      <c r="Q515">
        <v>0.143</v>
      </c>
      <c r="R515">
        <v>12609</v>
      </c>
      <c r="S515">
        <v>2750</v>
      </c>
      <c r="T515">
        <v>92</v>
      </c>
      <c r="U515">
        <v>0.41</v>
      </c>
      <c r="V515">
        <v>258</v>
      </c>
      <c r="W515">
        <v>0.143</v>
      </c>
      <c r="X515">
        <v>0</v>
      </c>
      <c r="Y515">
        <v>21.39</v>
      </c>
      <c r="Z515">
        <v>2.15</v>
      </c>
      <c r="AA515">
        <v>0</v>
      </c>
      <c r="AB515">
        <v>0</v>
      </c>
      <c r="AC515">
        <v>0</v>
      </c>
      <c r="AD515">
        <v>0</v>
      </c>
      <c r="AE515">
        <v>350</v>
      </c>
      <c r="AF515">
        <v>0</v>
      </c>
      <c r="AG515">
        <v>0</v>
      </c>
      <c r="AH515">
        <v>0</v>
      </c>
      <c r="AI515">
        <v>0</v>
      </c>
      <c r="AJ515">
        <v>0</v>
      </c>
      <c r="AK515">
        <v>6836</v>
      </c>
      <c r="AL515">
        <v>962</v>
      </c>
      <c r="AM515">
        <v>91</v>
      </c>
      <c r="AN515">
        <v>0</v>
      </c>
      <c r="AO515">
        <v>0</v>
      </c>
      <c r="AP515">
        <v>0.826</v>
      </c>
      <c r="AQ515">
        <v>0.037</v>
      </c>
      <c r="AR515">
        <v>0.004</v>
      </c>
      <c r="AS515" s="3">
        <v>46107.771099537036</v>
      </c>
    </row>
    <row r="516" ht="25.5" customHeight="1">
      <c r="A516" t="inlineStr">
        <is>
          <t>5e25d820000000000100530a</t>
        </is>
      </c>
      <c r="B516" s="2" t="str">
        <f>=HYPERLINK("https://www.xiaohongshu.com/user/profile/5e25d820000000000100530a", "https://www.xiaohongshu.com/user/profile/5e25d820000000000100530a")</f>
        <v>https://www.xiaohongshu.com/user/profile/5e25d820000000000100530a</v>
      </c>
      <c r="C516" s="2" t="str">
        <f>=HYPERLINK("https://pgy.xiaohongshu.com/solar/pre-trade/blogger-detail/5e25d820000000000100530a", "https://pgy.xiaohongshu.com/solar/pre-trade/blogger-detail/5e25d820000000000100530a")</f>
        <v>https://pgy.xiaohongshu.com/solar/pre-trade/blogger-detail/5e25d820000000000100530a</v>
      </c>
      <c r="D516" t="inlineStr">
        <is>
          <t>女</t>
        </is>
      </c>
      <c r="E516" t="inlineStr">
        <is>
          <t>793209435</t>
        </is>
      </c>
      <c r="F516" t="inlineStr">
        <is>
          <t>杰灿 Miranda</t>
        </is>
      </c>
      <c r="G516" t="inlineStr">
        <is>
          <t>江苏 苏州 吴中区</t>
        </is>
      </c>
      <c r="H516" t="inlineStr">
        <is>
          <t>学生</t>
        </is>
      </c>
      <c r="I516" t="inlineStr">
        <is>
          <t>教育</t>
        </is>
      </c>
      <c r="J516">
        <v>3834</v>
      </c>
      <c r="K516" t="inlineStr">
        <is>
          <t>0.4</t>
        </is>
      </c>
      <c r="L516">
        <v>4067</v>
      </c>
      <c r="M516">
        <v>1394</v>
      </c>
      <c r="N516">
        <v>226</v>
      </c>
      <c r="O516">
        <v>215</v>
      </c>
      <c r="P516">
        <v>0.077</v>
      </c>
      <c r="Q516">
        <v>0.692</v>
      </c>
      <c r="R516">
        <v>0</v>
      </c>
      <c r="S516">
        <v>0</v>
      </c>
      <c r="T516">
        <v>0</v>
      </c>
      <c r="U516">
        <v>0</v>
      </c>
      <c r="V516">
        <v>215</v>
      </c>
      <c r="W516">
        <v>0</v>
      </c>
      <c r="X516">
        <v>0</v>
      </c>
      <c r="Y516">
        <v>0</v>
      </c>
      <c r="Z516">
        <v>0</v>
      </c>
      <c r="AA516">
        <v>4067</v>
      </c>
      <c r="AB516">
        <v>1394</v>
      </c>
      <c r="AC516">
        <v>223</v>
      </c>
      <c r="AD516">
        <v>1.75</v>
      </c>
      <c r="AE516">
        <v>330</v>
      </c>
      <c r="AF516">
        <v>0.692</v>
      </c>
      <c r="AG516">
        <v>0.077</v>
      </c>
      <c r="AH516">
        <v>0.059</v>
      </c>
      <c r="AI516">
        <v>86.66</v>
      </c>
      <c r="AJ516">
        <v>1.56</v>
      </c>
      <c r="AK516">
        <v>2678</v>
      </c>
      <c r="AL516">
        <v>357</v>
      </c>
      <c r="AM516">
        <v>43</v>
      </c>
      <c r="AN516">
        <v>0</v>
      </c>
      <c r="AO516">
        <v>0</v>
      </c>
      <c r="AP516">
        <v>0.858</v>
      </c>
      <c r="AQ516">
        <v>0.182</v>
      </c>
      <c r="AR516">
        <v>0.151</v>
      </c>
      <c r="AS516" s="3">
        <v>46107.771099537036</v>
      </c>
    </row>
    <row r="517" ht="25.5" customHeight="1">
      <c r="A517" t="inlineStr">
        <is>
          <t>5d382be800000000160131c8</t>
        </is>
      </c>
      <c r="B517" s="2" t="str">
        <f>=HYPERLINK("https://www.xiaohongshu.com/user/profile/5d382be800000000160131c8", "https://www.xiaohongshu.com/user/profile/5d382be800000000160131c8")</f>
        <v>https://www.xiaohongshu.com/user/profile/5d382be800000000160131c8</v>
      </c>
      <c r="C517" s="2" t="str">
        <f>=HYPERLINK("https://pgy.xiaohongshu.com/solar/pre-trade/blogger-detail/5d382be800000000160131c8", "https://pgy.xiaohongshu.com/solar/pre-trade/blogger-detail/5d382be800000000160131c8")</f>
        <v>https://pgy.xiaohongshu.com/solar/pre-trade/blogger-detail/5d382be800000000160131c8</v>
      </c>
      <c r="D517" t="inlineStr">
        <is>
          <t>女</t>
        </is>
      </c>
      <c r="E517" t="inlineStr">
        <is>
          <t>814805760</t>
        </is>
      </c>
      <c r="F517" t="inlineStr">
        <is>
          <t>柒染珒幽</t>
        </is>
      </c>
      <c r="G517" t="inlineStr">
        <is>
          <t>河北 保定 涿州市</t>
        </is>
      </c>
      <c r="H517" t="inlineStr">
        <is>
          <t>学生</t>
        </is>
      </c>
      <c r="I517" t="inlineStr">
        <is>
          <t>生活记录</t>
        </is>
      </c>
      <c r="J517">
        <v>6685</v>
      </c>
      <c r="K517" t="inlineStr">
        <is>
          <t>0.7</t>
        </is>
      </c>
      <c r="L517">
        <v>1123</v>
      </c>
      <c r="M517">
        <v>118</v>
      </c>
      <c r="N517">
        <v>145</v>
      </c>
      <c r="O517">
        <v>200</v>
      </c>
      <c r="P517">
        <v>0</v>
      </c>
      <c r="Q517">
        <v>0</v>
      </c>
      <c r="R517">
        <v>1123</v>
      </c>
      <c r="S517">
        <v>118</v>
      </c>
      <c r="T517">
        <v>141</v>
      </c>
      <c r="U517">
        <v>2.86</v>
      </c>
      <c r="V517">
        <v>312</v>
      </c>
      <c r="W517">
        <v>0</v>
      </c>
      <c r="X517">
        <v>0</v>
      </c>
      <c r="Y517">
        <v>270.36</v>
      </c>
      <c r="Z517">
        <v>2.16</v>
      </c>
      <c r="AA517">
        <v>0</v>
      </c>
      <c r="AB517">
        <v>0</v>
      </c>
      <c r="AC517">
        <v>0</v>
      </c>
      <c r="AD517">
        <v>0</v>
      </c>
      <c r="AE517">
        <v>200</v>
      </c>
      <c r="AF517">
        <v>0</v>
      </c>
      <c r="AG517">
        <v>0</v>
      </c>
      <c r="AH517">
        <v>0</v>
      </c>
      <c r="AI517">
        <v>0</v>
      </c>
      <c r="AJ517">
        <v>0</v>
      </c>
      <c r="AK517">
        <v>2433</v>
      </c>
      <c r="AL517">
        <v>255</v>
      </c>
      <c r="AM517">
        <v>102</v>
      </c>
      <c r="AN517">
        <v>0</v>
      </c>
      <c r="AO517">
        <v>0</v>
      </c>
      <c r="AP517">
        <v>0.587</v>
      </c>
      <c r="AQ517">
        <v>0.039</v>
      </c>
      <c r="AR517">
        <v>0.023</v>
      </c>
      <c r="AS517" s="3">
        <v>46107.771099537036</v>
      </c>
    </row>
    <row r="518" ht="25.5" customHeight="1">
      <c r="A518" t="inlineStr">
        <is>
          <t>5c865e9c0000000012022a78</t>
        </is>
      </c>
      <c r="B518" s="2" t="str">
        <f>=HYPERLINK("https://www.xiaohongshu.com/user/profile/5c865e9c0000000012022a78", "https://www.xiaohongshu.com/user/profile/5c865e9c0000000012022a78")</f>
        <v>https://www.xiaohongshu.com/user/profile/5c865e9c0000000012022a78</v>
      </c>
      <c r="C518" s="2" t="str">
        <f>=HYPERLINK("https://pgy.xiaohongshu.com/solar/pre-trade/blogger-detail/5c865e9c0000000012022a78", "https://pgy.xiaohongshu.com/solar/pre-trade/blogger-detail/5c865e9c0000000012022a78")</f>
        <v>https://pgy.xiaohongshu.com/solar/pre-trade/blogger-detail/5c865e9c0000000012022a78</v>
      </c>
      <c r="D518" t="inlineStr">
        <is>
          <t>女</t>
        </is>
      </c>
      <c r="E518" t="inlineStr">
        <is>
          <t>sAuz7831_</t>
        </is>
      </c>
      <c r="F518" t="inlineStr">
        <is>
          <t>珍珠</t>
        </is>
      </c>
      <c r="G518" t="inlineStr">
        <is>
          <t>加拿大</t>
        </is>
      </c>
      <c r="H518" t="inlineStr">
        <is>
          <t>学生, 闺蜜</t>
        </is>
      </c>
      <c r="I518" t="inlineStr">
        <is>
          <t>教育</t>
        </is>
      </c>
      <c r="J518">
        <v>9825</v>
      </c>
      <c r="K518" t="inlineStr">
        <is>
          <t>1.0</t>
        </is>
      </c>
      <c r="L518">
        <v>17602</v>
      </c>
      <c r="M518">
        <v>3201</v>
      </c>
      <c r="N518">
        <v>235</v>
      </c>
      <c r="O518">
        <v>818</v>
      </c>
      <c r="P518">
        <v>0</v>
      </c>
      <c r="Q518">
        <v>0.9</v>
      </c>
      <c r="R518">
        <v>8243</v>
      </c>
      <c r="S518">
        <v>792</v>
      </c>
      <c r="T518">
        <v>70</v>
      </c>
      <c r="U518">
        <v>1.33</v>
      </c>
      <c r="V518">
        <v>818</v>
      </c>
      <c r="W518">
        <v>0</v>
      </c>
      <c r="X518">
        <v>0</v>
      </c>
      <c r="Y518">
        <v>99.24</v>
      </c>
      <c r="Z518">
        <v>10.1</v>
      </c>
      <c r="AA518">
        <v>19383</v>
      </c>
      <c r="AB518">
        <v>3929</v>
      </c>
      <c r="AC518">
        <v>235</v>
      </c>
      <c r="AD518">
        <v>1.92</v>
      </c>
      <c r="AE518">
        <v>1040</v>
      </c>
      <c r="AF518">
        <v>1</v>
      </c>
      <c r="AG518">
        <v>0</v>
      </c>
      <c r="AH518">
        <v>0.109</v>
      </c>
      <c r="AI518">
        <v>65.74</v>
      </c>
      <c r="AJ518">
        <v>3.97</v>
      </c>
      <c r="AK518">
        <v>13694</v>
      </c>
      <c r="AL518">
        <v>1803</v>
      </c>
      <c r="AM518">
        <v>217</v>
      </c>
      <c r="AN518">
        <v>0</v>
      </c>
      <c r="AO518">
        <v>0</v>
      </c>
      <c r="AP518">
        <v>0.885</v>
      </c>
      <c r="AQ518">
        <v>0.106</v>
      </c>
      <c r="AR518">
        <v>0.133</v>
      </c>
      <c r="AS518" s="3">
        <v>46107.771099537036</v>
      </c>
    </row>
    <row r="519" ht="25.5" customHeight="1">
      <c r="A519" t="inlineStr">
        <is>
          <t>601ebf05000000000100ac6c</t>
        </is>
      </c>
      <c r="B519" s="2" t="str">
        <f>=HYPERLINK("https://www.xiaohongshu.com/user/profile/601ebf05000000000100ac6c", "https://www.xiaohongshu.com/user/profile/601ebf05000000000100ac6c")</f>
        <v>https://www.xiaohongshu.com/user/profile/601ebf05000000000100ac6c</v>
      </c>
      <c r="C519" s="2" t="str">
        <f>=HYPERLINK("https://pgy.xiaohongshu.com/solar/pre-trade/blogger-detail/601ebf05000000000100ac6c", "https://pgy.xiaohongshu.com/solar/pre-trade/blogger-detail/601ebf05000000000100ac6c")</f>
        <v>https://pgy.xiaohongshu.com/solar/pre-trade/blogger-detail/601ebf05000000000100ac6c</v>
      </c>
      <c r="D519" t="inlineStr">
        <is>
          <t>男</t>
        </is>
      </c>
      <c r="E519" t="inlineStr">
        <is>
          <t>wu2001q</t>
        </is>
      </c>
      <c r="F519" t="inlineStr">
        <is>
          <t>伍同学</t>
        </is>
      </c>
      <c r="G519" t="inlineStr">
        <is>
          <t>广东 深圳 龙华区</t>
        </is>
      </c>
      <c r="H519" t="inlineStr">
        <is>
          <t>留学背景, 铲屎官, 学生</t>
        </is>
      </c>
      <c r="I519" t="inlineStr">
        <is>
          <t>生活记录</t>
        </is>
      </c>
      <c r="J519">
        <v>7081</v>
      </c>
      <c r="K519" t="inlineStr">
        <is>
          <t>0.7</t>
        </is>
      </c>
      <c r="L519">
        <v>23051</v>
      </c>
      <c r="M519">
        <v>2553</v>
      </c>
      <c r="N519">
        <v>162</v>
      </c>
      <c r="O519">
        <v>450</v>
      </c>
      <c r="P519">
        <v>0</v>
      </c>
      <c r="Q519">
        <v>0</v>
      </c>
      <c r="R519">
        <v>0</v>
      </c>
      <c r="S519">
        <v>0</v>
      </c>
      <c r="T519">
        <v>0</v>
      </c>
      <c r="U519">
        <v>0.51</v>
      </c>
      <c r="V519">
        <v>450</v>
      </c>
      <c r="W519">
        <v>0</v>
      </c>
      <c r="X519">
        <v>0</v>
      </c>
      <c r="Y519">
        <v>36.66</v>
      </c>
      <c r="Z519">
        <v>2.51</v>
      </c>
      <c r="AA519">
        <v>23051</v>
      </c>
      <c r="AB519">
        <v>2553</v>
      </c>
      <c r="AC519">
        <v>118</v>
      </c>
      <c r="AD519">
        <v>1.82</v>
      </c>
      <c r="AE519">
        <v>800</v>
      </c>
      <c r="AF519">
        <v>0</v>
      </c>
      <c r="AG519">
        <v>0</v>
      </c>
      <c r="AH519">
        <v>0.034</v>
      </c>
      <c r="AI519">
        <v>42.63</v>
      </c>
      <c r="AJ519">
        <v>4.97</v>
      </c>
      <c r="AK519">
        <v>14297</v>
      </c>
      <c r="AL519">
        <v>2222</v>
      </c>
      <c r="AM519">
        <v>138</v>
      </c>
      <c r="AN519">
        <v>8</v>
      </c>
      <c r="AO519">
        <v>91.43</v>
      </c>
      <c r="AP519">
        <v>0.755999999999999</v>
      </c>
      <c r="AQ519">
        <v>0.02</v>
      </c>
      <c r="AR519">
        <v>0.011</v>
      </c>
      <c r="AS519" s="3">
        <v>46107.771099537036</v>
      </c>
    </row>
    <row r="520" ht="25.5" customHeight="1">
      <c r="A520" t="inlineStr">
        <is>
          <t>611b01c30000000020028860</t>
        </is>
      </c>
      <c r="B520" s="2" t="str">
        <f>=HYPERLINK("https://www.xiaohongshu.com/user/profile/611b01c30000000020028860", "https://www.xiaohongshu.com/user/profile/611b01c30000000020028860")</f>
        <v>https://www.xiaohongshu.com/user/profile/611b01c30000000020028860</v>
      </c>
      <c r="C520" s="2" t="str">
        <f>=HYPERLINK("https://pgy.xiaohongshu.com/solar/pre-trade/blogger-detail/611b01c30000000020028860", "https://pgy.xiaohongshu.com/solar/pre-trade/blogger-detail/611b01c30000000020028860")</f>
        <v>https://pgy.xiaohongshu.com/solar/pre-trade/blogger-detail/611b01c30000000020028860</v>
      </c>
      <c r="D520" t="inlineStr">
        <is>
          <t>女</t>
        </is>
      </c>
      <c r="E520" t="inlineStr">
        <is>
          <t>4223393528</t>
        </is>
      </c>
      <c r="F520" t="inlineStr">
        <is>
          <t>阿德莱德我来了</t>
        </is>
      </c>
      <c r="G520" t="inlineStr">
        <is>
          <t>新西兰</t>
        </is>
      </c>
      <c r="H520" t="inlineStr">
        <is>
          <t>考研过来人, 妈妈, 留学背景, 海外华人</t>
        </is>
      </c>
      <c r="I520" t="inlineStr">
        <is>
          <t>教育, 生活记录</t>
        </is>
      </c>
      <c r="J520">
        <v>68047</v>
      </c>
      <c r="K520" t="inlineStr">
        <is>
          <t>6.8</t>
        </is>
      </c>
      <c r="L520">
        <v>60582</v>
      </c>
      <c r="M520">
        <v>10757</v>
      </c>
      <c r="N520">
        <v>1135</v>
      </c>
      <c r="O520">
        <v>8300</v>
      </c>
      <c r="P520">
        <v>0.143</v>
      </c>
      <c r="Q520">
        <v>1</v>
      </c>
      <c r="R520">
        <v>60772</v>
      </c>
      <c r="S520">
        <v>13234</v>
      </c>
      <c r="T520">
        <v>1008</v>
      </c>
      <c r="U520">
        <v>0.93</v>
      </c>
      <c r="V520">
        <v>8300</v>
      </c>
      <c r="W520">
        <v>1</v>
      </c>
      <c r="X520">
        <v>0.166999999999999</v>
      </c>
      <c r="Y520">
        <v>136.58</v>
      </c>
      <c r="Z520">
        <v>6.52</v>
      </c>
      <c r="AA520">
        <v>30680</v>
      </c>
      <c r="AB520">
        <v>5233</v>
      </c>
      <c r="AC520">
        <v>254</v>
      </c>
      <c r="AD520">
        <v>4.37</v>
      </c>
      <c r="AE520">
        <v>15000</v>
      </c>
      <c r="AF520">
        <v>1</v>
      </c>
      <c r="AG520">
        <v>0</v>
      </c>
      <c r="AH520">
        <v>0.15</v>
      </c>
      <c r="AI520">
        <v>488.92</v>
      </c>
      <c r="AJ520">
        <v>48.7</v>
      </c>
      <c r="AK520">
        <v>0</v>
      </c>
      <c r="AL520">
        <v>0</v>
      </c>
      <c r="AM520">
        <v>0</v>
      </c>
      <c r="AN520">
        <v>0</v>
      </c>
      <c r="AO520">
        <v>0</v>
      </c>
      <c r="AP520">
        <v>0.868</v>
      </c>
      <c r="AQ520">
        <v>0.052</v>
      </c>
      <c r="AR520">
        <v>0.004</v>
      </c>
      <c r="AS520" s="3">
        <v>46107.771099537036</v>
      </c>
    </row>
    <row r="521" ht="25.5" customHeight="1">
      <c r="A521" t="inlineStr">
        <is>
          <t>5d03a13d00000000110094a8</t>
        </is>
      </c>
      <c r="B521" s="2" t="str">
        <f>=HYPERLINK("https://www.xiaohongshu.com/user/profile/5d03a13d00000000110094a8", "https://www.xiaohongshu.com/user/profile/5d03a13d00000000110094a8")</f>
        <v>https://www.xiaohongshu.com/user/profile/5d03a13d00000000110094a8</v>
      </c>
      <c r="C521" s="2" t="str">
        <f>=HYPERLINK("https://pgy.xiaohongshu.com/solar/pre-trade/blogger-detail/5d03a13d00000000110094a8", "https://pgy.xiaohongshu.com/solar/pre-trade/blogger-detail/5d03a13d00000000110094a8")</f>
        <v>https://pgy.xiaohongshu.com/solar/pre-trade/blogger-detail/5d03a13d00000000110094a8</v>
      </c>
      <c r="D521" t="inlineStr">
        <is>
          <t>女</t>
        </is>
      </c>
      <c r="E521" t="inlineStr">
        <is>
          <t>1023411207yu</t>
        </is>
      </c>
      <c r="F521" t="inlineStr">
        <is>
          <t>Ephemeral</t>
        </is>
      </c>
      <c r="G521" t="inlineStr">
        <is>
          <t>北京</t>
        </is>
      </c>
      <c r="H521"/>
      <c r="I521" t="inlineStr">
        <is>
          <t>教育</t>
        </is>
      </c>
      <c r="J521">
        <v>5291</v>
      </c>
      <c r="K521" t="inlineStr">
        <is>
          <t>0.5</t>
        </is>
      </c>
      <c r="L521">
        <v>11642</v>
      </c>
      <c r="M521">
        <v>1978</v>
      </c>
      <c r="N521">
        <v>174</v>
      </c>
      <c r="O521">
        <v>999</v>
      </c>
      <c r="P521">
        <v>0</v>
      </c>
      <c r="Q521">
        <v>0.25</v>
      </c>
      <c r="R521">
        <v>11642</v>
      </c>
      <c r="S521">
        <v>1978</v>
      </c>
      <c r="T521">
        <v>129</v>
      </c>
      <c r="U521">
        <v>0.8</v>
      </c>
      <c r="V521">
        <v>999</v>
      </c>
      <c r="W521">
        <v>0.25</v>
      </c>
      <c r="X521">
        <v>0</v>
      </c>
      <c r="Y521">
        <v>85.81</v>
      </c>
      <c r="Z521">
        <v>5.72</v>
      </c>
      <c r="AA521">
        <v>0</v>
      </c>
      <c r="AB521">
        <v>0</v>
      </c>
      <c r="AC521">
        <v>0</v>
      </c>
      <c r="AD521">
        <v>0</v>
      </c>
      <c r="AE521">
        <v>1299</v>
      </c>
      <c r="AF521">
        <v>0</v>
      </c>
      <c r="AG521">
        <v>0</v>
      </c>
      <c r="AH521">
        <v>0</v>
      </c>
      <c r="AI521">
        <v>0</v>
      </c>
      <c r="AJ521">
        <v>0</v>
      </c>
      <c r="AK521">
        <v>0</v>
      </c>
      <c r="AL521">
        <v>0</v>
      </c>
      <c r="AM521">
        <v>0</v>
      </c>
      <c r="AN521">
        <v>0</v>
      </c>
      <c r="AO521">
        <v>0</v>
      </c>
      <c r="AP521">
        <v>0.857</v>
      </c>
      <c r="AQ521">
        <v>0.048</v>
      </c>
      <c r="AR521">
        <v>0.036</v>
      </c>
      <c r="AS521" s="3">
        <v>46107.771319444444</v>
      </c>
    </row>
    <row r="522" ht="25.5" customHeight="1">
      <c r="A522" t="inlineStr">
        <is>
          <t>5c7b34980000000017035954</t>
        </is>
      </c>
      <c r="B522" s="2" t="str">
        <f>=HYPERLINK("https://www.xiaohongshu.com/user/profile/5c7b34980000000017035954", "https://www.xiaohongshu.com/user/profile/5c7b34980000000017035954")</f>
        <v>https://www.xiaohongshu.com/user/profile/5c7b34980000000017035954</v>
      </c>
      <c r="C522" s="2" t="str">
        <f>=HYPERLINK("https://pgy.xiaohongshu.com/solar/pre-trade/blogger-detail/5c7b34980000000017035954", "https://pgy.xiaohongshu.com/solar/pre-trade/blogger-detail/5c7b34980000000017035954")</f>
        <v>https://pgy.xiaohongshu.com/solar/pre-trade/blogger-detail/5c7b34980000000017035954</v>
      </c>
      <c r="D522" t="inlineStr">
        <is>
          <t>女</t>
        </is>
      </c>
      <c r="E522" t="inlineStr">
        <is>
          <t>551944927</t>
        </is>
      </c>
      <c r="F522" t="inlineStr">
        <is>
          <t>懒羊羊大王（背单词版）</t>
        </is>
      </c>
      <c r="G522" t="inlineStr">
        <is>
          <t>北京</t>
        </is>
      </c>
      <c r="H522"/>
      <c r="I522" t="inlineStr">
        <is>
          <t>教育</t>
        </is>
      </c>
      <c r="J522">
        <v>31672</v>
      </c>
      <c r="K522" t="inlineStr">
        <is>
          <t>3.2</t>
        </is>
      </c>
      <c r="L522">
        <v>50128</v>
      </c>
      <c r="M522">
        <v>6606</v>
      </c>
      <c r="N522">
        <v>233</v>
      </c>
      <c r="O522">
        <v>1500</v>
      </c>
      <c r="P522">
        <v>0.037</v>
      </c>
      <c r="Q522">
        <v>0.704</v>
      </c>
      <c r="R522">
        <v>56171</v>
      </c>
      <c r="S522">
        <v>7142</v>
      </c>
      <c r="T522">
        <v>243</v>
      </c>
      <c r="U522">
        <v>0.51</v>
      </c>
      <c r="V522">
        <v>1500</v>
      </c>
      <c r="W522">
        <v>0.692</v>
      </c>
      <c r="X522">
        <v>0.038</v>
      </c>
      <c r="Y522">
        <v>26.7</v>
      </c>
      <c r="Z522">
        <v>5.71</v>
      </c>
      <c r="AA522">
        <v>5597</v>
      </c>
      <c r="AB522">
        <v>920</v>
      </c>
      <c r="AC522">
        <v>128</v>
      </c>
      <c r="AD522">
        <v>0</v>
      </c>
      <c r="AE522">
        <v>0</v>
      </c>
      <c r="AF522">
        <v>1</v>
      </c>
      <c r="AG522">
        <v>0</v>
      </c>
      <c r="AH522">
        <v>0.155</v>
      </c>
      <c r="AI522">
        <v>0</v>
      </c>
      <c r="AJ522">
        <v>0</v>
      </c>
      <c r="AK522">
        <v>0</v>
      </c>
      <c r="AL522">
        <v>0</v>
      </c>
      <c r="AM522">
        <v>0</v>
      </c>
      <c r="AN522">
        <v>0</v>
      </c>
      <c r="AO522">
        <v>0</v>
      </c>
      <c r="AP522">
        <v>0.953</v>
      </c>
      <c r="AQ522">
        <v>0.054</v>
      </c>
      <c r="AR522">
        <v>0.067</v>
      </c>
      <c r="AS522" s="3">
        <v>46107.771319444444</v>
      </c>
    </row>
    <row r="523" ht="25.5" customHeight="1">
      <c r="A523" t="inlineStr">
        <is>
          <t>5906fa4882ec395bc4fd6048</t>
        </is>
      </c>
      <c r="B523" s="2" t="str">
        <f>=HYPERLINK("https://www.xiaohongshu.com/user/profile/5906fa4882ec395bc4fd6048", "https://www.xiaohongshu.com/user/profile/5906fa4882ec395bc4fd6048")</f>
        <v>https://www.xiaohongshu.com/user/profile/5906fa4882ec395bc4fd6048</v>
      </c>
      <c r="C523" s="2" t="str">
        <f>=HYPERLINK("https://pgy.xiaohongshu.com/solar/pre-trade/blogger-detail/5906fa4882ec395bc4fd6048", "https://pgy.xiaohongshu.com/solar/pre-trade/blogger-detail/5906fa4882ec395bc4fd6048")</f>
        <v>https://pgy.xiaohongshu.com/solar/pre-trade/blogger-detail/5906fa4882ec395bc4fd6048</v>
      </c>
      <c r="D523" t="inlineStr">
        <is>
          <t>女</t>
        </is>
      </c>
      <c r="E523" t="inlineStr">
        <is>
          <t>941777218</t>
        </is>
      </c>
      <c r="F523" t="inlineStr">
        <is>
          <t>vinvi</t>
        </is>
      </c>
      <c r="G523" t="inlineStr">
        <is>
          <t>重庆</t>
        </is>
      </c>
      <c r="H523" t="inlineStr">
        <is>
          <t>考研过来人, 学生</t>
        </is>
      </c>
      <c r="I523" t="inlineStr">
        <is>
          <t>教育</t>
        </is>
      </c>
      <c r="J523">
        <v>1103</v>
      </c>
      <c r="K523" t="inlineStr">
        <is>
          <t>0.1</t>
        </is>
      </c>
      <c r="L523">
        <v>5267</v>
      </c>
      <c r="M523">
        <v>1410</v>
      </c>
      <c r="N523">
        <v>170</v>
      </c>
      <c r="O523">
        <v>232</v>
      </c>
      <c r="P523">
        <v>0</v>
      </c>
      <c r="Q523">
        <v>0.332999999999999</v>
      </c>
      <c r="R523">
        <v>0</v>
      </c>
      <c r="S523">
        <v>0</v>
      </c>
      <c r="T523">
        <v>0</v>
      </c>
      <c r="U523">
        <v>0.34</v>
      </c>
      <c r="V523">
        <v>232</v>
      </c>
      <c r="W523">
        <v>0</v>
      </c>
      <c r="X523">
        <v>0</v>
      </c>
      <c r="Y523">
        <v>8.85</v>
      </c>
      <c r="Z523">
        <v>0.17</v>
      </c>
      <c r="AA523">
        <v>5267</v>
      </c>
      <c r="AB523">
        <v>1410</v>
      </c>
      <c r="AC523">
        <v>152</v>
      </c>
      <c r="AD523">
        <v>1.78</v>
      </c>
      <c r="AE523">
        <v>400</v>
      </c>
      <c r="AF523">
        <v>0.332999999999999</v>
      </c>
      <c r="AG523">
        <v>0</v>
      </c>
      <c r="AH523">
        <v>0.059</v>
      </c>
      <c r="AI523">
        <v>75.94</v>
      </c>
      <c r="AJ523">
        <v>2.35</v>
      </c>
      <c r="AK523">
        <v>26221</v>
      </c>
      <c r="AL523">
        <v>5702</v>
      </c>
      <c r="AM523">
        <v>1370</v>
      </c>
      <c r="AN523">
        <v>0</v>
      </c>
      <c r="AO523">
        <v>0</v>
      </c>
      <c r="AP523">
        <v>0.904</v>
      </c>
      <c r="AQ523">
        <v>0.135</v>
      </c>
      <c r="AR523">
        <v>0</v>
      </c>
      <c r="AS523" s="3">
        <v>46107.771319444444</v>
      </c>
    </row>
    <row r="524" ht="25.5" customHeight="1">
      <c r="A524" t="inlineStr">
        <is>
          <t>602a3e72000000000100634e</t>
        </is>
      </c>
      <c r="B524" s="2" t="str">
        <f>=HYPERLINK("https://www.xiaohongshu.com/user/profile/602a3e72000000000100634e", "https://www.xiaohongshu.com/user/profile/602a3e72000000000100634e")</f>
        <v>https://www.xiaohongshu.com/user/profile/602a3e72000000000100634e</v>
      </c>
      <c r="C524" s="2" t="str">
        <f>=HYPERLINK("https://pgy.xiaohongshu.com/solar/pre-trade/blogger-detail/602a3e72000000000100634e", "https://pgy.xiaohongshu.com/solar/pre-trade/blogger-detail/602a3e72000000000100634e")</f>
        <v>https://pgy.xiaohongshu.com/solar/pre-trade/blogger-detail/602a3e72000000000100634e</v>
      </c>
      <c r="D524" t="inlineStr">
        <is>
          <t>女</t>
        </is>
      </c>
      <c r="E524" t="inlineStr">
        <is>
          <t>1119422912</t>
        </is>
      </c>
      <c r="F524" t="inlineStr">
        <is>
          <t>中堂美琴</t>
        </is>
      </c>
      <c r="G524" t="inlineStr">
        <is>
          <t>北京</t>
        </is>
      </c>
      <c r="H524"/>
      <c r="I524" t="inlineStr">
        <is>
          <t>教育</t>
        </is>
      </c>
      <c r="J524">
        <v>2083</v>
      </c>
      <c r="K524" t="inlineStr">
        <is>
          <t>0.2</t>
        </is>
      </c>
      <c r="L524">
        <v>37052</v>
      </c>
      <c r="M524">
        <v>5879</v>
      </c>
      <c r="N524">
        <v>1776</v>
      </c>
      <c r="O524">
        <v>300</v>
      </c>
      <c r="P524">
        <v>0.444</v>
      </c>
      <c r="Q524">
        <v>0.889</v>
      </c>
      <c r="R524">
        <v>29335</v>
      </c>
      <c r="S524">
        <v>5040</v>
      </c>
      <c r="T524">
        <v>1269</v>
      </c>
      <c r="U524">
        <v>0.36</v>
      </c>
      <c r="V524">
        <v>300</v>
      </c>
      <c r="W524">
        <v>0.833</v>
      </c>
      <c r="X524">
        <v>0.332999999999999</v>
      </c>
      <c r="Y524">
        <v>10.23</v>
      </c>
      <c r="Z524">
        <v>0.21</v>
      </c>
      <c r="AA524">
        <v>88193</v>
      </c>
      <c r="AB524">
        <v>12080</v>
      </c>
      <c r="AC524">
        <v>2837</v>
      </c>
      <c r="AD524">
        <v>1.55</v>
      </c>
      <c r="AE524">
        <v>600</v>
      </c>
      <c r="AF524">
        <v>1</v>
      </c>
      <c r="AG524">
        <v>0.667</v>
      </c>
      <c r="AH524">
        <v>0.00699999999999999</v>
      </c>
      <c r="AI524">
        <v>6.8</v>
      </c>
      <c r="AJ524">
        <v>0.19</v>
      </c>
      <c r="AK524">
        <v>0</v>
      </c>
      <c r="AL524">
        <v>0</v>
      </c>
      <c r="AM524">
        <v>0</v>
      </c>
      <c r="AN524">
        <v>0</v>
      </c>
      <c r="AO524">
        <v>0</v>
      </c>
      <c r="AP524">
        <v>1</v>
      </c>
      <c r="AQ524">
        <v>0.665999999999999</v>
      </c>
      <c r="AR524">
        <v>0</v>
      </c>
      <c r="AS524" s="3">
        <v>46107.771319444444</v>
      </c>
    </row>
    <row r="525" ht="25.5" customHeight="1">
      <c r="A525" t="inlineStr">
        <is>
          <t>62fa5897000000000f004bde</t>
        </is>
      </c>
      <c r="B525" s="2" t="str">
        <f>=HYPERLINK("https://www.xiaohongshu.com/user/profile/62fa5897000000000f004bde", "https://www.xiaohongshu.com/user/profile/62fa5897000000000f004bde")</f>
        <v>https://www.xiaohongshu.com/user/profile/62fa5897000000000f004bde</v>
      </c>
      <c r="C525" s="2" t="str">
        <f>=HYPERLINK("https://pgy.xiaohongshu.com/solar/pre-trade/blogger-detail/62fa5897000000000f004bde", "https://pgy.xiaohongshu.com/solar/pre-trade/blogger-detail/62fa5897000000000f004bde")</f>
        <v>https://pgy.xiaohongshu.com/solar/pre-trade/blogger-detail/62fa5897000000000f004bde</v>
      </c>
      <c r="D525" t="inlineStr">
        <is>
          <t>女</t>
        </is>
      </c>
      <c r="E525" t="inlineStr">
        <is>
          <t>2934890873</t>
        </is>
      </c>
      <c r="F525" t="inlineStr">
        <is>
          <t>贝拉最爱吃</t>
        </is>
      </c>
      <c r="G525" t="inlineStr">
        <is>
          <t>广东 深圳 南山区</t>
        </is>
      </c>
      <c r="H525"/>
      <c r="I525" t="inlineStr">
        <is>
          <t>教育</t>
        </is>
      </c>
      <c r="J525">
        <v>20512</v>
      </c>
      <c r="K525" t="inlineStr">
        <is>
          <t>2.1</t>
        </is>
      </c>
      <c r="L525">
        <v>7367</v>
      </c>
      <c r="M525">
        <v>1715</v>
      </c>
      <c r="N525">
        <v>102</v>
      </c>
      <c r="O525">
        <v>4500</v>
      </c>
      <c r="P525">
        <v>0</v>
      </c>
      <c r="Q525">
        <v>0.332999999999999</v>
      </c>
      <c r="R525">
        <v>0</v>
      </c>
      <c r="S525">
        <v>0</v>
      </c>
      <c r="T525">
        <v>0</v>
      </c>
      <c r="U525">
        <v>0</v>
      </c>
      <c r="V525">
        <v>1000</v>
      </c>
      <c r="W525">
        <v>0</v>
      </c>
      <c r="X525">
        <v>0</v>
      </c>
      <c r="Y525">
        <v>0</v>
      </c>
      <c r="Z525">
        <v>0</v>
      </c>
      <c r="AA525">
        <v>7367</v>
      </c>
      <c r="AB525">
        <v>1715</v>
      </c>
      <c r="AC525">
        <v>101</v>
      </c>
      <c r="AD525">
        <v>4.12</v>
      </c>
      <c r="AE525">
        <v>4500</v>
      </c>
      <c r="AF525">
        <v>0.332999999999999</v>
      </c>
      <c r="AG525">
        <v>0</v>
      </c>
      <c r="AH525">
        <v>0.168</v>
      </c>
      <c r="AI525">
        <v>610.83</v>
      </c>
      <c r="AJ525">
        <v>44.12</v>
      </c>
      <c r="AK525">
        <v>0</v>
      </c>
      <c r="AL525">
        <v>0</v>
      </c>
      <c r="AM525">
        <v>0</v>
      </c>
      <c r="AN525">
        <v>0</v>
      </c>
      <c r="AO525">
        <v>0</v>
      </c>
      <c r="AP525">
        <v>0.899</v>
      </c>
      <c r="AQ525">
        <v>0.022</v>
      </c>
      <c r="AR525">
        <v>0.003</v>
      </c>
      <c r="AS525" s="3">
        <v>46107.771319444444</v>
      </c>
    </row>
    <row r="526" ht="25.5" customHeight="1">
      <c r="A526" t="inlineStr">
        <is>
          <t>64eb5f570000000001011035</t>
        </is>
      </c>
      <c r="B526" s="2" t="str">
        <f>=HYPERLINK("https://www.xiaohongshu.com/user/profile/64eb5f570000000001011035", "https://www.xiaohongshu.com/user/profile/64eb5f570000000001011035")</f>
        <v>https://www.xiaohongshu.com/user/profile/64eb5f570000000001011035</v>
      </c>
      <c r="C526" s="2" t="str">
        <f>=HYPERLINK("https://pgy.xiaohongshu.com/solar/pre-trade/blogger-detail/64eb5f570000000001011035", "https://pgy.xiaohongshu.com/solar/pre-trade/blogger-detail/64eb5f570000000001011035")</f>
        <v>https://pgy.xiaohongshu.com/solar/pre-trade/blogger-detail/64eb5f570000000001011035</v>
      </c>
      <c r="D526" t="inlineStr">
        <is>
          <t>女</t>
        </is>
      </c>
      <c r="E526" t="inlineStr">
        <is>
          <t>8623463129</t>
        </is>
      </c>
      <c r="F526" t="inlineStr">
        <is>
          <t>如履薄冰ice</t>
        </is>
      </c>
      <c r="G526" t="inlineStr">
        <is>
          <t>甘肃 兰州 榆中县</t>
        </is>
      </c>
      <c r="H526" t="inlineStr">
        <is>
          <t>考研过来人</t>
        </is>
      </c>
      <c r="I526" t="inlineStr">
        <is>
          <t>教育</t>
        </is>
      </c>
      <c r="J526">
        <v>3850</v>
      </c>
      <c r="K526" t="inlineStr">
        <is>
          <t>0.4</t>
        </is>
      </c>
      <c r="L526">
        <v>8363</v>
      </c>
      <c r="M526">
        <v>1122</v>
      </c>
      <c r="N526">
        <v>138</v>
      </c>
      <c r="O526">
        <v>600</v>
      </c>
      <c r="P526">
        <v>0.077</v>
      </c>
      <c r="Q526">
        <v>0.462</v>
      </c>
      <c r="R526">
        <v>8843</v>
      </c>
      <c r="S526">
        <v>1361</v>
      </c>
      <c r="T526">
        <v>134</v>
      </c>
      <c r="U526">
        <v>0.74</v>
      </c>
      <c r="V526">
        <v>600</v>
      </c>
      <c r="W526">
        <v>0.478</v>
      </c>
      <c r="X526">
        <v>0.087</v>
      </c>
      <c r="Y526">
        <v>84.73</v>
      </c>
      <c r="Z526">
        <v>4.35</v>
      </c>
      <c r="AA526">
        <v>3625</v>
      </c>
      <c r="AB526">
        <v>884</v>
      </c>
      <c r="AC526">
        <v>68</v>
      </c>
      <c r="AD526">
        <v>2.29</v>
      </c>
      <c r="AE526">
        <v>700</v>
      </c>
      <c r="AF526">
        <v>0.332999999999999</v>
      </c>
      <c r="AG526">
        <v>0</v>
      </c>
      <c r="AH526">
        <v>0.011</v>
      </c>
      <c r="AI526">
        <v>245.18</v>
      </c>
      <c r="AJ526">
        <v>9.09</v>
      </c>
      <c r="AK526">
        <v>7506</v>
      </c>
      <c r="AL526">
        <v>1362</v>
      </c>
      <c r="AM526">
        <v>97</v>
      </c>
      <c r="AN526">
        <v>0</v>
      </c>
      <c r="AO526">
        <v>0</v>
      </c>
      <c r="AP526">
        <v>0.915</v>
      </c>
      <c r="AQ526">
        <v>0.143</v>
      </c>
      <c r="AR526">
        <v>0.037</v>
      </c>
      <c r="AS526" s="3">
        <v>46107.771319444444</v>
      </c>
    </row>
    <row r="527" ht="25.5" customHeight="1">
      <c r="A527" t="inlineStr">
        <is>
          <t>63f546c8000000000f010bb3</t>
        </is>
      </c>
      <c r="B527" s="2" t="str">
        <f>=HYPERLINK("https://www.xiaohongshu.com/user/profile/63f546c8000000000f010bb3", "https://www.xiaohongshu.com/user/profile/63f546c8000000000f010bb3")</f>
        <v>https://www.xiaohongshu.com/user/profile/63f546c8000000000f010bb3</v>
      </c>
      <c r="C527" s="2" t="str">
        <f>=HYPERLINK("https://pgy.xiaohongshu.com/solar/pre-trade/blogger-detail/63f546c8000000000f010bb3", "https://pgy.xiaohongshu.com/solar/pre-trade/blogger-detail/63f546c8000000000f010bb3")</f>
        <v>https://pgy.xiaohongshu.com/solar/pre-trade/blogger-detail/63f546c8000000000f010bb3</v>
      </c>
      <c r="D527" t="inlineStr">
        <is>
          <t>女</t>
        </is>
      </c>
      <c r="E527" t="inlineStr">
        <is>
          <t>Emiliem</t>
        </is>
      </c>
      <c r="F527" t="inlineStr">
        <is>
          <t>艾米粒粒</t>
        </is>
      </c>
      <c r="G527" t="inlineStr">
        <is>
          <t>美国</t>
        </is>
      </c>
      <c r="H527" t="inlineStr">
        <is>
          <t>留学背景, 海外华人, 学生</t>
        </is>
      </c>
      <c r="I527" t="inlineStr">
        <is>
          <t>教育</t>
        </is>
      </c>
      <c r="J527">
        <v>22698</v>
      </c>
      <c r="K527" t="inlineStr">
        <is>
          <t>2.3</t>
        </is>
      </c>
      <c r="L527">
        <v>53816</v>
      </c>
      <c r="M527">
        <v>7168</v>
      </c>
      <c r="N527">
        <v>894</v>
      </c>
      <c r="O527">
        <v>2600</v>
      </c>
      <c r="P527">
        <v>0.4</v>
      </c>
      <c r="Q527">
        <v>1</v>
      </c>
      <c r="R527">
        <v>0</v>
      </c>
      <c r="S527">
        <v>0</v>
      </c>
      <c r="T527">
        <v>0</v>
      </c>
      <c r="U527">
        <v>0</v>
      </c>
      <c r="V527">
        <v>2600</v>
      </c>
      <c r="W527">
        <v>0</v>
      </c>
      <c r="X527">
        <v>0</v>
      </c>
      <c r="Y527">
        <v>0</v>
      </c>
      <c r="Z527">
        <v>0</v>
      </c>
      <c r="AA527">
        <v>53816</v>
      </c>
      <c r="AB527">
        <v>7168</v>
      </c>
      <c r="AC527">
        <v>672</v>
      </c>
      <c r="AD527">
        <v>1.96</v>
      </c>
      <c r="AE527">
        <v>4900</v>
      </c>
      <c r="AF527">
        <v>1</v>
      </c>
      <c r="AG527">
        <v>0.4</v>
      </c>
      <c r="AH527">
        <v>0.171</v>
      </c>
      <c r="AI527">
        <v>75.74</v>
      </c>
      <c r="AJ527">
        <v>3.33</v>
      </c>
      <c r="AK527">
        <v>99396</v>
      </c>
      <c r="AL527">
        <v>31171</v>
      </c>
      <c r="AM527">
        <v>2265</v>
      </c>
      <c r="AN527">
        <v>0</v>
      </c>
      <c r="AO527">
        <v>1.77</v>
      </c>
      <c r="AP527">
        <v>0.930999999999999</v>
      </c>
      <c r="AQ527">
        <v>0.129</v>
      </c>
      <c r="AR527">
        <v>0.241</v>
      </c>
      <c r="AS527" s="3">
        <v>46107.771319444444</v>
      </c>
    </row>
    <row r="528" ht="25.5" customHeight="1">
      <c r="A528" t="inlineStr">
        <is>
          <t>61171ec3000000002002a5c1</t>
        </is>
      </c>
      <c r="B528" s="2" t="str">
        <f>=HYPERLINK("https://www.xiaohongshu.com/user/profile/61171ec3000000002002a5c1", "https://www.xiaohongshu.com/user/profile/61171ec3000000002002a5c1")</f>
        <v>https://www.xiaohongshu.com/user/profile/61171ec3000000002002a5c1</v>
      </c>
      <c r="C528" s="2" t="str">
        <f>=HYPERLINK("https://pgy.xiaohongshu.com/solar/pre-trade/blogger-detail/61171ec3000000002002a5c1", "https://pgy.xiaohongshu.com/solar/pre-trade/blogger-detail/61171ec3000000002002a5c1")</f>
        <v>https://pgy.xiaohongshu.com/solar/pre-trade/blogger-detail/61171ec3000000002002a5c1</v>
      </c>
      <c r="D528" t="inlineStr">
        <is>
          <t>女</t>
        </is>
      </c>
      <c r="E528" t="inlineStr">
        <is>
          <t>9430342892</t>
        </is>
      </c>
      <c r="F528" t="inlineStr">
        <is>
          <t>Snow翻译日记</t>
        </is>
      </c>
      <c r="G528" t="inlineStr">
        <is>
          <t>北京</t>
        </is>
      </c>
      <c r="H528" t="inlineStr">
        <is>
          <t>翻译</t>
        </is>
      </c>
      <c r="I528" t="inlineStr">
        <is>
          <t>教育</t>
        </is>
      </c>
      <c r="J528">
        <v>14729</v>
      </c>
      <c r="K528" t="inlineStr">
        <is>
          <t>1.5</t>
        </is>
      </c>
      <c r="L528">
        <v>5738</v>
      </c>
      <c r="M528">
        <v>1062</v>
      </c>
      <c r="N528">
        <v>111</v>
      </c>
      <c r="O528">
        <v>260</v>
      </c>
      <c r="P528">
        <v>0</v>
      </c>
      <c r="Q528">
        <v>0.417</v>
      </c>
      <c r="R528">
        <v>4163</v>
      </c>
      <c r="S528">
        <v>413</v>
      </c>
      <c r="T528">
        <v>61</v>
      </c>
      <c r="U528">
        <v>0.93</v>
      </c>
      <c r="V528">
        <v>260</v>
      </c>
      <c r="W528">
        <v>0.154</v>
      </c>
      <c r="X528">
        <v>0</v>
      </c>
      <c r="Y528">
        <v>62.45</v>
      </c>
      <c r="Z528">
        <v>3.61</v>
      </c>
      <c r="AA528">
        <v>6367</v>
      </c>
      <c r="AB528">
        <v>2252</v>
      </c>
      <c r="AC528">
        <v>211</v>
      </c>
      <c r="AD528">
        <v>1.9</v>
      </c>
      <c r="AE528">
        <v>800</v>
      </c>
      <c r="AF528">
        <v>0.727</v>
      </c>
      <c r="AG528">
        <v>0</v>
      </c>
      <c r="AH528">
        <v>0.088</v>
      </c>
      <c r="AI528">
        <v>120.89</v>
      </c>
      <c r="AJ528">
        <v>3.16</v>
      </c>
      <c r="AK528">
        <v>8745</v>
      </c>
      <c r="AL528">
        <v>1314</v>
      </c>
      <c r="AM528">
        <v>192</v>
      </c>
      <c r="AN528">
        <v>0</v>
      </c>
      <c r="AO528">
        <v>0</v>
      </c>
      <c r="AP528">
        <v>0.84</v>
      </c>
      <c r="AQ528">
        <v>0.0579999999999999</v>
      </c>
      <c r="AR528">
        <v>0.051</v>
      </c>
      <c r="AS528" s="3">
        <v>46107.771319444444</v>
      </c>
    </row>
    <row r="529" ht="25.5" customHeight="1">
      <c r="A529" t="inlineStr">
        <is>
          <t>66270dab00000000030303ba</t>
        </is>
      </c>
      <c r="B529" s="2" t="str">
        <f>=HYPERLINK("https://www.xiaohongshu.com/user/profile/66270dab00000000030303ba", "https://www.xiaohongshu.com/user/profile/66270dab00000000030303ba")</f>
        <v>https://www.xiaohongshu.com/user/profile/66270dab00000000030303ba</v>
      </c>
      <c r="C529" s="2" t="str">
        <f>=HYPERLINK("https://pgy.xiaohongshu.com/solar/pre-trade/blogger-detail/66270dab00000000030303ba", "https://pgy.xiaohongshu.com/solar/pre-trade/blogger-detail/66270dab00000000030303ba")</f>
        <v>https://pgy.xiaohongshu.com/solar/pre-trade/blogger-detail/66270dab00000000030303ba</v>
      </c>
      <c r="D529" t="inlineStr">
        <is>
          <t>女</t>
        </is>
      </c>
      <c r="E529" t="inlineStr">
        <is>
          <t>11627544588</t>
        </is>
      </c>
      <c r="F529" t="inlineStr">
        <is>
          <t>我使劲学（想看世界版）</t>
        </is>
      </c>
      <c r="G529" t="inlineStr">
        <is>
          <t>陕西 西安 灞桥区</t>
        </is>
      </c>
      <c r="H529" t="inlineStr">
        <is>
          <t>独居人群</t>
        </is>
      </c>
      <c r="I529" t="inlineStr">
        <is>
          <t>教育</t>
        </is>
      </c>
      <c r="J529">
        <v>12810</v>
      </c>
      <c r="K529" t="inlineStr">
        <is>
          <t>1.3</t>
        </is>
      </c>
      <c r="L529">
        <v>4546</v>
      </c>
      <c r="M529">
        <v>1384</v>
      </c>
      <c r="N529">
        <v>140</v>
      </c>
      <c r="O529">
        <v>2000</v>
      </c>
      <c r="P529">
        <v>0</v>
      </c>
      <c r="Q529">
        <v>0.332999999999999</v>
      </c>
      <c r="R529">
        <v>0</v>
      </c>
      <c r="S529">
        <v>0</v>
      </c>
      <c r="T529">
        <v>0</v>
      </c>
      <c r="U529">
        <v>0</v>
      </c>
      <c r="V529">
        <v>3000</v>
      </c>
      <c r="W529">
        <v>0</v>
      </c>
      <c r="X529">
        <v>0</v>
      </c>
      <c r="Y529">
        <v>0</v>
      </c>
      <c r="Z529">
        <v>0</v>
      </c>
      <c r="AA529">
        <v>4546</v>
      </c>
      <c r="AB529">
        <v>1384</v>
      </c>
      <c r="AC529">
        <v>134</v>
      </c>
      <c r="AD529">
        <v>2.95</v>
      </c>
      <c r="AE529">
        <v>2000</v>
      </c>
      <c r="AF529">
        <v>0.332999999999999</v>
      </c>
      <c r="AG529">
        <v>0</v>
      </c>
      <c r="AH529">
        <v>0.109</v>
      </c>
      <c r="AI529">
        <v>439.95</v>
      </c>
      <c r="AJ529">
        <v>14.29</v>
      </c>
      <c r="AK529">
        <v>0</v>
      </c>
      <c r="AL529">
        <v>0</v>
      </c>
      <c r="AM529">
        <v>0</v>
      </c>
      <c r="AN529">
        <v>0</v>
      </c>
      <c r="AO529">
        <v>0</v>
      </c>
      <c r="AP529">
        <v>0.937</v>
      </c>
      <c r="AQ529">
        <v>0.057</v>
      </c>
      <c r="AR529">
        <v>0.039</v>
      </c>
      <c r="AS529" s="3">
        <v>46107.771319444444</v>
      </c>
    </row>
    <row r="530" ht="25.5" customHeight="1">
      <c r="A530" t="inlineStr">
        <is>
          <t>63033700000000000f00534c</t>
        </is>
      </c>
      <c r="B530" s="2" t="str">
        <f>=HYPERLINK("https://www.xiaohongshu.com/user/profile/63033700000000000f00534c", "https://www.xiaohongshu.com/user/profile/63033700000000000f00534c")</f>
        <v>https://www.xiaohongshu.com/user/profile/63033700000000000f00534c</v>
      </c>
      <c r="C530" s="2" t="str">
        <f>=HYPERLINK("https://pgy.xiaohongshu.com/solar/pre-trade/blogger-detail/63033700000000000f00534c", "https://pgy.xiaohongshu.com/solar/pre-trade/blogger-detail/63033700000000000f00534c")</f>
        <v>https://pgy.xiaohongshu.com/solar/pre-trade/blogger-detail/63033700000000000f00534c</v>
      </c>
      <c r="D530" t="inlineStr">
        <is>
          <t>女</t>
        </is>
      </c>
      <c r="E530" t="inlineStr">
        <is>
          <t>3849041029</t>
        </is>
      </c>
      <c r="F530" t="inlineStr">
        <is>
          <t>你怎么知道我考研上岸了</t>
        </is>
      </c>
      <c r="G530" t="inlineStr">
        <is>
          <t>山东 济南 长清区</t>
        </is>
      </c>
      <c r="H530"/>
      <c r="I530" t="inlineStr">
        <is>
          <t>教育</t>
        </is>
      </c>
      <c r="J530">
        <v>6185</v>
      </c>
      <c r="K530" t="inlineStr">
        <is>
          <t>0.6</t>
        </is>
      </c>
      <c r="L530">
        <v>6699</v>
      </c>
      <c r="M530">
        <v>1027</v>
      </c>
      <c r="N530">
        <v>156</v>
      </c>
      <c r="O530">
        <v>360</v>
      </c>
      <c r="P530">
        <v>0.091</v>
      </c>
      <c r="Q530">
        <v>0.364</v>
      </c>
      <c r="R530">
        <v>6699</v>
      </c>
      <c r="S530">
        <v>1027</v>
      </c>
      <c r="T530">
        <v>126</v>
      </c>
      <c r="U530">
        <v>0.64</v>
      </c>
      <c r="V530">
        <v>360</v>
      </c>
      <c r="W530">
        <v>0.364</v>
      </c>
      <c r="X530">
        <v>0.091</v>
      </c>
      <c r="Y530">
        <v>58.52</v>
      </c>
      <c r="Z530">
        <v>2.47</v>
      </c>
      <c r="AA530">
        <v>0</v>
      </c>
      <c r="AB530">
        <v>0</v>
      </c>
      <c r="AC530">
        <v>0</v>
      </c>
      <c r="AD530">
        <v>0</v>
      </c>
      <c r="AE530">
        <v>450</v>
      </c>
      <c r="AF530">
        <v>0</v>
      </c>
      <c r="AG530">
        <v>0</v>
      </c>
      <c r="AH530">
        <v>0</v>
      </c>
      <c r="AI530">
        <v>0</v>
      </c>
      <c r="AJ530">
        <v>0</v>
      </c>
      <c r="AK530">
        <v>8307</v>
      </c>
      <c r="AL530">
        <v>1112</v>
      </c>
      <c r="AM530">
        <v>50</v>
      </c>
      <c r="AN530">
        <v>0</v>
      </c>
      <c r="AO530">
        <v>0</v>
      </c>
      <c r="AP530">
        <v>0.910999999999999</v>
      </c>
      <c r="AQ530">
        <v>0.105</v>
      </c>
      <c r="AR530">
        <v>0.043</v>
      </c>
      <c r="AS530" s="3">
        <v>46107.771319444444</v>
      </c>
    </row>
    <row r="531" ht="25.5" customHeight="1">
      <c r="A531" t="inlineStr">
        <is>
          <t>5a6db76ce8ac2b4903c0056c</t>
        </is>
      </c>
      <c r="B531" s="2" t="str">
        <f>=HYPERLINK("https://www.xiaohongshu.com/user/profile/5a6db76ce8ac2b4903c0056c", "https://www.xiaohongshu.com/user/profile/5a6db76ce8ac2b4903c0056c")</f>
        <v>https://www.xiaohongshu.com/user/profile/5a6db76ce8ac2b4903c0056c</v>
      </c>
      <c r="C531" s="2" t="str">
        <f>=HYPERLINK("https://pgy.xiaohongshu.com/solar/pre-trade/blogger-detail/5a6db76ce8ac2b4903c0056c", "https://pgy.xiaohongshu.com/solar/pre-trade/blogger-detail/5a6db76ce8ac2b4903c0056c")</f>
        <v>https://pgy.xiaohongshu.com/solar/pre-trade/blogger-detail/5a6db76ce8ac2b4903c0056c</v>
      </c>
      <c r="D531" t="inlineStr">
        <is>
          <t>女</t>
        </is>
      </c>
      <c r="E531" t="inlineStr">
        <is>
          <t>Script_Axin0409</t>
        </is>
      </c>
      <c r="F531" t="inlineStr">
        <is>
          <t>🦋文献库</t>
        </is>
      </c>
      <c r="G531" t="inlineStr">
        <is>
          <t>湖南 长沙 天心区</t>
        </is>
      </c>
      <c r="H531" t="inlineStr">
        <is>
          <t>二次元人群, 留学背景</t>
        </is>
      </c>
      <c r="I531" t="inlineStr">
        <is>
          <t>兴趣爱好, 教育</t>
        </is>
      </c>
      <c r="J531">
        <v>6789</v>
      </c>
      <c r="K531" t="inlineStr">
        <is>
          <t>0.7</t>
        </is>
      </c>
      <c r="L531">
        <v>7650</v>
      </c>
      <c r="M531">
        <v>1079</v>
      </c>
      <c r="N531">
        <v>170</v>
      </c>
      <c r="O531">
        <v>219</v>
      </c>
      <c r="P531">
        <v>0.267</v>
      </c>
      <c r="Q531">
        <v>0.532999999999999</v>
      </c>
      <c r="R531">
        <v>10148</v>
      </c>
      <c r="S531">
        <v>1419</v>
      </c>
      <c r="T531">
        <v>208</v>
      </c>
      <c r="U531">
        <v>0.45</v>
      </c>
      <c r="V531">
        <v>219</v>
      </c>
      <c r="W531">
        <v>0.532999999999999</v>
      </c>
      <c r="X531">
        <v>0.267</v>
      </c>
      <c r="Y531">
        <v>21.58</v>
      </c>
      <c r="Z531">
        <v>0.93</v>
      </c>
      <c r="AA531">
        <v>0</v>
      </c>
      <c r="AB531">
        <v>0</v>
      </c>
      <c r="AC531">
        <v>0</v>
      </c>
      <c r="AD531">
        <v>0</v>
      </c>
      <c r="AE531">
        <v>499</v>
      </c>
      <c r="AF531">
        <v>0</v>
      </c>
      <c r="AG531">
        <v>0</v>
      </c>
      <c r="AH531">
        <v>0</v>
      </c>
      <c r="AI531">
        <v>0</v>
      </c>
      <c r="AJ531">
        <v>0</v>
      </c>
      <c r="AK531">
        <v>0</v>
      </c>
      <c r="AL531">
        <v>0</v>
      </c>
      <c r="AM531">
        <v>0</v>
      </c>
      <c r="AN531">
        <v>0</v>
      </c>
      <c r="AO531">
        <v>0</v>
      </c>
      <c r="AP531">
        <v>0.892</v>
      </c>
      <c r="AQ531">
        <v>0.138</v>
      </c>
      <c r="AR531">
        <v>0.035</v>
      </c>
      <c r="AS531" s="3">
        <v>46107.771319444444</v>
      </c>
    </row>
    <row r="532" ht="25.5" customHeight="1">
      <c r="A532" t="inlineStr">
        <is>
          <t>5f9a2d2f0000000001004b0b</t>
        </is>
      </c>
      <c r="B532" s="2" t="str">
        <f>=HYPERLINK("https://www.xiaohongshu.com/user/profile/5f9a2d2f0000000001004b0b", "https://www.xiaohongshu.com/user/profile/5f9a2d2f0000000001004b0b")</f>
        <v>https://www.xiaohongshu.com/user/profile/5f9a2d2f0000000001004b0b</v>
      </c>
      <c r="C532" s="2" t="str">
        <f>=HYPERLINK("https://pgy.xiaohongshu.com/solar/pre-trade/blogger-detail/5f9a2d2f0000000001004b0b", "https://pgy.xiaohongshu.com/solar/pre-trade/blogger-detail/5f9a2d2f0000000001004b0b")</f>
        <v>https://pgy.xiaohongshu.com/solar/pre-trade/blogger-detail/5f9a2d2f0000000001004b0b</v>
      </c>
      <c r="D532" t="inlineStr">
        <is>
          <t>女</t>
        </is>
      </c>
      <c r="E532" t="inlineStr">
        <is>
          <t>1060533079</t>
        </is>
      </c>
      <c r="F532" t="inlineStr">
        <is>
          <t>Shaw</t>
        </is>
      </c>
      <c r="G532" t="inlineStr">
        <is>
          <t>浙江 绍兴 上虞区</t>
        </is>
      </c>
      <c r="H532" t="inlineStr">
        <is>
          <t>6-12岁, 创业者, 妈妈</t>
        </is>
      </c>
      <c r="I532" t="inlineStr">
        <is>
          <t>教育</t>
        </is>
      </c>
      <c r="J532">
        <v>5249</v>
      </c>
      <c r="K532" t="inlineStr">
        <is>
          <t>0.5</t>
        </is>
      </c>
      <c r="L532">
        <v>6455</v>
      </c>
      <c r="M532">
        <v>1471</v>
      </c>
      <c r="N532">
        <v>191</v>
      </c>
      <c r="O532">
        <v>500</v>
      </c>
      <c r="P532">
        <v>0</v>
      </c>
      <c r="Q532">
        <v>0.444</v>
      </c>
      <c r="R532">
        <v>0</v>
      </c>
      <c r="S532">
        <v>0</v>
      </c>
      <c r="T532">
        <v>0</v>
      </c>
      <c r="U532">
        <v>0</v>
      </c>
      <c r="V532">
        <v>500</v>
      </c>
      <c r="W532">
        <v>0</v>
      </c>
      <c r="X532">
        <v>0</v>
      </c>
      <c r="Y532">
        <v>0</v>
      </c>
      <c r="Z532">
        <v>0</v>
      </c>
      <c r="AA532">
        <v>6455</v>
      </c>
      <c r="AB532">
        <v>1471</v>
      </c>
      <c r="AC532">
        <v>121</v>
      </c>
      <c r="AD532">
        <v>2.52</v>
      </c>
      <c r="AE532">
        <v>1500</v>
      </c>
      <c r="AF532">
        <v>0.444</v>
      </c>
      <c r="AG532">
        <v>0</v>
      </c>
      <c r="AH532">
        <v>0.0409999999999999</v>
      </c>
      <c r="AI532">
        <v>232.38</v>
      </c>
      <c r="AJ532">
        <v>7.85</v>
      </c>
      <c r="AK532">
        <v>0</v>
      </c>
      <c r="AL532">
        <v>0</v>
      </c>
      <c r="AM532">
        <v>0</v>
      </c>
      <c r="AN532">
        <v>0</v>
      </c>
      <c r="AO532">
        <v>0</v>
      </c>
      <c r="AP532">
        <v>0.904</v>
      </c>
      <c r="AQ532">
        <v>0.074</v>
      </c>
      <c r="AR532">
        <v>0.125</v>
      </c>
      <c r="AS532" s="3">
        <v>46107.771319444444</v>
      </c>
    </row>
    <row r="533" ht="25.5" customHeight="1">
      <c r="A533" t="inlineStr">
        <is>
          <t>5bd422afd39b5e00016c7cc4</t>
        </is>
      </c>
      <c r="B533" s="2" t="str">
        <f>=HYPERLINK("https://www.xiaohongshu.com/user/profile/5bd422afd39b5e00016c7cc4", "https://www.xiaohongshu.com/user/profile/5bd422afd39b5e00016c7cc4")</f>
        <v>https://www.xiaohongshu.com/user/profile/5bd422afd39b5e00016c7cc4</v>
      </c>
      <c r="C533" s="2" t="str">
        <f>=HYPERLINK("https://pgy.xiaohongshu.com/solar/pre-trade/blogger-detail/5bd422afd39b5e00016c7cc4", "https://pgy.xiaohongshu.com/solar/pre-trade/blogger-detail/5bd422afd39b5e00016c7cc4")</f>
        <v>https://pgy.xiaohongshu.com/solar/pre-trade/blogger-detail/5bd422afd39b5e00016c7cc4</v>
      </c>
      <c r="D533" t="inlineStr">
        <is>
          <t>女</t>
        </is>
      </c>
      <c r="E533" t="inlineStr">
        <is>
          <t>Uknowthatlt</t>
        </is>
      </c>
      <c r="F533" t="inlineStr">
        <is>
          <t>恬恬Lychee</t>
        </is>
      </c>
      <c r="G533" t="inlineStr">
        <is>
          <t>澳大利亚</t>
        </is>
      </c>
      <c r="H533" t="inlineStr">
        <is>
          <t>学生</t>
        </is>
      </c>
      <c r="I533" t="inlineStr">
        <is>
          <t>生活记录</t>
        </is>
      </c>
      <c r="J533">
        <v>63392</v>
      </c>
      <c r="K533" t="inlineStr">
        <is>
          <t>6.3</t>
        </is>
      </c>
      <c r="L533">
        <v>20612</v>
      </c>
      <c r="M533">
        <v>4378</v>
      </c>
      <c r="N533">
        <v>232</v>
      </c>
      <c r="O533">
        <v>6835</v>
      </c>
      <c r="P533">
        <v>0</v>
      </c>
      <c r="Q533">
        <v>0.667</v>
      </c>
      <c r="R533">
        <v>20204</v>
      </c>
      <c r="S533">
        <v>3643</v>
      </c>
      <c r="T533">
        <v>164</v>
      </c>
      <c r="U533">
        <v>1.86</v>
      </c>
      <c r="V533">
        <v>6835</v>
      </c>
      <c r="W533">
        <v>0.5</v>
      </c>
      <c r="X533">
        <v>0</v>
      </c>
      <c r="Y533">
        <v>331.6</v>
      </c>
      <c r="Z533">
        <v>29.46</v>
      </c>
      <c r="AA533">
        <v>47801</v>
      </c>
      <c r="AB533">
        <v>14109</v>
      </c>
      <c r="AC533">
        <v>573</v>
      </c>
      <c r="AD533">
        <v>2.16</v>
      </c>
      <c r="AE533">
        <v>9263</v>
      </c>
      <c r="AF533">
        <v>1</v>
      </c>
      <c r="AG533">
        <v>0</v>
      </c>
      <c r="AH533">
        <v>0.292</v>
      </c>
      <c r="AI533">
        <v>193.78</v>
      </c>
      <c r="AJ533">
        <v>13.66</v>
      </c>
      <c r="AK533">
        <v>208284</v>
      </c>
      <c r="AL533">
        <v>28898</v>
      </c>
      <c r="AM533">
        <v>1709</v>
      </c>
      <c r="AN533">
        <v>0</v>
      </c>
      <c r="AO533">
        <v>0</v>
      </c>
      <c r="AP533">
        <v>0.760999999999999</v>
      </c>
      <c r="AQ533">
        <v>0.02</v>
      </c>
      <c r="AR533">
        <v>0.009</v>
      </c>
      <c r="AS533" s="3">
        <v>46107.771319444444</v>
      </c>
    </row>
    <row r="534" ht="25.5" customHeight="1">
      <c r="A534" t="inlineStr">
        <is>
          <t>618b37f0000000000201957f</t>
        </is>
      </c>
      <c r="B534" s="2" t="str">
        <f>=HYPERLINK("https://www.xiaohongshu.com/user/profile/618b37f0000000000201957f", "https://www.xiaohongshu.com/user/profile/618b37f0000000000201957f")</f>
        <v>https://www.xiaohongshu.com/user/profile/618b37f0000000000201957f</v>
      </c>
      <c r="C534" s="2" t="str">
        <f>=HYPERLINK("https://pgy.xiaohongshu.com/solar/pre-trade/blogger-detail/618b37f0000000000201957f", "https://pgy.xiaohongshu.com/solar/pre-trade/blogger-detail/618b37f0000000000201957f")</f>
        <v>https://pgy.xiaohongshu.com/solar/pre-trade/blogger-detail/618b37f0000000000201957f</v>
      </c>
      <c r="D534" t="inlineStr">
        <is>
          <t>女</t>
        </is>
      </c>
      <c r="E534" t="inlineStr">
        <is>
          <t>2783601423</t>
        </is>
      </c>
      <c r="F534" t="inlineStr">
        <is>
          <t>有毒蘑菇会致幻</t>
        </is>
      </c>
      <c r="G534" t="inlineStr">
        <is>
          <t>上海</t>
        </is>
      </c>
      <c r="H534" t="inlineStr">
        <is>
          <t>考研过来人, 学生</t>
        </is>
      </c>
      <c r="I534" t="inlineStr">
        <is>
          <t>教育, 出行旅游</t>
        </is>
      </c>
      <c r="J534">
        <v>1338</v>
      </c>
      <c r="K534" t="inlineStr">
        <is>
          <t>0.1</t>
        </is>
      </c>
      <c r="L534">
        <v>9155</v>
      </c>
      <c r="M534">
        <v>741</v>
      </c>
      <c r="N534">
        <v>219</v>
      </c>
      <c r="O534">
        <v>200</v>
      </c>
      <c r="P534">
        <v>0</v>
      </c>
      <c r="Q534">
        <v>0.778</v>
      </c>
      <c r="R534">
        <v>7327</v>
      </c>
      <c r="S534">
        <v>1116</v>
      </c>
      <c r="T534">
        <v>172</v>
      </c>
      <c r="U534">
        <v>0.48</v>
      </c>
      <c r="V534">
        <v>200</v>
      </c>
      <c r="W534">
        <v>0.667</v>
      </c>
      <c r="X534">
        <v>0</v>
      </c>
      <c r="Y534">
        <v>27.3</v>
      </c>
      <c r="Z534">
        <v>1</v>
      </c>
      <c r="AA534">
        <v>9155</v>
      </c>
      <c r="AB534">
        <v>651</v>
      </c>
      <c r="AC534">
        <v>191</v>
      </c>
      <c r="AD534">
        <v>1.96</v>
      </c>
      <c r="AE534">
        <v>300</v>
      </c>
      <c r="AF534">
        <v>1</v>
      </c>
      <c r="AG534">
        <v>0</v>
      </c>
      <c r="AH534">
        <v>0.181</v>
      </c>
      <c r="AI534">
        <v>32.77</v>
      </c>
      <c r="AJ534">
        <v>1.26</v>
      </c>
      <c r="AK534">
        <v>0</v>
      </c>
      <c r="AL534">
        <v>0</v>
      </c>
      <c r="AM534">
        <v>0</v>
      </c>
      <c r="AN534">
        <v>0</v>
      </c>
      <c r="AO534">
        <v>0</v>
      </c>
      <c r="AP534">
        <v>0.864</v>
      </c>
      <c r="AQ534">
        <v>0.305</v>
      </c>
      <c r="AR534">
        <v>0</v>
      </c>
      <c r="AS534" s="3">
        <v>46107.771319444444</v>
      </c>
    </row>
    <row r="535" ht="25.5" customHeight="1">
      <c r="A535" t="inlineStr">
        <is>
          <t>5b71a58414b40a0001e19833</t>
        </is>
      </c>
      <c r="B535" s="2" t="str">
        <f>=HYPERLINK("https://www.xiaohongshu.com/user/profile/5b71a58414b40a0001e19833", "https://www.xiaohongshu.com/user/profile/5b71a58414b40a0001e19833")</f>
        <v>https://www.xiaohongshu.com/user/profile/5b71a58414b40a0001e19833</v>
      </c>
      <c r="C535" s="2" t="str">
        <f>=HYPERLINK("https://pgy.xiaohongshu.com/solar/pre-trade/blogger-detail/5b71a58414b40a0001e19833", "https://pgy.xiaohongshu.com/solar/pre-trade/blogger-detail/5b71a58414b40a0001e19833")</f>
        <v>https://pgy.xiaohongshu.com/solar/pre-trade/blogger-detail/5b71a58414b40a0001e19833</v>
      </c>
      <c r="D535" t="inlineStr">
        <is>
          <t>女</t>
        </is>
      </c>
      <c r="E535" t="inlineStr">
        <is>
          <t>nansi_</t>
        </is>
      </c>
      <c r="F535" t="inlineStr">
        <is>
          <t>饼饼zz</t>
        </is>
      </c>
      <c r="G535" t="inlineStr">
        <is>
          <t>广东 深圳 罗湖区</t>
        </is>
      </c>
      <c r="H535" t="inlineStr">
        <is>
          <t>学生, 留学背景</t>
        </is>
      </c>
      <c r="I535" t="inlineStr">
        <is>
          <t>教育</t>
        </is>
      </c>
      <c r="J535">
        <v>29056</v>
      </c>
      <c r="K535" t="inlineStr">
        <is>
          <t>2.9</t>
        </is>
      </c>
      <c r="L535">
        <v>9863</v>
      </c>
      <c r="M535">
        <v>2318</v>
      </c>
      <c r="N535">
        <v>180</v>
      </c>
      <c r="O535">
        <v>1500</v>
      </c>
      <c r="P535">
        <v>0</v>
      </c>
      <c r="Q535">
        <v>0.6</v>
      </c>
      <c r="R535">
        <v>0</v>
      </c>
      <c r="S535">
        <v>0</v>
      </c>
      <c r="T535">
        <v>0</v>
      </c>
      <c r="U535">
        <v>0</v>
      </c>
      <c r="V535">
        <v>1500</v>
      </c>
      <c r="W535">
        <v>0</v>
      </c>
      <c r="X535">
        <v>0</v>
      </c>
      <c r="Y535">
        <v>0</v>
      </c>
      <c r="Z535">
        <v>0</v>
      </c>
      <c r="AA535">
        <v>9863</v>
      </c>
      <c r="AB535">
        <v>2318</v>
      </c>
      <c r="AC535">
        <v>168</v>
      </c>
      <c r="AD535">
        <v>2.64</v>
      </c>
      <c r="AE535">
        <v>2700</v>
      </c>
      <c r="AF535">
        <v>0.6</v>
      </c>
      <c r="AG535">
        <v>0</v>
      </c>
      <c r="AH535">
        <v>0.099</v>
      </c>
      <c r="AI535">
        <v>250.73</v>
      </c>
      <c r="AJ535">
        <v>12.77</v>
      </c>
      <c r="AK535">
        <v>54608</v>
      </c>
      <c r="AL535">
        <v>7672</v>
      </c>
      <c r="AM535">
        <v>658</v>
      </c>
      <c r="AN535">
        <v>0</v>
      </c>
      <c r="AO535">
        <v>0</v>
      </c>
      <c r="AP535">
        <v>0.800999999999999</v>
      </c>
      <c r="AQ535">
        <v>0.026</v>
      </c>
      <c r="AR535">
        <v>0.023</v>
      </c>
      <c r="AS535" s="3">
        <v>46107.771319444444</v>
      </c>
    </row>
    <row r="536" ht="25.5" customHeight="1">
      <c r="A536" t="inlineStr">
        <is>
          <t>66005078000000000600c840</t>
        </is>
      </c>
      <c r="B536" s="2" t="str">
        <f>=HYPERLINK("https://www.xiaohongshu.com/user/profile/66005078000000000600c840", "https://www.xiaohongshu.com/user/profile/66005078000000000600c840")</f>
        <v>https://www.xiaohongshu.com/user/profile/66005078000000000600c840</v>
      </c>
      <c r="C536" s="2" t="str">
        <f>=HYPERLINK("https://pgy.xiaohongshu.com/solar/pre-trade/blogger-detail/66005078000000000600c840", "https://pgy.xiaohongshu.com/solar/pre-trade/blogger-detail/66005078000000000600c840")</f>
        <v>https://pgy.xiaohongshu.com/solar/pre-trade/blogger-detail/66005078000000000600c840</v>
      </c>
      <c r="D536" t="inlineStr">
        <is>
          <t>女</t>
        </is>
      </c>
      <c r="E536" t="inlineStr">
        <is>
          <t>26391375176</t>
        </is>
      </c>
      <c r="F536" t="inlineStr">
        <is>
          <t>飞行日落3827</t>
        </is>
      </c>
      <c r="G536" t="inlineStr">
        <is>
          <t>广东 汕头 金平区</t>
        </is>
      </c>
      <c r="H536"/>
      <c r="I536" t="inlineStr">
        <is>
          <t>教育</t>
        </is>
      </c>
      <c r="J536">
        <v>31945</v>
      </c>
      <c r="K536" t="inlineStr">
        <is>
          <t>3.2</t>
        </is>
      </c>
      <c r="L536">
        <v>9477</v>
      </c>
      <c r="M536">
        <v>1806</v>
      </c>
      <c r="N536">
        <v>104</v>
      </c>
      <c r="O536">
        <v>580</v>
      </c>
      <c r="P536">
        <v>0</v>
      </c>
      <c r="Q536">
        <v>0.385</v>
      </c>
      <c r="R536">
        <v>9477</v>
      </c>
      <c r="S536">
        <v>1806</v>
      </c>
      <c r="T536">
        <v>103</v>
      </c>
      <c r="U536">
        <v>0.62</v>
      </c>
      <c r="V536">
        <v>580</v>
      </c>
      <c r="W536">
        <v>0.385</v>
      </c>
      <c r="X536">
        <v>0</v>
      </c>
      <c r="Y536">
        <v>54.75</v>
      </c>
      <c r="Z536">
        <v>5.13</v>
      </c>
      <c r="AA536">
        <v>0</v>
      </c>
      <c r="AB536">
        <v>0</v>
      </c>
      <c r="AC536">
        <v>0</v>
      </c>
      <c r="AD536">
        <v>0</v>
      </c>
      <c r="AE536">
        <v>985</v>
      </c>
      <c r="AF536">
        <v>0</v>
      </c>
      <c r="AG536">
        <v>0</v>
      </c>
      <c r="AH536">
        <v>0</v>
      </c>
      <c r="AI536">
        <v>0</v>
      </c>
      <c r="AJ536">
        <v>0</v>
      </c>
      <c r="AK536">
        <v>32348</v>
      </c>
      <c r="AL536">
        <v>4361</v>
      </c>
      <c r="AM536">
        <v>202</v>
      </c>
      <c r="AN536">
        <v>0</v>
      </c>
      <c r="AO536">
        <v>0</v>
      </c>
      <c r="AP536">
        <v>0.867</v>
      </c>
      <c r="AQ536">
        <v>0.038</v>
      </c>
      <c r="AR536">
        <v>-0.002</v>
      </c>
      <c r="AS536" s="3">
        <v>46107.771319444444</v>
      </c>
    </row>
    <row r="537" ht="25.5" customHeight="1">
      <c r="A537" t="inlineStr">
        <is>
          <t>66922287000000000f034dcf</t>
        </is>
      </c>
      <c r="B537" s="2" t="str">
        <f>=HYPERLINK("https://www.xiaohongshu.com/user/profile/66922287000000000f034dcf", "https://www.xiaohongshu.com/user/profile/66922287000000000f034dcf")</f>
        <v>https://www.xiaohongshu.com/user/profile/66922287000000000f034dcf</v>
      </c>
      <c r="C537" s="2" t="str">
        <f>=HYPERLINK("https://pgy.xiaohongshu.com/solar/pre-trade/blogger-detail/66922287000000000f034dcf", "https://pgy.xiaohongshu.com/solar/pre-trade/blogger-detail/66922287000000000f034dcf")</f>
        <v>https://pgy.xiaohongshu.com/solar/pre-trade/blogger-detail/66922287000000000f034dcf</v>
      </c>
      <c r="D537" t="inlineStr">
        <is>
          <t>男</t>
        </is>
      </c>
      <c r="E537" t="inlineStr">
        <is>
          <t>11641812558</t>
        </is>
      </c>
      <c r="F537" t="inlineStr">
        <is>
          <t>小北努力学英语</t>
        </is>
      </c>
      <c r="G537" t="inlineStr">
        <is>
          <t>广东 广州 番禺区</t>
        </is>
      </c>
      <c r="H537"/>
      <c r="I537" t="inlineStr">
        <is>
          <t>教育</t>
        </is>
      </c>
      <c r="J537">
        <v>13249</v>
      </c>
      <c r="K537" t="inlineStr">
        <is>
          <t>1.3</t>
        </is>
      </c>
      <c r="L537">
        <v>6011</v>
      </c>
      <c r="M537">
        <v>539</v>
      </c>
      <c r="N537">
        <v>100</v>
      </c>
      <c r="O537">
        <v>220</v>
      </c>
      <c r="P537">
        <v>0</v>
      </c>
      <c r="Q537">
        <v>0</v>
      </c>
      <c r="R537">
        <v>6011</v>
      </c>
      <c r="S537">
        <v>539</v>
      </c>
      <c r="T537">
        <v>89</v>
      </c>
      <c r="U537">
        <v>0.71</v>
      </c>
      <c r="V537">
        <v>220</v>
      </c>
      <c r="W537">
        <v>0</v>
      </c>
      <c r="X537">
        <v>0</v>
      </c>
      <c r="Y537">
        <v>36.6</v>
      </c>
      <c r="Z537">
        <v>2.2</v>
      </c>
      <c r="AA537">
        <v>0</v>
      </c>
      <c r="AB537">
        <v>0</v>
      </c>
      <c r="AC537">
        <v>0</v>
      </c>
      <c r="AD537">
        <v>0</v>
      </c>
      <c r="AE537">
        <v>1768</v>
      </c>
      <c r="AF537">
        <v>0</v>
      </c>
      <c r="AG537">
        <v>0</v>
      </c>
      <c r="AH537">
        <v>0</v>
      </c>
      <c r="AI537">
        <v>0</v>
      </c>
      <c r="AJ537">
        <v>0</v>
      </c>
      <c r="AK537">
        <v>0</v>
      </c>
      <c r="AL537">
        <v>0</v>
      </c>
      <c r="AM537">
        <v>0</v>
      </c>
      <c r="AN537">
        <v>0</v>
      </c>
      <c r="AO537">
        <v>0</v>
      </c>
      <c r="AP537">
        <v>0.858</v>
      </c>
      <c r="AQ537">
        <v>0.01</v>
      </c>
      <c r="AR537">
        <v>-0.001</v>
      </c>
      <c r="AS537" s="3">
        <v>46107.771319444444</v>
      </c>
    </row>
    <row r="538" ht="25.5" customHeight="1">
      <c r="A538" t="inlineStr">
        <is>
          <t>668b8303000000000f035e73</t>
        </is>
      </c>
      <c r="B538" s="2" t="str">
        <f>=HYPERLINK("https://www.xiaohongshu.com/user/profile/668b8303000000000f035e73", "https://www.xiaohongshu.com/user/profile/668b8303000000000f035e73")</f>
        <v>https://www.xiaohongshu.com/user/profile/668b8303000000000f035e73</v>
      </c>
      <c r="C538" s="2" t="str">
        <f>=HYPERLINK("https://pgy.xiaohongshu.com/solar/pre-trade/blogger-detail/668b8303000000000f035e73", "https://pgy.xiaohongshu.com/solar/pre-trade/blogger-detail/668b8303000000000f035e73")</f>
        <v>https://pgy.xiaohongshu.com/solar/pre-trade/blogger-detail/668b8303000000000f035e73</v>
      </c>
      <c r="D538" t="inlineStr">
        <is>
          <t>男</t>
        </is>
      </c>
      <c r="E538" t="inlineStr">
        <is>
          <t>11431164148</t>
        </is>
      </c>
      <c r="F538" t="inlineStr">
        <is>
          <t>Ok_dokey</t>
        </is>
      </c>
      <c r="G538" t="inlineStr">
        <is>
          <t>广东 广州 白云区</t>
        </is>
      </c>
      <c r="H538" t="inlineStr">
        <is>
          <t>学生</t>
        </is>
      </c>
      <c r="I538" t="inlineStr">
        <is>
          <t>生活记录</t>
        </is>
      </c>
      <c r="J538">
        <v>38825</v>
      </c>
      <c r="K538" t="inlineStr">
        <is>
          <t>3.9</t>
        </is>
      </c>
      <c r="L538">
        <v>17182</v>
      </c>
      <c r="M538">
        <v>4446</v>
      </c>
      <c r="N538">
        <v>370</v>
      </c>
      <c r="O538">
        <v>1900</v>
      </c>
      <c r="P538">
        <v>0</v>
      </c>
      <c r="Q538">
        <v>1</v>
      </c>
      <c r="R538">
        <v>0</v>
      </c>
      <c r="S538">
        <v>0</v>
      </c>
      <c r="T538">
        <v>0</v>
      </c>
      <c r="U538">
        <v>0</v>
      </c>
      <c r="V538">
        <v>1900</v>
      </c>
      <c r="W538">
        <v>0</v>
      </c>
      <c r="X538">
        <v>0</v>
      </c>
      <c r="Y538">
        <v>0</v>
      </c>
      <c r="Z538">
        <v>0</v>
      </c>
      <c r="AA538">
        <v>17182</v>
      </c>
      <c r="AB538">
        <v>4446</v>
      </c>
      <c r="AC538">
        <v>348</v>
      </c>
      <c r="AD538">
        <v>2.61</v>
      </c>
      <c r="AE538">
        <v>4500</v>
      </c>
      <c r="AF538">
        <v>1</v>
      </c>
      <c r="AG538">
        <v>0</v>
      </c>
      <c r="AH538">
        <v>0.211</v>
      </c>
      <c r="AI538">
        <v>272.1</v>
      </c>
      <c r="AJ538">
        <v>12.23</v>
      </c>
      <c r="AK538">
        <v>7658</v>
      </c>
      <c r="AL538">
        <v>1417</v>
      </c>
      <c r="AM538">
        <v>115</v>
      </c>
      <c r="AN538">
        <v>0</v>
      </c>
      <c r="AO538">
        <v>0</v>
      </c>
      <c r="AP538">
        <v>0.924</v>
      </c>
      <c r="AQ538">
        <v>0.0409999999999999</v>
      </c>
      <c r="AR538">
        <v>0.001</v>
      </c>
      <c r="AS538" s="3">
        <v>46107.771319444444</v>
      </c>
    </row>
    <row r="539" ht="25.5" customHeight="1">
      <c r="A539" t="inlineStr">
        <is>
          <t>5b497d07f7e8b97ab89a2c77</t>
        </is>
      </c>
      <c r="B539" s="2" t="str">
        <f>=HYPERLINK("https://www.xiaohongshu.com/user/profile/5b497d07f7e8b97ab89a2c77", "https://www.xiaohongshu.com/user/profile/5b497d07f7e8b97ab89a2c77")</f>
        <v>https://www.xiaohongshu.com/user/profile/5b497d07f7e8b97ab89a2c77</v>
      </c>
      <c r="C539" s="2" t="str">
        <f>=HYPERLINK("https://pgy.xiaohongshu.com/solar/pre-trade/blogger-detail/5b497d07f7e8b97ab89a2c77", "https://pgy.xiaohongshu.com/solar/pre-trade/blogger-detail/5b497d07f7e8b97ab89a2c77")</f>
        <v>https://pgy.xiaohongshu.com/solar/pre-trade/blogger-detail/5b497d07f7e8b97ab89a2c77</v>
      </c>
      <c r="D539" t="inlineStr">
        <is>
          <t>女</t>
        </is>
      </c>
      <c r="E539" t="inlineStr">
        <is>
          <t>lyy0930</t>
        </is>
      </c>
      <c r="F539" t="inlineStr">
        <is>
          <t>skeleton</t>
        </is>
      </c>
      <c r="G539" t="inlineStr">
        <is>
          <t>河北 廊坊 三河市</t>
        </is>
      </c>
      <c r="H539" t="inlineStr">
        <is>
          <t>学生, 画家</t>
        </is>
      </c>
      <c r="I539" t="inlineStr">
        <is>
          <t>教育, 生活记录</t>
        </is>
      </c>
      <c r="J539">
        <v>12292</v>
      </c>
      <c r="K539" t="inlineStr">
        <is>
          <t>1.2</t>
        </is>
      </c>
      <c r="L539">
        <v>24246</v>
      </c>
      <c r="M539">
        <v>5691</v>
      </c>
      <c r="N539">
        <v>283</v>
      </c>
      <c r="O539">
        <v>1053</v>
      </c>
      <c r="P539">
        <v>0.125</v>
      </c>
      <c r="Q539">
        <v>1</v>
      </c>
      <c r="R539">
        <v>25775</v>
      </c>
      <c r="S539">
        <v>6896</v>
      </c>
      <c r="T539">
        <v>313</v>
      </c>
      <c r="U539">
        <v>0.45</v>
      </c>
      <c r="V539">
        <v>1053</v>
      </c>
      <c r="W539">
        <v>1</v>
      </c>
      <c r="X539">
        <v>0.143</v>
      </c>
      <c r="Y539">
        <v>40.85</v>
      </c>
      <c r="Z539">
        <v>3.27</v>
      </c>
      <c r="AA539">
        <v>8291</v>
      </c>
      <c r="AB539">
        <v>1623</v>
      </c>
      <c r="AC539">
        <v>163</v>
      </c>
      <c r="AD539">
        <v>2.87</v>
      </c>
      <c r="AE539">
        <v>2231</v>
      </c>
      <c r="AF539">
        <v>1</v>
      </c>
      <c r="AG539">
        <v>0</v>
      </c>
      <c r="AH539">
        <v>0.04</v>
      </c>
      <c r="AI539">
        <v>269.09</v>
      </c>
      <c r="AJ539">
        <v>12.68</v>
      </c>
      <c r="AK539">
        <v>137046</v>
      </c>
      <c r="AL539">
        <v>34268</v>
      </c>
      <c r="AM539">
        <v>946</v>
      </c>
      <c r="AN539">
        <v>0</v>
      </c>
      <c r="AO539">
        <v>0</v>
      </c>
      <c r="AP539">
        <v>0.835</v>
      </c>
      <c r="AQ539">
        <v>0.107</v>
      </c>
      <c r="AR539">
        <v>0.07</v>
      </c>
      <c r="AS539" s="3">
        <v>46107.771319444444</v>
      </c>
    </row>
    <row r="540" ht="25.5" customHeight="1">
      <c r="A540" t="inlineStr">
        <is>
          <t>60c2f9260000000001006617</t>
        </is>
      </c>
      <c r="B540" s="2" t="str">
        <f>=HYPERLINK("https://www.xiaohongshu.com/user/profile/60c2f9260000000001006617", "https://www.xiaohongshu.com/user/profile/60c2f9260000000001006617")</f>
        <v>https://www.xiaohongshu.com/user/profile/60c2f9260000000001006617</v>
      </c>
      <c r="C540" s="2" t="str">
        <f>=HYPERLINK("https://pgy.xiaohongshu.com/solar/pre-trade/blogger-detail/60c2f9260000000001006617", "https://pgy.xiaohongshu.com/solar/pre-trade/blogger-detail/60c2f9260000000001006617")</f>
        <v>https://pgy.xiaohongshu.com/solar/pre-trade/blogger-detail/60c2f9260000000001006617</v>
      </c>
      <c r="D540" t="inlineStr">
        <is>
          <t>女</t>
        </is>
      </c>
      <c r="E540" t="inlineStr">
        <is>
          <t>1153021428</t>
        </is>
      </c>
      <c r="F540" t="inlineStr">
        <is>
          <t>Chloeeee_</t>
        </is>
      </c>
      <c r="G540" t="inlineStr">
        <is>
          <t>上海</t>
        </is>
      </c>
      <c r="H540" t="inlineStr">
        <is>
          <t>户外爱好者, 留学背景, 学生, 情侣</t>
        </is>
      </c>
      <c r="I540" t="inlineStr">
        <is>
          <t>教育, 出行旅游</t>
        </is>
      </c>
      <c r="J540">
        <v>2930</v>
      </c>
      <c r="K540" t="inlineStr">
        <is>
          <t>0.3</t>
        </is>
      </c>
      <c r="L540">
        <v>10261</v>
      </c>
      <c r="M540">
        <v>1127</v>
      </c>
      <c r="N540">
        <v>119</v>
      </c>
      <c r="O540">
        <v>280</v>
      </c>
      <c r="P540">
        <v>0.111</v>
      </c>
      <c r="Q540">
        <v>0.444</v>
      </c>
      <c r="R540">
        <v>10261</v>
      </c>
      <c r="S540">
        <v>1127</v>
      </c>
      <c r="T540">
        <v>106</v>
      </c>
      <c r="U540">
        <v>0.53</v>
      </c>
      <c r="V540">
        <v>280</v>
      </c>
      <c r="W540">
        <v>0.444</v>
      </c>
      <c r="X540">
        <v>0.111</v>
      </c>
      <c r="Y540">
        <v>26.67</v>
      </c>
      <c r="Z540">
        <v>2.36</v>
      </c>
      <c r="AA540">
        <v>0</v>
      </c>
      <c r="AB540">
        <v>0</v>
      </c>
      <c r="AC540">
        <v>0</v>
      </c>
      <c r="AD540">
        <v>0</v>
      </c>
      <c r="AE540">
        <v>369</v>
      </c>
      <c r="AF540">
        <v>0</v>
      </c>
      <c r="AG540">
        <v>0</v>
      </c>
      <c r="AH540">
        <v>0</v>
      </c>
      <c r="AI540">
        <v>0</v>
      </c>
      <c r="AJ540">
        <v>0</v>
      </c>
      <c r="AK540">
        <v>11658</v>
      </c>
      <c r="AL540">
        <v>1230</v>
      </c>
      <c r="AM540">
        <v>74</v>
      </c>
      <c r="AN540">
        <v>0</v>
      </c>
      <c r="AO540">
        <v>118.67</v>
      </c>
      <c r="AP540">
        <v>0.869</v>
      </c>
      <c r="AQ540">
        <v>0.042</v>
      </c>
      <c r="AR540">
        <v>0.165</v>
      </c>
      <c r="AS540" s="3">
        <v>46107.771319444444</v>
      </c>
    </row>
    <row r="541" ht="25.5" customHeight="1">
      <c r="A541" t="inlineStr">
        <is>
          <t>66e679b2000000001d021a51</t>
        </is>
      </c>
      <c r="B541" s="2" t="str">
        <f>=HYPERLINK("https://www.xiaohongshu.com/user/profile/66e679b2000000001d021a51", "https://www.xiaohongshu.com/user/profile/66e679b2000000001d021a51")</f>
        <v>https://www.xiaohongshu.com/user/profile/66e679b2000000001d021a51</v>
      </c>
      <c r="C541" s="2" t="str">
        <f>=HYPERLINK("https://pgy.xiaohongshu.com/solar/pre-trade/blogger-detail/66e679b2000000001d021a51", "https://pgy.xiaohongshu.com/solar/pre-trade/blogger-detail/66e679b2000000001d021a51")</f>
        <v>https://pgy.xiaohongshu.com/solar/pre-trade/blogger-detail/66e679b2000000001d021a51</v>
      </c>
      <c r="D541" t="inlineStr">
        <is>
          <t>女</t>
        </is>
      </c>
      <c r="E541" t="inlineStr">
        <is>
          <t>95634824410</t>
        </is>
      </c>
      <c r="F541" t="inlineStr">
        <is>
          <t>26岁清醒逆袭学姐</t>
        </is>
      </c>
      <c r="G541" t="inlineStr">
        <is>
          <t>贵州 六盘水 水城区</t>
        </is>
      </c>
      <c r="H541" t="inlineStr">
        <is>
          <t>学生</t>
        </is>
      </c>
      <c r="I541" t="inlineStr">
        <is>
          <t>教育</t>
        </is>
      </c>
      <c r="J541">
        <v>1259</v>
      </c>
      <c r="K541" t="inlineStr">
        <is>
          <t>0.1</t>
        </is>
      </c>
      <c r="L541">
        <v>7029</v>
      </c>
      <c r="M541">
        <v>1725</v>
      </c>
      <c r="N541">
        <v>184</v>
      </c>
      <c r="O541">
        <v>200</v>
      </c>
      <c r="P541">
        <v>0.143</v>
      </c>
      <c r="Q541">
        <v>0.571</v>
      </c>
      <c r="R541">
        <v>6112</v>
      </c>
      <c r="S541">
        <v>1223</v>
      </c>
      <c r="T541">
        <v>47</v>
      </c>
      <c r="U541">
        <v>0.46</v>
      </c>
      <c r="V541">
        <v>200</v>
      </c>
      <c r="W541">
        <v>0</v>
      </c>
      <c r="X541">
        <v>0</v>
      </c>
      <c r="Y541">
        <v>32.72</v>
      </c>
      <c r="Z541">
        <v>3.23</v>
      </c>
      <c r="AA541">
        <v>10798</v>
      </c>
      <c r="AB541">
        <v>3057</v>
      </c>
      <c r="AC541">
        <v>407</v>
      </c>
      <c r="AD541">
        <v>1.62</v>
      </c>
      <c r="AE541">
        <v>380</v>
      </c>
      <c r="AF541">
        <v>0.667</v>
      </c>
      <c r="AG541">
        <v>0.166999999999999</v>
      </c>
      <c r="AH541">
        <v>0.019</v>
      </c>
      <c r="AI541">
        <v>35.19</v>
      </c>
      <c r="AJ541">
        <v>0.83</v>
      </c>
      <c r="AK541">
        <v>0</v>
      </c>
      <c r="AL541">
        <v>0</v>
      </c>
      <c r="AM541">
        <v>0</v>
      </c>
      <c r="AN541">
        <v>0</v>
      </c>
      <c r="AO541">
        <v>0</v>
      </c>
      <c r="AP541">
        <v>0.995</v>
      </c>
      <c r="AQ541">
        <v>0.702</v>
      </c>
      <c r="AR541">
        <v>0</v>
      </c>
      <c r="AS541" s="3">
        <v>46107.771516203706</v>
      </c>
    </row>
    <row r="542" ht="25.5" customHeight="1">
      <c r="A542" t="inlineStr">
        <is>
          <t>6344de4a0000000018029a93</t>
        </is>
      </c>
      <c r="B542" s="2" t="str">
        <f>=HYPERLINK("https://www.xiaohongshu.com/user/profile/6344de4a0000000018029a93", "https://www.xiaohongshu.com/user/profile/6344de4a0000000018029a93")</f>
        <v>https://www.xiaohongshu.com/user/profile/6344de4a0000000018029a93</v>
      </c>
      <c r="C542" s="2" t="str">
        <f>=HYPERLINK("https://pgy.xiaohongshu.com/solar/pre-trade/blogger-detail/6344de4a0000000018029a93", "https://pgy.xiaohongshu.com/solar/pre-trade/blogger-detail/6344de4a0000000018029a93")</f>
        <v>https://pgy.xiaohongshu.com/solar/pre-trade/blogger-detail/6344de4a0000000018029a93</v>
      </c>
      <c r="D542" t="inlineStr">
        <is>
          <t>女</t>
        </is>
      </c>
      <c r="E542" t="inlineStr">
        <is>
          <t>4195658337</t>
        </is>
      </c>
      <c r="F542" t="inlineStr">
        <is>
          <t>胖胖胖栗子</t>
        </is>
      </c>
      <c r="G542" t="inlineStr">
        <is>
          <t>新西兰</t>
        </is>
      </c>
      <c r="H542"/>
      <c r="I542" t="inlineStr">
        <is>
          <t>教育</t>
        </is>
      </c>
      <c r="J542">
        <v>1931</v>
      </c>
      <c r="K542" t="inlineStr">
        <is>
          <t>0.2</t>
        </is>
      </c>
      <c r="L542">
        <v>14860</v>
      </c>
      <c r="M542">
        <v>3655</v>
      </c>
      <c r="N542">
        <v>273</v>
      </c>
      <c r="O542">
        <v>200</v>
      </c>
      <c r="P542">
        <v>0</v>
      </c>
      <c r="Q542">
        <v>0.5</v>
      </c>
      <c r="R542">
        <v>14860</v>
      </c>
      <c r="S542">
        <v>3655</v>
      </c>
      <c r="T542">
        <v>254</v>
      </c>
      <c r="U542">
        <v>0.36</v>
      </c>
      <c r="V542">
        <v>200</v>
      </c>
      <c r="W542">
        <v>0.5</v>
      </c>
      <c r="X542">
        <v>0</v>
      </c>
      <c r="Y542">
        <v>13.72</v>
      </c>
      <c r="Z542">
        <v>0.93</v>
      </c>
      <c r="AA542">
        <v>0</v>
      </c>
      <c r="AB542">
        <v>0</v>
      </c>
      <c r="AC542">
        <v>0</v>
      </c>
      <c r="AD542">
        <v>0</v>
      </c>
      <c r="AE542">
        <v>500</v>
      </c>
      <c r="AF542">
        <v>0</v>
      </c>
      <c r="AG542">
        <v>0</v>
      </c>
      <c r="AH542">
        <v>0</v>
      </c>
      <c r="AI542">
        <v>0</v>
      </c>
      <c r="AJ542">
        <v>0</v>
      </c>
      <c r="AK542">
        <v>2826</v>
      </c>
      <c r="AL542">
        <v>169</v>
      </c>
      <c r="AM542">
        <v>3</v>
      </c>
      <c r="AN542">
        <v>0</v>
      </c>
      <c r="AO542">
        <v>0</v>
      </c>
      <c r="AP542">
        <v>0.946</v>
      </c>
      <c r="AQ542">
        <v>0.284</v>
      </c>
      <c r="AR542">
        <v>0</v>
      </c>
      <c r="AS542" s="3">
        <v>46107.771516203706</v>
      </c>
    </row>
    <row r="543" ht="25.5" customHeight="1">
      <c r="A543" t="inlineStr">
        <is>
          <t>5caf3e1600000000100349f3</t>
        </is>
      </c>
      <c r="B543" s="2" t="str">
        <f>=HYPERLINK("https://www.xiaohongshu.com/user/profile/5caf3e1600000000100349f3", "https://www.xiaohongshu.com/user/profile/5caf3e1600000000100349f3")</f>
        <v>https://www.xiaohongshu.com/user/profile/5caf3e1600000000100349f3</v>
      </c>
      <c r="C543" s="2" t="str">
        <f>=HYPERLINK("https://pgy.xiaohongshu.com/solar/pre-trade/blogger-detail/5caf3e1600000000100349f3", "https://pgy.xiaohongshu.com/solar/pre-trade/blogger-detail/5caf3e1600000000100349f3")</f>
        <v>https://pgy.xiaohongshu.com/solar/pre-trade/blogger-detail/5caf3e1600000000100349f3</v>
      </c>
      <c r="D543" t="inlineStr">
        <is>
          <t>女</t>
        </is>
      </c>
      <c r="E543" t="inlineStr">
        <is>
          <t>688984212</t>
        </is>
      </c>
      <c r="F543" t="inlineStr">
        <is>
          <t>七月份</t>
        </is>
      </c>
      <c r="G543" t="inlineStr">
        <is>
          <t>新加坡</t>
        </is>
      </c>
      <c r="H543" t="inlineStr">
        <is>
          <t>留学背景, 海外华人</t>
        </is>
      </c>
      <c r="I543" t="inlineStr">
        <is>
          <t>教育</t>
        </is>
      </c>
      <c r="J543">
        <v>2136</v>
      </c>
      <c r="K543" t="inlineStr">
        <is>
          <t>0.2</t>
        </is>
      </c>
      <c r="L543">
        <v>7787</v>
      </c>
      <c r="M543">
        <v>1333</v>
      </c>
      <c r="N543">
        <v>113</v>
      </c>
      <c r="O543">
        <v>600</v>
      </c>
      <c r="P543">
        <v>0</v>
      </c>
      <c r="Q543">
        <v>0</v>
      </c>
      <c r="R543">
        <v>7787</v>
      </c>
      <c r="S543">
        <v>1333</v>
      </c>
      <c r="T543">
        <v>82</v>
      </c>
      <c r="U543">
        <v>0.74</v>
      </c>
      <c r="V543">
        <v>600</v>
      </c>
      <c r="W543">
        <v>0</v>
      </c>
      <c r="X543">
        <v>0</v>
      </c>
      <c r="Y543">
        <v>75.87</v>
      </c>
      <c r="Z543">
        <v>4.76</v>
      </c>
      <c r="AA543">
        <v>0</v>
      </c>
      <c r="AB543">
        <v>0</v>
      </c>
      <c r="AC543">
        <v>0</v>
      </c>
      <c r="AD543">
        <v>0</v>
      </c>
      <c r="AE543">
        <v>700</v>
      </c>
      <c r="AF543">
        <v>0</v>
      </c>
      <c r="AG543">
        <v>0</v>
      </c>
      <c r="AH543">
        <v>0</v>
      </c>
      <c r="AI543">
        <v>0</v>
      </c>
      <c r="AJ543">
        <v>0</v>
      </c>
      <c r="AK543">
        <v>8144</v>
      </c>
      <c r="AL543">
        <v>1370</v>
      </c>
      <c r="AM543">
        <v>97</v>
      </c>
      <c r="AN543">
        <v>0</v>
      </c>
      <c r="AO543">
        <v>0</v>
      </c>
      <c r="AP543">
        <v>0.84</v>
      </c>
      <c r="AQ543">
        <v>0.044</v>
      </c>
      <c r="AR543">
        <v>0.0559999999999999</v>
      </c>
      <c r="AS543" s="3">
        <v>46107.771516203706</v>
      </c>
    </row>
    <row r="544" ht="25.5" customHeight="1">
      <c r="A544" t="inlineStr">
        <is>
          <t>63f5a4ba000000001001c462</t>
        </is>
      </c>
      <c r="B544" s="2" t="str">
        <f>=HYPERLINK("https://www.xiaohongshu.com/user/profile/63f5a4ba000000001001c462", "https://www.xiaohongshu.com/user/profile/63f5a4ba000000001001c462")</f>
        <v>https://www.xiaohongshu.com/user/profile/63f5a4ba000000001001c462</v>
      </c>
      <c r="C544" s="2" t="str">
        <f>=HYPERLINK("https://pgy.xiaohongshu.com/solar/pre-trade/blogger-detail/63f5a4ba000000001001c462", "https://pgy.xiaohongshu.com/solar/pre-trade/blogger-detail/63f5a4ba000000001001c462")</f>
        <v>https://pgy.xiaohongshu.com/solar/pre-trade/blogger-detail/63f5a4ba000000001001c462</v>
      </c>
      <c r="D544" t="inlineStr">
        <is>
          <t>女</t>
        </is>
      </c>
      <c r="E544" t="inlineStr">
        <is>
          <t>6115403529</t>
        </is>
      </c>
      <c r="F544" t="inlineStr">
        <is>
          <t>小许成长记</t>
        </is>
      </c>
      <c r="G544" t="inlineStr">
        <is>
          <t>吉林 延边朝鲜族自治州 延吉市</t>
        </is>
      </c>
      <c r="H544"/>
      <c r="I544" t="inlineStr">
        <is>
          <t>教育</t>
        </is>
      </c>
      <c r="J544">
        <v>2939</v>
      </c>
      <c r="K544" t="inlineStr">
        <is>
          <t>0.3</t>
        </is>
      </c>
      <c r="L544">
        <v>4031</v>
      </c>
      <c r="M544">
        <v>1717</v>
      </c>
      <c r="N544">
        <v>158</v>
      </c>
      <c r="O544">
        <v>182</v>
      </c>
      <c r="P544">
        <v>0</v>
      </c>
      <c r="Q544">
        <v>0.332999999999999</v>
      </c>
      <c r="R544">
        <v>1433</v>
      </c>
      <c r="S544">
        <v>212</v>
      </c>
      <c r="T544">
        <v>59</v>
      </c>
      <c r="U544">
        <v>0.49</v>
      </c>
      <c r="V544">
        <v>182</v>
      </c>
      <c r="W544">
        <v>0</v>
      </c>
      <c r="X544">
        <v>0</v>
      </c>
      <c r="Y544">
        <v>50.63</v>
      </c>
      <c r="Z544">
        <v>3.53</v>
      </c>
      <c r="AA544">
        <v>14744</v>
      </c>
      <c r="AB544">
        <v>4402</v>
      </c>
      <c r="AC544">
        <v>550</v>
      </c>
      <c r="AD544">
        <v>1.63</v>
      </c>
      <c r="AE544">
        <v>220</v>
      </c>
      <c r="AF544">
        <v>0.5</v>
      </c>
      <c r="AG544">
        <v>0</v>
      </c>
      <c r="AH544">
        <v>0.02</v>
      </c>
      <c r="AI544">
        <v>49.99</v>
      </c>
      <c r="AJ544">
        <v>1.39</v>
      </c>
      <c r="AK544">
        <v>9357</v>
      </c>
      <c r="AL544">
        <v>1242</v>
      </c>
      <c r="AM544">
        <v>84</v>
      </c>
      <c r="AN544">
        <v>206</v>
      </c>
      <c r="AO544">
        <v>1.47</v>
      </c>
      <c r="AP544">
        <v>0.883</v>
      </c>
      <c r="AQ544">
        <v>0.175</v>
      </c>
      <c r="AR544">
        <v>0.254</v>
      </c>
      <c r="AS544" s="3">
        <v>46107.771516203706</v>
      </c>
    </row>
    <row r="545" ht="25.5" customHeight="1">
      <c r="A545" t="inlineStr">
        <is>
          <t>68da7e08000000003201d0ac</t>
        </is>
      </c>
      <c r="B545" s="2" t="str">
        <f>=HYPERLINK("https://www.xiaohongshu.com/user/profile/68da7e08000000003201d0ac", "https://www.xiaohongshu.com/user/profile/68da7e08000000003201d0ac")</f>
        <v>https://www.xiaohongshu.com/user/profile/68da7e08000000003201d0ac</v>
      </c>
      <c r="C545" s="2" t="str">
        <f>=HYPERLINK("https://pgy.xiaohongshu.com/solar/pre-trade/blogger-detail/68da7e08000000003201d0ac", "https://pgy.xiaohongshu.com/solar/pre-trade/blogger-detail/68da7e08000000003201d0ac")</f>
        <v>https://pgy.xiaohongshu.com/solar/pre-trade/blogger-detail/68da7e08000000003201d0ac</v>
      </c>
      <c r="D545" t="inlineStr">
        <is>
          <t>男</t>
        </is>
      </c>
      <c r="E545" t="inlineStr">
        <is>
          <t>18917732054</t>
        </is>
      </c>
      <c r="F545" t="inlineStr">
        <is>
          <t>Daily单词速记</t>
        </is>
      </c>
      <c r="G545" t="inlineStr">
        <is>
          <t>山东 青岛 城阳区</t>
        </is>
      </c>
      <c r="H545"/>
      <c r="I545"/>
      <c r="J545">
        <v>84509</v>
      </c>
      <c r="K545" t="inlineStr">
        <is>
          <t>8.5</t>
        </is>
      </c>
      <c r="L545">
        <v>7738</v>
      </c>
      <c r="M545">
        <v>3016</v>
      </c>
      <c r="N545">
        <v>191</v>
      </c>
      <c r="O545">
        <v>500</v>
      </c>
      <c r="P545">
        <v>0</v>
      </c>
      <c r="Q545">
        <v>0.5</v>
      </c>
      <c r="R545">
        <v>0</v>
      </c>
      <c r="S545">
        <v>0</v>
      </c>
      <c r="T545">
        <v>0</v>
      </c>
      <c r="U545">
        <v>0</v>
      </c>
      <c r="V545">
        <v>500</v>
      </c>
      <c r="W545">
        <v>0</v>
      </c>
      <c r="X545">
        <v>0</v>
      </c>
      <c r="Y545">
        <v>0</v>
      </c>
      <c r="Z545">
        <v>0</v>
      </c>
      <c r="AA545">
        <v>7738</v>
      </c>
      <c r="AB545">
        <v>3016</v>
      </c>
      <c r="AC545">
        <v>155</v>
      </c>
      <c r="AD545">
        <v>1.83</v>
      </c>
      <c r="AE545">
        <v>1000</v>
      </c>
      <c r="AF545">
        <v>0.5</v>
      </c>
      <c r="AG545">
        <v>0</v>
      </c>
      <c r="AH545">
        <v>0.08</v>
      </c>
      <c r="AI545">
        <v>129.22</v>
      </c>
      <c r="AJ545">
        <v>5.22</v>
      </c>
      <c r="AK545">
        <v>0</v>
      </c>
      <c r="AL545">
        <v>0</v>
      </c>
      <c r="AM545">
        <v>0</v>
      </c>
      <c r="AN545">
        <v>0</v>
      </c>
      <c r="AO545">
        <v>0</v>
      </c>
      <c r="AP545">
        <v>0.949</v>
      </c>
      <c r="AQ545">
        <v>0.003</v>
      </c>
      <c r="AR545">
        <v>0.049</v>
      </c>
      <c r="AS545" s="3">
        <v>46107.771516203706</v>
      </c>
    </row>
    <row r="546" ht="25.5" customHeight="1">
      <c r="A546" t="inlineStr">
        <is>
          <t>645e39d50000000029010530</t>
        </is>
      </c>
      <c r="B546" s="2" t="str">
        <f>=HYPERLINK("https://www.xiaohongshu.com/user/profile/645e39d50000000029010530", "https://www.xiaohongshu.com/user/profile/645e39d50000000029010530")</f>
        <v>https://www.xiaohongshu.com/user/profile/645e39d50000000029010530</v>
      </c>
      <c r="C546" s="2" t="str">
        <f>=HYPERLINK("https://pgy.xiaohongshu.com/solar/pre-trade/blogger-detail/645e39d50000000029010530", "https://pgy.xiaohongshu.com/solar/pre-trade/blogger-detail/645e39d50000000029010530")</f>
        <v>https://pgy.xiaohongshu.com/solar/pre-trade/blogger-detail/645e39d50000000029010530</v>
      </c>
      <c r="D546" t="inlineStr">
        <is>
          <t>女</t>
        </is>
      </c>
      <c r="E546" t="inlineStr">
        <is>
          <t>2226113340</t>
        </is>
      </c>
      <c r="F546" t="inlineStr">
        <is>
          <t>初一艺读</t>
        </is>
      </c>
      <c r="G546" t="inlineStr">
        <is>
          <t>贵州 贵阳 花溪区</t>
        </is>
      </c>
      <c r="H546"/>
      <c r="I546" t="inlineStr">
        <is>
          <t>教育</t>
        </is>
      </c>
      <c r="J546">
        <v>2876</v>
      </c>
      <c r="K546" t="inlineStr">
        <is>
          <t>0.3</t>
        </is>
      </c>
      <c r="L546">
        <v>26709</v>
      </c>
      <c r="M546">
        <v>3884</v>
      </c>
      <c r="N546">
        <v>945</v>
      </c>
      <c r="O546">
        <v>237</v>
      </c>
      <c r="P546">
        <v>0</v>
      </c>
      <c r="Q546">
        <v>0.7</v>
      </c>
      <c r="R546">
        <v>0</v>
      </c>
      <c r="S546">
        <v>0</v>
      </c>
      <c r="T546">
        <v>0</v>
      </c>
      <c r="U546">
        <v>0</v>
      </c>
      <c r="V546">
        <v>237</v>
      </c>
      <c r="W546">
        <v>0</v>
      </c>
      <c r="X546">
        <v>0</v>
      </c>
      <c r="Y546">
        <v>0</v>
      </c>
      <c r="Z546">
        <v>0</v>
      </c>
      <c r="AA546">
        <v>26709</v>
      </c>
      <c r="AB546">
        <v>3884</v>
      </c>
      <c r="AC546">
        <v>685</v>
      </c>
      <c r="AD546">
        <v>1.61</v>
      </c>
      <c r="AE546">
        <v>416</v>
      </c>
      <c r="AF546">
        <v>0.7</v>
      </c>
      <c r="AG546">
        <v>0</v>
      </c>
      <c r="AH546">
        <v>0.0409999999999999</v>
      </c>
      <c r="AI546">
        <v>15.58</v>
      </c>
      <c r="AJ546">
        <v>0.44</v>
      </c>
      <c r="AK546">
        <v>0</v>
      </c>
      <c r="AL546">
        <v>0</v>
      </c>
      <c r="AM546">
        <v>0</v>
      </c>
      <c r="AN546">
        <v>0</v>
      </c>
      <c r="AO546">
        <v>0</v>
      </c>
      <c r="AP546">
        <v>1</v>
      </c>
      <c r="AQ546">
        <v>0.435</v>
      </c>
      <c r="AR546">
        <v>0</v>
      </c>
      <c r="AS546" s="3">
        <v>46107.771516203706</v>
      </c>
    </row>
    <row r="547" ht="25.5" customHeight="1">
      <c r="A547" t="inlineStr">
        <is>
          <t>65d3083a0000000005031d85</t>
        </is>
      </c>
      <c r="B547" s="2" t="str">
        <f>=HYPERLINK("https://www.xiaohongshu.com/user/profile/65d3083a0000000005031d85", "https://www.xiaohongshu.com/user/profile/65d3083a0000000005031d85")</f>
        <v>https://www.xiaohongshu.com/user/profile/65d3083a0000000005031d85</v>
      </c>
      <c r="C547" s="2" t="str">
        <f>=HYPERLINK("https://pgy.xiaohongshu.com/solar/pre-trade/blogger-detail/65d3083a0000000005031d85", "https://pgy.xiaohongshu.com/solar/pre-trade/blogger-detail/65d3083a0000000005031d85")</f>
        <v>https://pgy.xiaohongshu.com/solar/pre-trade/blogger-detail/65d3083a0000000005031d85</v>
      </c>
      <c r="D547" t="inlineStr">
        <is>
          <t>女</t>
        </is>
      </c>
      <c r="E547" t="inlineStr">
        <is>
          <t>10731528567</t>
        </is>
      </c>
      <c r="F547" t="inlineStr">
        <is>
          <t>卡哇伊单词</t>
        </is>
      </c>
      <c r="G547" t="inlineStr">
        <is>
          <t>广东 深圳 福田区</t>
        </is>
      </c>
      <c r="H547" t="inlineStr">
        <is>
          <t>学生, 翻译</t>
        </is>
      </c>
      <c r="I547" t="inlineStr">
        <is>
          <t>教育</t>
        </is>
      </c>
      <c r="J547">
        <v>9834</v>
      </c>
      <c r="K547" t="inlineStr">
        <is>
          <t>1.0</t>
        </is>
      </c>
      <c r="L547">
        <v>11581</v>
      </c>
      <c r="M547">
        <v>1947</v>
      </c>
      <c r="N547">
        <v>162</v>
      </c>
      <c r="O547">
        <v>111</v>
      </c>
      <c r="P547">
        <v>0</v>
      </c>
      <c r="Q547">
        <v>0.474</v>
      </c>
      <c r="R547">
        <v>11581</v>
      </c>
      <c r="S547">
        <v>1947</v>
      </c>
      <c r="T547">
        <v>132</v>
      </c>
      <c r="U547">
        <v>0.39</v>
      </c>
      <c r="V547">
        <v>111</v>
      </c>
      <c r="W547">
        <v>0.474</v>
      </c>
      <c r="X547">
        <v>0</v>
      </c>
      <c r="Y547">
        <v>12.15</v>
      </c>
      <c r="Z547">
        <v>1.22</v>
      </c>
      <c r="AA547">
        <v>0</v>
      </c>
      <c r="AB547">
        <v>0</v>
      </c>
      <c r="AC547">
        <v>0</v>
      </c>
      <c r="AD547">
        <v>0</v>
      </c>
      <c r="AE547">
        <v>300</v>
      </c>
      <c r="AF547">
        <v>0</v>
      </c>
      <c r="AG547">
        <v>0</v>
      </c>
      <c r="AH547">
        <v>0</v>
      </c>
      <c r="AI547">
        <v>0</v>
      </c>
      <c r="AJ547">
        <v>0</v>
      </c>
      <c r="AK547">
        <v>3849</v>
      </c>
      <c r="AL547">
        <v>285</v>
      </c>
      <c r="AM547">
        <v>28</v>
      </c>
      <c r="AN547">
        <v>0</v>
      </c>
      <c r="AO547">
        <v>0.8</v>
      </c>
      <c r="AP547">
        <v>0.964</v>
      </c>
      <c r="AQ547">
        <v>0.0579999999999999</v>
      </c>
      <c r="AR547">
        <v>0.051</v>
      </c>
      <c r="AS547" s="3">
        <v>46107.771516203706</v>
      </c>
    </row>
    <row r="548" ht="25.5" customHeight="1">
      <c r="A548" t="inlineStr">
        <is>
          <t>6966403b0000000032024caa</t>
        </is>
      </c>
      <c r="B548" s="2" t="str">
        <f>=HYPERLINK("https://www.xiaohongshu.com/user/profile/6966403b0000000032024caa", "https://www.xiaohongshu.com/user/profile/6966403b0000000032024caa")</f>
        <v>https://www.xiaohongshu.com/user/profile/6966403b0000000032024caa</v>
      </c>
      <c r="C548" s="2" t="str">
        <f>=HYPERLINK("https://pgy.xiaohongshu.com/solar/pre-trade/blogger-detail/6966403b0000000032024caa", "https://pgy.xiaohongshu.com/solar/pre-trade/blogger-detail/6966403b0000000032024caa")</f>
        <v>https://pgy.xiaohongshu.com/solar/pre-trade/blogger-detail/6966403b0000000032024caa</v>
      </c>
      <c r="D548" t="inlineStr">
        <is>
          <t>女</t>
        </is>
      </c>
      <c r="E548" t="inlineStr">
        <is>
          <t>95152586076</t>
        </is>
      </c>
      <c r="F548" t="inlineStr">
        <is>
          <t>言蹊WithEnglish</t>
        </is>
      </c>
      <c r="G548" t="inlineStr">
        <is>
          <t>贵州 贵阳 花溪区</t>
        </is>
      </c>
      <c r="H548"/>
      <c r="I548" t="inlineStr">
        <is>
          <t>教育</t>
        </is>
      </c>
      <c r="J548">
        <v>3540</v>
      </c>
      <c r="K548" t="inlineStr">
        <is>
          <t>0.4</t>
        </is>
      </c>
      <c r="L548">
        <v>11514</v>
      </c>
      <c r="M548">
        <v>2067</v>
      </c>
      <c r="N548">
        <v>236</v>
      </c>
      <c r="O548">
        <v>175</v>
      </c>
      <c r="P548">
        <v>0.0559999999999999</v>
      </c>
      <c r="Q548">
        <v>0.611</v>
      </c>
      <c r="R548">
        <v>10068</v>
      </c>
      <c r="S548">
        <v>789</v>
      </c>
      <c r="T548">
        <v>70</v>
      </c>
      <c r="U548">
        <v>0.52</v>
      </c>
      <c r="V548">
        <v>175</v>
      </c>
      <c r="W548">
        <v>0</v>
      </c>
      <c r="X548">
        <v>0</v>
      </c>
      <c r="Y548">
        <v>17.38</v>
      </c>
      <c r="Z548">
        <v>2.24</v>
      </c>
      <c r="AA548">
        <v>11822</v>
      </c>
      <c r="AB548">
        <v>2245</v>
      </c>
      <c r="AC548">
        <v>193</v>
      </c>
      <c r="AD548">
        <v>1.63</v>
      </c>
      <c r="AE548">
        <v>266</v>
      </c>
      <c r="AF548">
        <v>0.647</v>
      </c>
      <c r="AG548">
        <v>0.059</v>
      </c>
      <c r="AH548">
        <v>0.021</v>
      </c>
      <c r="AI548">
        <v>23.1</v>
      </c>
      <c r="AJ548">
        <v>1.13</v>
      </c>
      <c r="AK548">
        <v>1309</v>
      </c>
      <c r="AL548">
        <v>185</v>
      </c>
      <c r="AM548">
        <v>33</v>
      </c>
      <c r="AN548">
        <v>0</v>
      </c>
      <c r="AO548">
        <v>0</v>
      </c>
      <c r="AP548">
        <v>1</v>
      </c>
      <c r="AQ548">
        <v>0.425</v>
      </c>
      <c r="AR548">
        <v>0</v>
      </c>
      <c r="AS548" s="3">
        <v>46107.771516203706</v>
      </c>
    </row>
    <row r="549" ht="25.5" customHeight="1">
      <c r="A549" t="inlineStr">
        <is>
          <t>661f60710000000007004f97</t>
        </is>
      </c>
      <c r="B549" s="2" t="str">
        <f>=HYPERLINK("https://www.xiaohongshu.com/user/profile/661f60710000000007004f97", "https://www.xiaohongshu.com/user/profile/661f60710000000007004f97")</f>
        <v>https://www.xiaohongshu.com/user/profile/661f60710000000007004f97</v>
      </c>
      <c r="C549" s="2" t="str">
        <f>=HYPERLINK("https://pgy.xiaohongshu.com/solar/pre-trade/blogger-detail/661f60710000000007004f97", "https://pgy.xiaohongshu.com/solar/pre-trade/blogger-detail/661f60710000000007004f97")</f>
        <v>https://pgy.xiaohongshu.com/solar/pre-trade/blogger-detail/661f60710000000007004f97</v>
      </c>
      <c r="D549" t="inlineStr">
        <is>
          <t>男</t>
        </is>
      </c>
      <c r="E549" t="inlineStr">
        <is>
          <t>11605728900</t>
        </is>
      </c>
      <c r="F549" t="inlineStr">
        <is>
          <t>艾伦陈Z</t>
        </is>
      </c>
      <c r="G549" t="inlineStr">
        <is>
          <t>浙江 金华 兰溪市</t>
        </is>
      </c>
      <c r="H549" t="inlineStr">
        <is>
          <t>摄影师</t>
        </is>
      </c>
      <c r="I549" t="inlineStr">
        <is>
          <t>教育, 生活记录</t>
        </is>
      </c>
      <c r="J549">
        <v>12066</v>
      </c>
      <c r="K549" t="inlineStr">
        <is>
          <t>1.2</t>
        </is>
      </c>
      <c r="L549">
        <v>5575</v>
      </c>
      <c r="M549">
        <v>2154</v>
      </c>
      <c r="N549">
        <v>137</v>
      </c>
      <c r="O549">
        <v>1000</v>
      </c>
      <c r="P549">
        <v>0</v>
      </c>
      <c r="Q549">
        <v>0.304</v>
      </c>
      <c r="R549">
        <v>0</v>
      </c>
      <c r="S549">
        <v>0</v>
      </c>
      <c r="T549">
        <v>0</v>
      </c>
      <c r="U549">
        <v>0</v>
      </c>
      <c r="V549">
        <v>1000</v>
      </c>
      <c r="W549">
        <v>0</v>
      </c>
      <c r="X549">
        <v>0</v>
      </c>
      <c r="Y549">
        <v>0</v>
      </c>
      <c r="Z549">
        <v>0</v>
      </c>
      <c r="AA549">
        <v>5575</v>
      </c>
      <c r="AB549">
        <v>2154</v>
      </c>
      <c r="AC549">
        <v>108</v>
      </c>
      <c r="AD549">
        <v>3.82</v>
      </c>
      <c r="AE549">
        <v>5000</v>
      </c>
      <c r="AF549">
        <v>0.304</v>
      </c>
      <c r="AG549">
        <v>0</v>
      </c>
      <c r="AH549">
        <v>0.168</v>
      </c>
      <c r="AI549">
        <v>896.86</v>
      </c>
      <c r="AJ549">
        <v>36.5</v>
      </c>
      <c r="AK549">
        <v>0</v>
      </c>
      <c r="AL549">
        <v>0</v>
      </c>
      <c r="AM549">
        <v>0</v>
      </c>
      <c r="AN549">
        <v>0</v>
      </c>
      <c r="AO549">
        <v>0</v>
      </c>
      <c r="AP549">
        <v>0.959</v>
      </c>
      <c r="AQ549">
        <v>0.083</v>
      </c>
      <c r="AR549">
        <v>0.149</v>
      </c>
      <c r="AS549" s="3">
        <v>46107.771516203706</v>
      </c>
    </row>
    <row r="550" ht="25.5" customHeight="1">
      <c r="A550" t="inlineStr">
        <is>
          <t>65fa4fb6000000000600e72e</t>
        </is>
      </c>
      <c r="B550" s="2" t="str">
        <f>=HYPERLINK("https://www.xiaohongshu.com/user/profile/65fa4fb6000000000600e72e", "https://www.xiaohongshu.com/user/profile/65fa4fb6000000000600e72e")</f>
        <v>https://www.xiaohongshu.com/user/profile/65fa4fb6000000000600e72e</v>
      </c>
      <c r="C550" s="2" t="str">
        <f>=HYPERLINK("https://pgy.xiaohongshu.com/solar/pre-trade/blogger-detail/65fa4fb6000000000600e72e", "https://pgy.xiaohongshu.com/solar/pre-trade/blogger-detail/65fa4fb6000000000600e72e")</f>
        <v>https://pgy.xiaohongshu.com/solar/pre-trade/blogger-detail/65fa4fb6000000000600e72e</v>
      </c>
      <c r="D550" t="inlineStr">
        <is>
          <t>女</t>
        </is>
      </c>
      <c r="E550" t="inlineStr">
        <is>
          <t>11176764783</t>
        </is>
      </c>
      <c r="F550" t="inlineStr">
        <is>
          <t>幸运超人爱红提</t>
        </is>
      </c>
      <c r="G550" t="inlineStr">
        <is>
          <t>湖北 武汉 洪山区</t>
        </is>
      </c>
      <c r="H550" t="inlineStr">
        <is>
          <t>考研过来人, 法考过来人</t>
        </is>
      </c>
      <c r="I550" t="inlineStr">
        <is>
          <t>教育</t>
        </is>
      </c>
      <c r="J550">
        <v>7905</v>
      </c>
      <c r="K550" t="inlineStr">
        <is>
          <t>0.8</t>
        </is>
      </c>
      <c r="L550">
        <v>6068</v>
      </c>
      <c r="M550">
        <v>1354</v>
      </c>
      <c r="N550">
        <v>142</v>
      </c>
      <c r="O550">
        <v>800</v>
      </c>
      <c r="P550">
        <v>0</v>
      </c>
      <c r="Q550">
        <v>0.429</v>
      </c>
      <c r="R550">
        <v>6068</v>
      </c>
      <c r="S550">
        <v>1354</v>
      </c>
      <c r="T550">
        <v>139</v>
      </c>
      <c r="U550">
        <v>0.89</v>
      </c>
      <c r="V550">
        <v>800</v>
      </c>
      <c r="W550">
        <v>0.429</v>
      </c>
      <c r="X550">
        <v>0</v>
      </c>
      <c r="Y550">
        <v>131.84</v>
      </c>
      <c r="Z550">
        <v>5.63</v>
      </c>
      <c r="AA550">
        <v>0</v>
      </c>
      <c r="AB550">
        <v>0</v>
      </c>
      <c r="AC550">
        <v>0</v>
      </c>
      <c r="AD550">
        <v>0</v>
      </c>
      <c r="AE550">
        <v>1000</v>
      </c>
      <c r="AF550">
        <v>0</v>
      </c>
      <c r="AG550">
        <v>0</v>
      </c>
      <c r="AH550">
        <v>0</v>
      </c>
      <c r="AI550">
        <v>0</v>
      </c>
      <c r="AJ550">
        <v>0</v>
      </c>
      <c r="AK550">
        <v>0</v>
      </c>
      <c r="AL550">
        <v>0</v>
      </c>
      <c r="AM550">
        <v>0</v>
      </c>
      <c r="AN550">
        <v>0</v>
      </c>
      <c r="AO550">
        <v>0</v>
      </c>
      <c r="AP550">
        <v>0.875999999999999</v>
      </c>
      <c r="AQ550">
        <v>0.032</v>
      </c>
      <c r="AR550">
        <v>0.011</v>
      </c>
      <c r="AS550" s="3">
        <v>46107.771516203706</v>
      </c>
    </row>
    <row r="551" ht="25.5" customHeight="1">
      <c r="A551" t="inlineStr">
        <is>
          <t>5f314572000000000101f262</t>
        </is>
      </c>
      <c r="B551" s="2" t="str">
        <f>=HYPERLINK("https://www.xiaohongshu.com/user/profile/5f314572000000000101f262", "https://www.xiaohongshu.com/user/profile/5f314572000000000101f262")</f>
        <v>https://www.xiaohongshu.com/user/profile/5f314572000000000101f262</v>
      </c>
      <c r="C551" s="2" t="str">
        <f>=HYPERLINK("https://pgy.xiaohongshu.com/solar/pre-trade/blogger-detail/5f314572000000000101f262", "https://pgy.xiaohongshu.com/solar/pre-trade/blogger-detail/5f314572000000000101f262")</f>
        <v>https://pgy.xiaohongshu.com/solar/pre-trade/blogger-detail/5f314572000000000101f262</v>
      </c>
      <c r="D551" t="inlineStr">
        <is>
          <t>男</t>
        </is>
      </c>
      <c r="E551" t="inlineStr">
        <is>
          <t>329634023</t>
        </is>
      </c>
      <c r="F551" t="inlineStr">
        <is>
          <t>THANK</t>
        </is>
      </c>
      <c r="G551" t="inlineStr">
        <is>
          <t>上海</t>
        </is>
      </c>
      <c r="H551" t="inlineStr">
        <is>
          <t>考研过来人, 学生</t>
        </is>
      </c>
      <c r="I551" t="inlineStr">
        <is>
          <t>教育</t>
        </is>
      </c>
      <c r="J551">
        <v>95952</v>
      </c>
      <c r="K551" t="inlineStr">
        <is>
          <t>9.6</t>
        </is>
      </c>
      <c r="L551">
        <v>19269</v>
      </c>
      <c r="M551">
        <v>3626</v>
      </c>
      <c r="N551">
        <v>302</v>
      </c>
      <c r="O551">
        <v>6800</v>
      </c>
      <c r="P551">
        <v>0.429</v>
      </c>
      <c r="Q551">
        <v>0.857</v>
      </c>
      <c r="R551">
        <v>15717</v>
      </c>
      <c r="S551">
        <v>3128</v>
      </c>
      <c r="T551">
        <v>259</v>
      </c>
      <c r="U551">
        <v>0.93</v>
      </c>
      <c r="V551">
        <v>6800</v>
      </c>
      <c r="W551">
        <v>0.833</v>
      </c>
      <c r="X551">
        <v>0.332999999999999</v>
      </c>
      <c r="Y551">
        <v>128.39</v>
      </c>
      <c r="Z551">
        <v>11.97</v>
      </c>
      <c r="AA551">
        <v>129672</v>
      </c>
      <c r="AB551">
        <v>30940</v>
      </c>
      <c r="AC551">
        <v>3710</v>
      </c>
      <c r="AD551">
        <v>2.23</v>
      </c>
      <c r="AE551">
        <v>11000</v>
      </c>
      <c r="AF551">
        <v>1</v>
      </c>
      <c r="AG551">
        <v>1</v>
      </c>
      <c r="AH551">
        <v>0.061</v>
      </c>
      <c r="AI551">
        <v>138.64</v>
      </c>
      <c r="AJ551">
        <v>4.37</v>
      </c>
      <c r="AK551">
        <v>96381</v>
      </c>
      <c r="AL551">
        <v>15147</v>
      </c>
      <c r="AM551">
        <v>2353</v>
      </c>
      <c r="AN551">
        <v>0</v>
      </c>
      <c r="AO551">
        <v>0</v>
      </c>
      <c r="AP551">
        <v>0.807999999999999</v>
      </c>
      <c r="AQ551">
        <v>0.044</v>
      </c>
      <c r="AR551">
        <v>0.009</v>
      </c>
      <c r="AS551" s="3">
        <v>46107.771516203706</v>
      </c>
    </row>
    <row r="552" ht="25.5" customHeight="1">
      <c r="A552" t="inlineStr">
        <is>
          <t>5ce9635d0000000018006b5b</t>
        </is>
      </c>
      <c r="B552" s="2" t="str">
        <f>=HYPERLINK("https://www.xiaohongshu.com/user/profile/5ce9635d0000000018006b5b", "https://www.xiaohongshu.com/user/profile/5ce9635d0000000018006b5b")</f>
        <v>https://www.xiaohongshu.com/user/profile/5ce9635d0000000018006b5b</v>
      </c>
      <c r="C552" s="2" t="str">
        <f>=HYPERLINK("https://pgy.xiaohongshu.com/solar/pre-trade/blogger-detail/5ce9635d0000000018006b5b", "https://pgy.xiaohongshu.com/solar/pre-trade/blogger-detail/5ce9635d0000000018006b5b")</f>
        <v>https://pgy.xiaohongshu.com/solar/pre-trade/blogger-detail/5ce9635d0000000018006b5b</v>
      </c>
      <c r="D552" t="inlineStr">
        <is>
          <t>男</t>
        </is>
      </c>
      <c r="E552" t="inlineStr">
        <is>
          <t>XHSHe230306</t>
        </is>
      </c>
      <c r="F552" t="inlineStr">
        <is>
          <t>大帆-Germán</t>
        </is>
      </c>
      <c r="G552" t="inlineStr">
        <is>
          <t>浙江 金华 义乌市</t>
        </is>
      </c>
      <c r="H552" t="inlineStr">
        <is>
          <t>创业者, 主持人, 留学背景, 主播</t>
        </is>
      </c>
      <c r="I552" t="inlineStr">
        <is>
          <t>职场</t>
        </is>
      </c>
      <c r="J552">
        <v>49245</v>
      </c>
      <c r="K552" t="inlineStr">
        <is>
          <t>4.9</t>
        </is>
      </c>
      <c r="L552">
        <v>5506</v>
      </c>
      <c r="M552">
        <v>1264</v>
      </c>
      <c r="N552">
        <v>104</v>
      </c>
      <c r="O552">
        <v>3200</v>
      </c>
      <c r="P552">
        <v>0</v>
      </c>
      <c r="Q552">
        <v>0.3</v>
      </c>
      <c r="R552">
        <v>0</v>
      </c>
      <c r="S552">
        <v>0</v>
      </c>
      <c r="T552">
        <v>0</v>
      </c>
      <c r="U552">
        <v>0</v>
      </c>
      <c r="V552">
        <v>3200</v>
      </c>
      <c r="W552">
        <v>0</v>
      </c>
      <c r="X552">
        <v>0</v>
      </c>
      <c r="Y552">
        <v>0</v>
      </c>
      <c r="Z552">
        <v>0</v>
      </c>
      <c r="AA552">
        <v>5506</v>
      </c>
      <c r="AB552">
        <v>1264</v>
      </c>
      <c r="AC552">
        <v>99</v>
      </c>
      <c r="AD552">
        <v>5.06</v>
      </c>
      <c r="AE552">
        <v>4500</v>
      </c>
      <c r="AF552">
        <v>0.3</v>
      </c>
      <c r="AG552">
        <v>0</v>
      </c>
      <c r="AH552">
        <v>0.051</v>
      </c>
      <c r="AI552">
        <v>817.29</v>
      </c>
      <c r="AJ552">
        <v>43.06</v>
      </c>
      <c r="AK552">
        <v>0</v>
      </c>
      <c r="AL552">
        <v>0</v>
      </c>
      <c r="AM552">
        <v>0</v>
      </c>
      <c r="AN552">
        <v>0</v>
      </c>
      <c r="AO552">
        <v>0</v>
      </c>
      <c r="AP552">
        <v>0.555</v>
      </c>
      <c r="AQ552">
        <v>0.0289999999999999</v>
      </c>
      <c r="AR552">
        <v>0.019</v>
      </c>
      <c r="AS552" s="3">
        <v>46107.771516203706</v>
      </c>
    </row>
    <row r="553" ht="25.5" customHeight="1">
      <c r="A553" t="inlineStr">
        <is>
          <t>5ac9f9e0e8ac2b76fecc0e16</t>
        </is>
      </c>
      <c r="B553" s="2" t="str">
        <f>=HYPERLINK("https://www.xiaohongshu.com/user/profile/5ac9f9e0e8ac2b76fecc0e16", "https://www.xiaohongshu.com/user/profile/5ac9f9e0e8ac2b76fecc0e16")</f>
        <v>https://www.xiaohongshu.com/user/profile/5ac9f9e0e8ac2b76fecc0e16</v>
      </c>
      <c r="C553" s="2" t="str">
        <f>=HYPERLINK("https://pgy.xiaohongshu.com/solar/pre-trade/blogger-detail/5ac9f9e0e8ac2b76fecc0e16", "https://pgy.xiaohongshu.com/solar/pre-trade/blogger-detail/5ac9f9e0e8ac2b76fecc0e16")</f>
        <v>https://pgy.xiaohongshu.com/solar/pre-trade/blogger-detail/5ac9f9e0e8ac2b76fecc0e16</v>
      </c>
      <c r="D553" t="inlineStr">
        <is>
          <t>女</t>
        </is>
      </c>
      <c r="E553" t="inlineStr">
        <is>
          <t>187519221</t>
        </is>
      </c>
      <c r="F553" t="inlineStr">
        <is>
          <t>登登哇</t>
        </is>
      </c>
      <c r="G553" t="inlineStr">
        <is>
          <t>上海</t>
        </is>
      </c>
      <c r="H553"/>
      <c r="I553" t="inlineStr">
        <is>
          <t>教育, 生活记录</t>
        </is>
      </c>
      <c r="J553">
        <v>317191</v>
      </c>
      <c r="K553" t="inlineStr">
        <is>
          <t>31.7</t>
        </is>
      </c>
      <c r="L553">
        <v>43323</v>
      </c>
      <c r="M553">
        <v>13220</v>
      </c>
      <c r="N553">
        <v>728</v>
      </c>
      <c r="O553">
        <v>8500</v>
      </c>
      <c r="P553">
        <v>0.332999999999999</v>
      </c>
      <c r="Q553">
        <v>0.833</v>
      </c>
      <c r="R553">
        <v>22390</v>
      </c>
      <c r="S553">
        <v>1780</v>
      </c>
      <c r="T553">
        <v>75</v>
      </c>
      <c r="U553">
        <v>5.08</v>
      </c>
      <c r="V553">
        <v>8500</v>
      </c>
      <c r="W553">
        <v>0</v>
      </c>
      <c r="X553">
        <v>0</v>
      </c>
      <c r="Y553">
        <v>379.63</v>
      </c>
      <c r="Z553">
        <v>110.39</v>
      </c>
      <c r="AA553">
        <v>43603</v>
      </c>
      <c r="AB553">
        <v>17823</v>
      </c>
      <c r="AC553">
        <v>812</v>
      </c>
      <c r="AD553">
        <v>1.84</v>
      </c>
      <c r="AE553">
        <v>9000</v>
      </c>
      <c r="AF553">
        <v>1</v>
      </c>
      <c r="AG553">
        <v>0.4</v>
      </c>
      <c r="AH553">
        <v>0.134</v>
      </c>
      <c r="AI553">
        <v>207.74</v>
      </c>
      <c r="AJ553">
        <v>11.46</v>
      </c>
      <c r="AK553">
        <v>202066</v>
      </c>
      <c r="AL553">
        <v>35882</v>
      </c>
      <c r="AM553">
        <v>300</v>
      </c>
      <c r="AN553">
        <v>0</v>
      </c>
      <c r="AO553">
        <v>0</v>
      </c>
      <c r="AP553">
        <v>0.712</v>
      </c>
      <c r="AQ553">
        <v>0.006</v>
      </c>
      <c r="AR553">
        <v>0</v>
      </c>
      <c r="AS553" s="3">
        <v>46107.771516203706</v>
      </c>
    </row>
    <row r="554" ht="25.5" customHeight="1">
      <c r="A554" t="inlineStr">
        <is>
          <t>62af0594000000001b02b839</t>
        </is>
      </c>
      <c r="B554" s="2" t="str">
        <f>=HYPERLINK("https://www.xiaohongshu.com/user/profile/62af0594000000001b02b839", "https://www.xiaohongshu.com/user/profile/62af0594000000001b02b839")</f>
        <v>https://www.xiaohongshu.com/user/profile/62af0594000000001b02b839</v>
      </c>
      <c r="C554" s="2" t="str">
        <f>=HYPERLINK("https://pgy.xiaohongshu.com/solar/pre-trade/blogger-detail/62af0594000000001b02b839", "https://pgy.xiaohongshu.com/solar/pre-trade/blogger-detail/62af0594000000001b02b839")</f>
        <v>https://pgy.xiaohongshu.com/solar/pre-trade/blogger-detail/62af0594000000001b02b839</v>
      </c>
      <c r="D554" t="inlineStr">
        <is>
          <t>男</t>
        </is>
      </c>
      <c r="E554" t="inlineStr">
        <is>
          <t>4153931132</t>
        </is>
      </c>
      <c r="F554" t="inlineStr">
        <is>
          <t>Oakhere</t>
        </is>
      </c>
      <c r="G554" t="inlineStr">
        <is>
          <t>湖北 武汉 洪山区</t>
        </is>
      </c>
      <c r="H554" t="inlineStr">
        <is>
          <t>学生</t>
        </is>
      </c>
      <c r="I554" t="inlineStr">
        <is>
          <t>教育, 生活记录</t>
        </is>
      </c>
      <c r="J554">
        <v>13282</v>
      </c>
      <c r="K554" t="inlineStr">
        <is>
          <t>1.3</t>
        </is>
      </c>
      <c r="L554">
        <v>11978</v>
      </c>
      <c r="M554">
        <v>1829</v>
      </c>
      <c r="N554">
        <v>173</v>
      </c>
      <c r="O554">
        <v>700</v>
      </c>
      <c r="P554">
        <v>0.222</v>
      </c>
      <c r="Q554">
        <v>0.667</v>
      </c>
      <c r="R554">
        <v>11978</v>
      </c>
      <c r="S554">
        <v>1829</v>
      </c>
      <c r="T554">
        <v>173</v>
      </c>
      <c r="U554">
        <v>0.68</v>
      </c>
      <c r="V554">
        <v>700</v>
      </c>
      <c r="W554">
        <v>0.667</v>
      </c>
      <c r="X554">
        <v>0.222</v>
      </c>
      <c r="Y554">
        <v>58.44</v>
      </c>
      <c r="Z554">
        <v>4.05</v>
      </c>
      <c r="AA554">
        <v>0</v>
      </c>
      <c r="AB554">
        <v>0</v>
      </c>
      <c r="AC554">
        <v>0</v>
      </c>
      <c r="AD554">
        <v>0</v>
      </c>
      <c r="AE554">
        <v>0</v>
      </c>
      <c r="AF554">
        <v>0</v>
      </c>
      <c r="AG554">
        <v>0</v>
      </c>
      <c r="AH554">
        <v>0</v>
      </c>
      <c r="AI554">
        <v>0</v>
      </c>
      <c r="AJ554">
        <v>0</v>
      </c>
      <c r="AK554">
        <v>0</v>
      </c>
      <c r="AL554">
        <v>0</v>
      </c>
      <c r="AM554">
        <v>0</v>
      </c>
      <c r="AN554">
        <v>0</v>
      </c>
      <c r="AO554">
        <v>0</v>
      </c>
      <c r="AP554">
        <v>0.804</v>
      </c>
      <c r="AQ554">
        <v>0.059</v>
      </c>
      <c r="AR554">
        <v>0.047</v>
      </c>
      <c r="AS554" s="3">
        <v>46107.771516203706</v>
      </c>
    </row>
    <row r="555" ht="25.5" customHeight="1">
      <c r="A555" t="inlineStr">
        <is>
          <t>5d29bdf3000000001002494c</t>
        </is>
      </c>
      <c r="B555" s="2" t="str">
        <f>=HYPERLINK("https://www.xiaohongshu.com/user/profile/5d29bdf3000000001002494c", "https://www.xiaohongshu.com/user/profile/5d29bdf3000000001002494c")</f>
        <v>https://www.xiaohongshu.com/user/profile/5d29bdf3000000001002494c</v>
      </c>
      <c r="C555" s="2" t="str">
        <f>=HYPERLINK("https://pgy.xiaohongshu.com/solar/pre-trade/blogger-detail/5d29bdf3000000001002494c", "https://pgy.xiaohongshu.com/solar/pre-trade/blogger-detail/5d29bdf3000000001002494c")</f>
        <v>https://pgy.xiaohongshu.com/solar/pre-trade/blogger-detail/5d29bdf3000000001002494c</v>
      </c>
      <c r="D555" t="inlineStr">
        <is>
          <t>女</t>
        </is>
      </c>
      <c r="E555" t="inlineStr">
        <is>
          <t>363830289</t>
        </is>
      </c>
      <c r="F555" t="inlineStr">
        <is>
          <t>猫斯密达</t>
        </is>
      </c>
      <c r="G555" t="inlineStr">
        <is>
          <t>马来西亚</t>
        </is>
      </c>
      <c r="H555" t="inlineStr">
        <is>
          <t>学生, 留学背景, 独居人群</t>
        </is>
      </c>
      <c r="I555" t="inlineStr">
        <is>
          <t>教育, 生活记录</t>
        </is>
      </c>
      <c r="J555">
        <v>4650</v>
      </c>
      <c r="K555" t="inlineStr">
        <is>
          <t>0.5</t>
        </is>
      </c>
      <c r="L555">
        <v>11893</v>
      </c>
      <c r="M555">
        <v>1597</v>
      </c>
      <c r="N555">
        <v>252</v>
      </c>
      <c r="O555">
        <v>460</v>
      </c>
      <c r="P555">
        <v>0</v>
      </c>
      <c r="Q555">
        <v>0.667</v>
      </c>
      <c r="R555">
        <v>0</v>
      </c>
      <c r="S555">
        <v>0</v>
      </c>
      <c r="T555">
        <v>0</v>
      </c>
      <c r="U555">
        <v>0</v>
      </c>
      <c r="V555">
        <v>460</v>
      </c>
      <c r="W555">
        <v>0</v>
      </c>
      <c r="X555">
        <v>0</v>
      </c>
      <c r="Y555">
        <v>0</v>
      </c>
      <c r="Z555">
        <v>0</v>
      </c>
      <c r="AA555">
        <v>11893</v>
      </c>
      <c r="AB555">
        <v>1597</v>
      </c>
      <c r="AC555">
        <v>215</v>
      </c>
      <c r="AD555">
        <v>2.07</v>
      </c>
      <c r="AE555">
        <v>800</v>
      </c>
      <c r="AF555">
        <v>0.667</v>
      </c>
      <c r="AG555">
        <v>0</v>
      </c>
      <c r="AH555">
        <v>0.166</v>
      </c>
      <c r="AI555">
        <v>74.62</v>
      </c>
      <c r="AJ555">
        <v>2.97</v>
      </c>
      <c r="AK555">
        <v>9548</v>
      </c>
      <c r="AL555">
        <v>1221</v>
      </c>
      <c r="AM555">
        <v>263</v>
      </c>
      <c r="AN555">
        <v>0</v>
      </c>
      <c r="AO555">
        <v>0</v>
      </c>
      <c r="AP555">
        <v>0.715</v>
      </c>
      <c r="AQ555">
        <v>0.044</v>
      </c>
      <c r="AR555">
        <v>0.036</v>
      </c>
      <c r="AS555" s="3">
        <v>46107.771516203706</v>
      </c>
    </row>
    <row r="556" ht="25.5" customHeight="1">
      <c r="A556" t="inlineStr">
        <is>
          <t>66b23369000000001d0311ab</t>
        </is>
      </c>
      <c r="B556" s="2" t="str">
        <f>=HYPERLINK("https://www.xiaohongshu.com/user/profile/66b23369000000001d0311ab", "https://www.xiaohongshu.com/user/profile/66b23369000000001d0311ab")</f>
        <v>https://www.xiaohongshu.com/user/profile/66b23369000000001d0311ab</v>
      </c>
      <c r="C556" s="2" t="str">
        <f>=HYPERLINK("https://pgy.xiaohongshu.com/solar/pre-trade/blogger-detail/66b23369000000001d0311ab", "https://pgy.xiaohongshu.com/solar/pre-trade/blogger-detail/66b23369000000001d0311ab")</f>
        <v>https://pgy.xiaohongshu.com/solar/pre-trade/blogger-detail/66b23369000000001d0311ab</v>
      </c>
      <c r="D556" t="inlineStr">
        <is>
          <t>女</t>
        </is>
      </c>
      <c r="E556" t="inlineStr">
        <is>
          <t>94114973289</t>
        </is>
      </c>
      <c r="F556" t="inlineStr">
        <is>
          <t>Jihae_</t>
        </is>
      </c>
      <c r="G556" t="inlineStr">
        <is>
          <t>韩国</t>
        </is>
      </c>
      <c r="H556"/>
      <c r="I556" t="inlineStr">
        <is>
          <t>教育</t>
        </is>
      </c>
      <c r="J556">
        <v>1437</v>
      </c>
      <c r="K556" t="inlineStr">
        <is>
          <t>0.1</t>
        </is>
      </c>
      <c r="L556">
        <v>28651</v>
      </c>
      <c r="M556">
        <v>5487</v>
      </c>
      <c r="N556">
        <v>846</v>
      </c>
      <c r="O556">
        <v>120</v>
      </c>
      <c r="P556">
        <v>0</v>
      </c>
      <c r="Q556">
        <v>1</v>
      </c>
      <c r="R556">
        <v>0</v>
      </c>
      <c r="S556">
        <v>0</v>
      </c>
      <c r="T556">
        <v>0</v>
      </c>
      <c r="U556">
        <v>0</v>
      </c>
      <c r="V556">
        <v>120</v>
      </c>
      <c r="W556">
        <v>0</v>
      </c>
      <c r="X556">
        <v>0</v>
      </c>
      <c r="Y556">
        <v>0</v>
      </c>
      <c r="Z556">
        <v>0</v>
      </c>
      <c r="AA556">
        <v>28651</v>
      </c>
      <c r="AB556">
        <v>5487</v>
      </c>
      <c r="AC556">
        <v>777</v>
      </c>
      <c r="AD556">
        <v>1.54</v>
      </c>
      <c r="AE556">
        <v>150</v>
      </c>
      <c r="AF556">
        <v>1</v>
      </c>
      <c r="AG556">
        <v>0</v>
      </c>
      <c r="AH556">
        <v>0.084</v>
      </c>
      <c r="AI556">
        <v>14.24</v>
      </c>
      <c r="AJ556">
        <v>0.2</v>
      </c>
      <c r="AK556">
        <v>11425</v>
      </c>
      <c r="AL556">
        <v>3383</v>
      </c>
      <c r="AM556">
        <v>593</v>
      </c>
      <c r="AN556">
        <v>0</v>
      </c>
      <c r="AO556">
        <v>6.43</v>
      </c>
      <c r="AP556">
        <v>0.9</v>
      </c>
      <c r="AQ556">
        <v>0.198999999999999</v>
      </c>
      <c r="AR556">
        <v>0</v>
      </c>
      <c r="AS556" s="3">
        <v>46107.771516203706</v>
      </c>
    </row>
    <row r="557" ht="25.5" customHeight="1">
      <c r="A557" t="inlineStr">
        <is>
          <t>601f7f66000000000101d4d8</t>
        </is>
      </c>
      <c r="B557" s="2" t="str">
        <f>=HYPERLINK("https://www.xiaohongshu.com/user/profile/601f7f66000000000101d4d8", "https://www.xiaohongshu.com/user/profile/601f7f66000000000101d4d8")</f>
        <v>https://www.xiaohongshu.com/user/profile/601f7f66000000000101d4d8</v>
      </c>
      <c r="C557" s="2" t="str">
        <f>=HYPERLINK("https://pgy.xiaohongshu.com/solar/pre-trade/blogger-detail/601f7f66000000000101d4d8", "https://pgy.xiaohongshu.com/solar/pre-trade/blogger-detail/601f7f66000000000101d4d8")</f>
        <v>https://pgy.xiaohongshu.com/solar/pre-trade/blogger-detail/601f7f66000000000101d4d8</v>
      </c>
      <c r="D557" t="inlineStr">
        <is>
          <t>女</t>
        </is>
      </c>
      <c r="E557" t="inlineStr">
        <is>
          <t>l18z08x05</t>
        </is>
      </c>
      <c r="F557" t="inlineStr">
        <is>
          <t>Coco牌电子榨菜</t>
        </is>
      </c>
      <c r="G557" t="inlineStr">
        <is>
          <t>美国</t>
        </is>
      </c>
      <c r="H557" t="inlineStr">
        <is>
          <t>留学背景, 海外华人, 学生</t>
        </is>
      </c>
      <c r="I557" t="inlineStr">
        <is>
          <t>教育</t>
        </is>
      </c>
      <c r="J557">
        <v>2810</v>
      </c>
      <c r="K557" t="inlineStr">
        <is>
          <t>0.3</t>
        </is>
      </c>
      <c r="L557">
        <v>6325</v>
      </c>
      <c r="M557">
        <v>1264</v>
      </c>
      <c r="N557">
        <v>152</v>
      </c>
      <c r="O557">
        <v>150</v>
      </c>
      <c r="P557">
        <v>0</v>
      </c>
      <c r="Q557">
        <v>1</v>
      </c>
      <c r="R557">
        <v>0</v>
      </c>
      <c r="S557">
        <v>0</v>
      </c>
      <c r="T557">
        <v>0</v>
      </c>
      <c r="U557">
        <v>0</v>
      </c>
      <c r="V557">
        <v>150</v>
      </c>
      <c r="W557">
        <v>0</v>
      </c>
      <c r="X557">
        <v>0</v>
      </c>
      <c r="Y557">
        <v>0</v>
      </c>
      <c r="Z557">
        <v>0</v>
      </c>
      <c r="AA557">
        <v>6325</v>
      </c>
      <c r="AB557">
        <v>1264</v>
      </c>
      <c r="AC557">
        <v>127</v>
      </c>
      <c r="AD557">
        <v>1.72</v>
      </c>
      <c r="AE557">
        <v>300</v>
      </c>
      <c r="AF557">
        <v>1</v>
      </c>
      <c r="AG557">
        <v>0</v>
      </c>
      <c r="AH557">
        <v>0.126</v>
      </c>
      <c r="AI557">
        <v>44.4</v>
      </c>
      <c r="AJ557">
        <v>1.71</v>
      </c>
      <c r="AK557">
        <v>7383</v>
      </c>
      <c r="AL557">
        <v>1669</v>
      </c>
      <c r="AM557">
        <v>242</v>
      </c>
      <c r="AN557">
        <v>0</v>
      </c>
      <c r="AO557">
        <v>0</v>
      </c>
      <c r="AP557">
        <v>0.883</v>
      </c>
      <c r="AQ557">
        <v>0.122</v>
      </c>
      <c r="AR557">
        <v>0.182</v>
      </c>
      <c r="AS557" s="3">
        <v>46107.771516203706</v>
      </c>
    </row>
    <row r="558" ht="25.5" customHeight="1">
      <c r="A558" t="inlineStr">
        <is>
          <t>6485f456000000001c028c57</t>
        </is>
      </c>
      <c r="B558" s="2" t="str">
        <f>=HYPERLINK("https://www.xiaohongshu.com/user/profile/6485f456000000001c028c57", "https://www.xiaohongshu.com/user/profile/6485f456000000001c028c57")</f>
        <v>https://www.xiaohongshu.com/user/profile/6485f456000000001c028c57</v>
      </c>
      <c r="C558" s="2" t="str">
        <f>=HYPERLINK("https://pgy.xiaohongshu.com/solar/pre-trade/blogger-detail/6485f456000000001c028c57", "https://pgy.xiaohongshu.com/solar/pre-trade/blogger-detail/6485f456000000001c028c57")</f>
        <v>https://pgy.xiaohongshu.com/solar/pre-trade/blogger-detail/6485f456000000001c028c57</v>
      </c>
      <c r="D558" t="inlineStr">
        <is>
          <t>男</t>
        </is>
      </c>
      <c r="E558" t="inlineStr">
        <is>
          <t>2206362233</t>
        </is>
      </c>
      <c r="F558" t="inlineStr">
        <is>
          <t>张只豪</t>
        </is>
      </c>
      <c r="G558" t="inlineStr">
        <is>
          <t>湖北 武汉 武昌区</t>
        </is>
      </c>
      <c r="H558" t="inlineStr">
        <is>
          <t>学生</t>
        </is>
      </c>
      <c r="I558" t="inlineStr">
        <is>
          <t>教育, 生活记录</t>
        </is>
      </c>
      <c r="J558">
        <v>5871</v>
      </c>
      <c r="K558" t="inlineStr">
        <is>
          <t>0.6</t>
        </is>
      </c>
      <c r="L558">
        <v>30956</v>
      </c>
      <c r="M558">
        <v>5435</v>
      </c>
      <c r="N558">
        <v>350</v>
      </c>
      <c r="O558">
        <v>600</v>
      </c>
      <c r="P558">
        <v>0</v>
      </c>
      <c r="Q558">
        <v>1</v>
      </c>
      <c r="R558">
        <v>30956</v>
      </c>
      <c r="S558">
        <v>5435</v>
      </c>
      <c r="T558">
        <v>326</v>
      </c>
      <c r="U558">
        <v>0.41</v>
      </c>
      <c r="V558">
        <v>600</v>
      </c>
      <c r="W558">
        <v>1</v>
      </c>
      <c r="X558">
        <v>0</v>
      </c>
      <c r="Y558">
        <v>19.38</v>
      </c>
      <c r="Z558">
        <v>1.71</v>
      </c>
      <c r="AA558">
        <v>0</v>
      </c>
      <c r="AB558">
        <v>0</v>
      </c>
      <c r="AC558">
        <v>0</v>
      </c>
      <c r="AD558">
        <v>0</v>
      </c>
      <c r="AE558">
        <v>2000</v>
      </c>
      <c r="AF558">
        <v>0</v>
      </c>
      <c r="AG558">
        <v>0</v>
      </c>
      <c r="AH558">
        <v>0</v>
      </c>
      <c r="AI558">
        <v>0</v>
      </c>
      <c r="AJ558">
        <v>0</v>
      </c>
      <c r="AK558">
        <v>0</v>
      </c>
      <c r="AL558">
        <v>0</v>
      </c>
      <c r="AM558">
        <v>0</v>
      </c>
      <c r="AN558">
        <v>0</v>
      </c>
      <c r="AO558">
        <v>0</v>
      </c>
      <c r="AP558">
        <v>0.789</v>
      </c>
      <c r="AQ558">
        <v>0.022</v>
      </c>
      <c r="AR558">
        <v>0</v>
      </c>
      <c r="AS558" s="3">
        <v>46107.771516203706</v>
      </c>
    </row>
    <row r="559" ht="25.5" customHeight="1">
      <c r="A559" t="inlineStr">
        <is>
          <t>646cccf800000000120340e9</t>
        </is>
      </c>
      <c r="B559" s="2" t="str">
        <f>=HYPERLINK("https://www.xiaohongshu.com/user/profile/646cccf800000000120340e9", "https://www.xiaohongshu.com/user/profile/646cccf800000000120340e9")</f>
        <v>https://www.xiaohongshu.com/user/profile/646cccf800000000120340e9</v>
      </c>
      <c r="C559" s="2" t="str">
        <f>=HYPERLINK("https://pgy.xiaohongshu.com/solar/pre-trade/blogger-detail/646cccf800000000120340e9", "https://pgy.xiaohongshu.com/solar/pre-trade/blogger-detail/646cccf800000000120340e9")</f>
        <v>https://pgy.xiaohongshu.com/solar/pre-trade/blogger-detail/646cccf800000000120340e9</v>
      </c>
      <c r="D559" t="inlineStr">
        <is>
          <t>男</t>
        </is>
      </c>
      <c r="E559" t="inlineStr">
        <is>
          <t>6897199436</t>
        </is>
      </c>
      <c r="F559" t="inlineStr">
        <is>
          <t>i龙呦</t>
        </is>
      </c>
      <c r="G559" t="inlineStr">
        <is>
          <t>韩国</t>
        </is>
      </c>
      <c r="H559"/>
      <c r="I559" t="inlineStr">
        <is>
          <t>教育, 搞笑</t>
        </is>
      </c>
      <c r="J559">
        <v>9000</v>
      </c>
      <c r="K559" t="inlineStr">
        <is>
          <t>0.9</t>
        </is>
      </c>
      <c r="L559">
        <v>27301</v>
      </c>
      <c r="M559">
        <v>9152</v>
      </c>
      <c r="N559">
        <v>637</v>
      </c>
      <c r="O559">
        <v>300</v>
      </c>
      <c r="P559">
        <v>0.125</v>
      </c>
      <c r="Q559">
        <v>0.875</v>
      </c>
      <c r="R559">
        <v>993</v>
      </c>
      <c r="S559">
        <v>149</v>
      </c>
      <c r="T559">
        <v>8</v>
      </c>
      <c r="U559">
        <v>2.31</v>
      </c>
      <c r="V559">
        <v>300</v>
      </c>
      <c r="W559">
        <v>0</v>
      </c>
      <c r="X559">
        <v>0</v>
      </c>
      <c r="Y559">
        <v>302.11</v>
      </c>
      <c r="Z559">
        <v>37.5</v>
      </c>
      <c r="AA559">
        <v>28579</v>
      </c>
      <c r="AB559">
        <v>10202</v>
      </c>
      <c r="AC559">
        <v>507</v>
      </c>
      <c r="AD559">
        <v>1.58</v>
      </c>
      <c r="AE559">
        <v>823</v>
      </c>
      <c r="AF559">
        <v>1</v>
      </c>
      <c r="AG559">
        <v>0.143</v>
      </c>
      <c r="AH559">
        <v>0.379</v>
      </c>
      <c r="AI559">
        <v>0</v>
      </c>
      <c r="AJ559">
        <v>0</v>
      </c>
      <c r="AK559">
        <v>0</v>
      </c>
      <c r="AL559">
        <v>0</v>
      </c>
      <c r="AM559">
        <v>0</v>
      </c>
      <c r="AN559">
        <v>0</v>
      </c>
      <c r="AO559">
        <v>0</v>
      </c>
      <c r="AP559">
        <v>0.972</v>
      </c>
      <c r="AQ559">
        <v>0.171</v>
      </c>
      <c r="AR559">
        <v>0.133</v>
      </c>
      <c r="AS559" s="3">
        <v>46107.771516203706</v>
      </c>
    </row>
    <row r="560" ht="25.5" customHeight="1">
      <c r="A560" t="inlineStr">
        <is>
          <t>614eba9f0000000002025663</t>
        </is>
      </c>
      <c r="B560" s="2" t="str">
        <f>=HYPERLINK("https://www.xiaohongshu.com/user/profile/614eba9f0000000002025663", "https://www.xiaohongshu.com/user/profile/614eba9f0000000002025663")</f>
        <v>https://www.xiaohongshu.com/user/profile/614eba9f0000000002025663</v>
      </c>
      <c r="C560" s="2" t="str">
        <f>=HYPERLINK("https://pgy.xiaohongshu.com/solar/pre-trade/blogger-detail/614eba9f0000000002025663", "https://pgy.xiaohongshu.com/solar/pre-trade/blogger-detail/614eba9f0000000002025663")</f>
        <v>https://pgy.xiaohongshu.com/solar/pre-trade/blogger-detail/614eba9f0000000002025663</v>
      </c>
      <c r="D560" t="inlineStr">
        <is>
          <t>男</t>
        </is>
      </c>
      <c r="E560" t="inlineStr">
        <is>
          <t>qq2033563002</t>
        </is>
      </c>
      <c r="F560" t="inlineStr">
        <is>
          <t>姐文学考研上岸了</t>
        </is>
      </c>
      <c r="G560" t="inlineStr">
        <is>
          <t>江苏 苏州 苏州工业园区</t>
        </is>
      </c>
      <c r="H560" t="inlineStr">
        <is>
          <t>考研过来人, 学生</t>
        </is>
      </c>
      <c r="I560" t="inlineStr">
        <is>
          <t>教育</t>
        </is>
      </c>
      <c r="J560">
        <v>2772</v>
      </c>
      <c r="K560" t="inlineStr">
        <is>
          <t>0.3</t>
        </is>
      </c>
      <c r="L560">
        <v>3123</v>
      </c>
      <c r="M560">
        <v>561</v>
      </c>
      <c r="N560">
        <v>107</v>
      </c>
      <c r="O560">
        <v>100</v>
      </c>
      <c r="P560">
        <v>0.071</v>
      </c>
      <c r="Q560">
        <v>0.214</v>
      </c>
      <c r="R560">
        <v>3172</v>
      </c>
      <c r="S560">
        <v>590</v>
      </c>
      <c r="T560">
        <v>93</v>
      </c>
      <c r="U560">
        <v>0.47</v>
      </c>
      <c r="V560">
        <v>100</v>
      </c>
      <c r="W560">
        <v>0.214</v>
      </c>
      <c r="X560">
        <v>0.071</v>
      </c>
      <c r="Y560">
        <v>31.52</v>
      </c>
      <c r="Z560">
        <v>1.2</v>
      </c>
      <c r="AA560">
        <v>0</v>
      </c>
      <c r="AB560">
        <v>0</v>
      </c>
      <c r="AC560">
        <v>0</v>
      </c>
      <c r="AD560">
        <v>0</v>
      </c>
      <c r="AE560">
        <v>148</v>
      </c>
      <c r="AF560">
        <v>0</v>
      </c>
      <c r="AG560">
        <v>0</v>
      </c>
      <c r="AH560">
        <v>0</v>
      </c>
      <c r="AI560">
        <v>0</v>
      </c>
      <c r="AJ560">
        <v>0</v>
      </c>
      <c r="AK560">
        <v>4040</v>
      </c>
      <c r="AL560">
        <v>653</v>
      </c>
      <c r="AM560">
        <v>49</v>
      </c>
      <c r="AN560">
        <v>1</v>
      </c>
      <c r="AO560">
        <v>2.36</v>
      </c>
      <c r="AP560">
        <v>0.88</v>
      </c>
      <c r="AQ560">
        <v>0.098</v>
      </c>
      <c r="AR560">
        <v>0.05</v>
      </c>
      <c r="AS560" s="3">
        <v>46107.771516203706</v>
      </c>
    </row>
    <row r="561" ht="25.5" customHeight="1">
      <c r="A561" t="inlineStr">
        <is>
          <t>5482ac60d6e4a95723bf06c9</t>
        </is>
      </c>
      <c r="B561" s="2" t="str">
        <f>=HYPERLINK("https://www.xiaohongshu.com/user/profile/5482ac60d6e4a95723bf06c9", "https://www.xiaohongshu.com/user/profile/5482ac60d6e4a95723bf06c9")</f>
        <v>https://www.xiaohongshu.com/user/profile/5482ac60d6e4a95723bf06c9</v>
      </c>
      <c r="C561" s="2" t="str">
        <f>=HYPERLINK("https://pgy.xiaohongshu.com/solar/pre-trade/blogger-detail/5482ac60d6e4a95723bf06c9", "https://pgy.xiaohongshu.com/solar/pre-trade/blogger-detail/5482ac60d6e4a95723bf06c9")</f>
        <v>https://pgy.xiaohongshu.com/solar/pre-trade/blogger-detail/5482ac60d6e4a95723bf06c9</v>
      </c>
      <c r="D561" t="inlineStr">
        <is>
          <t>女</t>
        </is>
      </c>
      <c r="E561" t="inlineStr">
        <is>
          <t>721953050</t>
        </is>
      </c>
      <c r="F561" t="inlineStr">
        <is>
          <t>MissRUC</t>
        </is>
      </c>
      <c r="G561" t="inlineStr">
        <is>
          <t>北京</t>
        </is>
      </c>
      <c r="H561" t="inlineStr">
        <is>
          <t>学生</t>
        </is>
      </c>
      <c r="I561" t="inlineStr">
        <is>
          <t>教育</t>
        </is>
      </c>
      <c r="J561">
        <v>9798</v>
      </c>
      <c r="K561" t="inlineStr">
        <is>
          <t>1.0</t>
        </is>
      </c>
      <c r="L561">
        <v>16422</v>
      </c>
      <c r="M561">
        <v>3800</v>
      </c>
      <c r="N561">
        <v>148</v>
      </c>
      <c r="O561">
        <v>500</v>
      </c>
      <c r="P561">
        <v>0.111</v>
      </c>
      <c r="Q561">
        <v>0.444</v>
      </c>
      <c r="R561">
        <v>16422</v>
      </c>
      <c r="S561">
        <v>3800</v>
      </c>
      <c r="T561">
        <v>88</v>
      </c>
      <c r="U561">
        <v>0.47</v>
      </c>
      <c r="V561">
        <v>500</v>
      </c>
      <c r="W561">
        <v>0.444</v>
      </c>
      <c r="X561">
        <v>0.111</v>
      </c>
      <c r="Y561">
        <v>32.01</v>
      </c>
      <c r="Z561">
        <v>3.89</v>
      </c>
      <c r="AA561">
        <v>0</v>
      </c>
      <c r="AB561">
        <v>0</v>
      </c>
      <c r="AC561">
        <v>0</v>
      </c>
      <c r="AD561">
        <v>0</v>
      </c>
      <c r="AE561">
        <v>500</v>
      </c>
      <c r="AF561">
        <v>0</v>
      </c>
      <c r="AG561">
        <v>0</v>
      </c>
      <c r="AH561">
        <v>0</v>
      </c>
      <c r="AI561">
        <v>0</v>
      </c>
      <c r="AJ561">
        <v>0</v>
      </c>
      <c r="AK561">
        <v>5931</v>
      </c>
      <c r="AL561">
        <v>720</v>
      </c>
      <c r="AM561">
        <v>76</v>
      </c>
      <c r="AN561">
        <v>0</v>
      </c>
      <c r="AO561">
        <v>0</v>
      </c>
      <c r="AP561">
        <v>0.909</v>
      </c>
      <c r="AQ561">
        <v>0.044</v>
      </c>
      <c r="AR561">
        <v>0.006</v>
      </c>
      <c r="AS561" s="3">
        <v>46107.77177083334</v>
      </c>
    </row>
    <row r="562" ht="25.5" customHeight="1">
      <c r="A562" t="inlineStr">
        <is>
          <t>57b9b44f3460946e6ab45104</t>
        </is>
      </c>
      <c r="B562" s="2" t="str">
        <f>=HYPERLINK("https://www.xiaohongshu.com/user/profile/57b9b44f3460946e6ab45104", "https://www.xiaohongshu.com/user/profile/57b9b44f3460946e6ab45104")</f>
        <v>https://www.xiaohongshu.com/user/profile/57b9b44f3460946e6ab45104</v>
      </c>
      <c r="C562" s="2" t="str">
        <f>=HYPERLINK("https://pgy.xiaohongshu.com/solar/pre-trade/blogger-detail/57b9b44f3460946e6ab45104", "https://pgy.xiaohongshu.com/solar/pre-trade/blogger-detail/57b9b44f3460946e6ab45104")</f>
        <v>https://pgy.xiaohongshu.com/solar/pre-trade/blogger-detail/57b9b44f3460946e6ab45104</v>
      </c>
      <c r="D562" t="inlineStr">
        <is>
          <t>男</t>
        </is>
      </c>
      <c r="E562" t="inlineStr">
        <is>
          <t>271313942</t>
        </is>
      </c>
      <c r="F562" t="inlineStr">
        <is>
          <t>K桃在澳洲</t>
        </is>
      </c>
      <c r="G562" t="inlineStr">
        <is>
          <t>澳大利亚</t>
        </is>
      </c>
      <c r="H562" t="inlineStr">
        <is>
          <t>1-3岁, 妈妈</t>
        </is>
      </c>
      <c r="I562" t="inlineStr">
        <is>
          <t>母婴</t>
        </is>
      </c>
      <c r="J562">
        <v>5875</v>
      </c>
      <c r="K562" t="inlineStr">
        <is>
          <t>0.6</t>
        </is>
      </c>
      <c r="L562">
        <v>41861</v>
      </c>
      <c r="M562">
        <v>6881</v>
      </c>
      <c r="N562">
        <v>228</v>
      </c>
      <c r="O562">
        <v>800</v>
      </c>
      <c r="P562">
        <v>0</v>
      </c>
      <c r="Q562">
        <v>0.545</v>
      </c>
      <c r="R562">
        <v>0</v>
      </c>
      <c r="S562">
        <v>0</v>
      </c>
      <c r="T562">
        <v>0</v>
      </c>
      <c r="U562">
        <v>0</v>
      </c>
      <c r="V562">
        <v>800</v>
      </c>
      <c r="W562">
        <v>0</v>
      </c>
      <c r="X562">
        <v>0</v>
      </c>
      <c r="Y562">
        <v>0</v>
      </c>
      <c r="Z562">
        <v>0</v>
      </c>
      <c r="AA562">
        <v>41861</v>
      </c>
      <c r="AB562">
        <v>6881</v>
      </c>
      <c r="AC562">
        <v>222</v>
      </c>
      <c r="AD562">
        <v>1.68</v>
      </c>
      <c r="AE562">
        <v>1300</v>
      </c>
      <c r="AF562">
        <v>0.545</v>
      </c>
      <c r="AG562">
        <v>0</v>
      </c>
      <c r="AH562">
        <v>0.247</v>
      </c>
      <c r="AI562">
        <v>44.74</v>
      </c>
      <c r="AJ562">
        <v>6.4</v>
      </c>
      <c r="AK562">
        <v>53170</v>
      </c>
      <c r="AL562">
        <v>24464</v>
      </c>
      <c r="AM562">
        <v>125</v>
      </c>
      <c r="AN562">
        <v>0</v>
      </c>
      <c r="AO562">
        <v>0</v>
      </c>
      <c r="AP562">
        <v>0.821</v>
      </c>
      <c r="AQ562">
        <v>0.073</v>
      </c>
      <c r="AR562">
        <v>0.106</v>
      </c>
      <c r="AS562" s="3">
        <v>46107.77177083334</v>
      </c>
    </row>
    <row r="563" ht="25.5" customHeight="1">
      <c r="A563" t="inlineStr">
        <is>
          <t>670feda6000000001d02260d</t>
        </is>
      </c>
      <c r="B563" s="2" t="str">
        <f>=HYPERLINK("https://www.xiaohongshu.com/user/profile/670feda6000000001d02260d", "https://www.xiaohongshu.com/user/profile/670feda6000000001d02260d")</f>
        <v>https://www.xiaohongshu.com/user/profile/670feda6000000001d02260d</v>
      </c>
      <c r="C563" s="2" t="str">
        <f>=HYPERLINK("https://pgy.xiaohongshu.com/solar/pre-trade/blogger-detail/670feda6000000001d02260d", "https://pgy.xiaohongshu.com/solar/pre-trade/blogger-detail/670feda6000000001d02260d")</f>
        <v>https://pgy.xiaohongshu.com/solar/pre-trade/blogger-detail/670feda6000000001d02260d</v>
      </c>
      <c r="D563" t="inlineStr">
        <is>
          <t>女</t>
        </is>
      </c>
      <c r="E563" t="inlineStr">
        <is>
          <t>94138893657</t>
        </is>
      </c>
      <c r="F563" t="inlineStr">
        <is>
          <t>momo</t>
        </is>
      </c>
      <c r="G563" t="inlineStr">
        <is>
          <t>辽宁 营口 鲅鱼圈区</t>
        </is>
      </c>
      <c r="H563"/>
      <c r="I563" t="inlineStr">
        <is>
          <t>教育</t>
        </is>
      </c>
      <c r="J563">
        <v>4076</v>
      </c>
      <c r="K563" t="inlineStr">
        <is>
          <t>0.4</t>
        </is>
      </c>
      <c r="L563">
        <v>139862</v>
      </c>
      <c r="M563">
        <v>36485</v>
      </c>
      <c r="N563">
        <v>900</v>
      </c>
      <c r="O563">
        <v>200</v>
      </c>
      <c r="P563">
        <v>0.332999999999999</v>
      </c>
      <c r="Q563">
        <v>1</v>
      </c>
      <c r="R563">
        <v>139862</v>
      </c>
      <c r="S563">
        <v>36485</v>
      </c>
      <c r="T563">
        <v>762</v>
      </c>
      <c r="U563">
        <v>0.31</v>
      </c>
      <c r="V563">
        <v>200</v>
      </c>
      <c r="W563">
        <v>1</v>
      </c>
      <c r="X563">
        <v>0.332999999999999</v>
      </c>
      <c r="Y563">
        <v>3.47</v>
      </c>
      <c r="Z563">
        <v>0.36</v>
      </c>
      <c r="AA563">
        <v>0</v>
      </c>
      <c r="AB563">
        <v>0</v>
      </c>
      <c r="AC563">
        <v>0</v>
      </c>
      <c r="AD563">
        <v>0</v>
      </c>
      <c r="AE563">
        <v>300</v>
      </c>
      <c r="AF563">
        <v>0</v>
      </c>
      <c r="AG563">
        <v>0</v>
      </c>
      <c r="AH563">
        <v>0</v>
      </c>
      <c r="AI563">
        <v>0</v>
      </c>
      <c r="AJ563">
        <v>0</v>
      </c>
      <c r="AK563">
        <v>10521</v>
      </c>
      <c r="AL563">
        <v>786</v>
      </c>
      <c r="AM563">
        <v>49</v>
      </c>
      <c r="AN563">
        <v>0</v>
      </c>
      <c r="AO563">
        <v>0</v>
      </c>
      <c r="AP563">
        <v>0.98</v>
      </c>
      <c r="AQ563">
        <v>0.145</v>
      </c>
      <c r="AR563">
        <v>0.477</v>
      </c>
      <c r="AS563" s="3">
        <v>46107.77177083334</v>
      </c>
    </row>
    <row r="564" ht="25.5" customHeight="1">
      <c r="A564" t="inlineStr">
        <is>
          <t>5f03ffe90000000001001b01</t>
        </is>
      </c>
      <c r="B564" s="2" t="str">
        <f>=HYPERLINK("https://www.xiaohongshu.com/user/profile/5f03ffe90000000001001b01", "https://www.xiaohongshu.com/user/profile/5f03ffe90000000001001b01")</f>
        <v>https://www.xiaohongshu.com/user/profile/5f03ffe90000000001001b01</v>
      </c>
      <c r="C564" s="2" t="str">
        <f>=HYPERLINK("https://pgy.xiaohongshu.com/solar/pre-trade/blogger-detail/5f03ffe90000000001001b01", "https://pgy.xiaohongshu.com/solar/pre-trade/blogger-detail/5f03ffe90000000001001b01")</f>
        <v>https://pgy.xiaohongshu.com/solar/pre-trade/blogger-detail/5f03ffe90000000001001b01</v>
      </c>
      <c r="D564" t="inlineStr">
        <is>
          <t>女</t>
        </is>
      </c>
      <c r="E564" t="inlineStr">
        <is>
          <t>A17761659494</t>
        </is>
      </c>
      <c r="F564" t="inlineStr">
        <is>
          <t>小恶魔老师</t>
        </is>
      </c>
      <c r="G564" t="inlineStr">
        <is>
          <t>天津</t>
        </is>
      </c>
      <c r="H564"/>
      <c r="I564" t="inlineStr">
        <is>
          <t>教育</t>
        </is>
      </c>
      <c r="J564">
        <v>3453</v>
      </c>
      <c r="K564" t="inlineStr">
        <is>
          <t>0.3</t>
        </is>
      </c>
      <c r="L564">
        <v>3984</v>
      </c>
      <c r="M564">
        <v>797</v>
      </c>
      <c r="N564">
        <v>101</v>
      </c>
      <c r="O564">
        <v>170</v>
      </c>
      <c r="P564">
        <v>0</v>
      </c>
      <c r="Q564">
        <v>0.182</v>
      </c>
      <c r="R564">
        <v>3984</v>
      </c>
      <c r="S564">
        <v>797</v>
      </c>
      <c r="T564">
        <v>93</v>
      </c>
      <c r="U564">
        <v>0.59</v>
      </c>
      <c r="V564">
        <v>170</v>
      </c>
      <c r="W564">
        <v>0.182</v>
      </c>
      <c r="X564">
        <v>0</v>
      </c>
      <c r="Y564">
        <v>52.4</v>
      </c>
      <c r="Z564">
        <v>2.39</v>
      </c>
      <c r="AA564">
        <v>0</v>
      </c>
      <c r="AB564">
        <v>0</v>
      </c>
      <c r="AC564">
        <v>0</v>
      </c>
      <c r="AD564">
        <v>0</v>
      </c>
      <c r="AE564">
        <v>200</v>
      </c>
      <c r="AF564">
        <v>0</v>
      </c>
      <c r="AG564">
        <v>0</v>
      </c>
      <c r="AH564">
        <v>0</v>
      </c>
      <c r="AI564">
        <v>0</v>
      </c>
      <c r="AJ564">
        <v>0</v>
      </c>
      <c r="AK564">
        <v>1893</v>
      </c>
      <c r="AL564">
        <v>81</v>
      </c>
      <c r="AM564">
        <v>8</v>
      </c>
      <c r="AN564">
        <v>0</v>
      </c>
      <c r="AO564">
        <v>539.06</v>
      </c>
      <c r="AP564">
        <v>0.92</v>
      </c>
      <c r="AQ564">
        <v>0.141</v>
      </c>
      <c r="AR564">
        <v>0.011</v>
      </c>
      <c r="AS564" s="3">
        <v>46107.77177083334</v>
      </c>
    </row>
    <row r="565" ht="25.5" customHeight="1">
      <c r="A565" t="inlineStr">
        <is>
          <t>66685ec20000000003033909</t>
        </is>
      </c>
      <c r="B565" s="2" t="str">
        <f>=HYPERLINK("https://www.xiaohongshu.com/user/profile/66685ec20000000003033909", "https://www.xiaohongshu.com/user/profile/66685ec20000000003033909")</f>
        <v>https://www.xiaohongshu.com/user/profile/66685ec20000000003033909</v>
      </c>
      <c r="C565" s="2" t="str">
        <f>=HYPERLINK("https://pgy.xiaohongshu.com/solar/pre-trade/blogger-detail/66685ec20000000003033909", "https://pgy.xiaohongshu.com/solar/pre-trade/blogger-detail/66685ec20000000003033909")</f>
        <v>https://pgy.xiaohongshu.com/solar/pre-trade/blogger-detail/66685ec20000000003033909</v>
      </c>
      <c r="D565" t="inlineStr">
        <is>
          <t>女</t>
        </is>
      </c>
      <c r="E565" t="inlineStr">
        <is>
          <t>26501553696</t>
        </is>
      </c>
      <c r="F565" t="inlineStr">
        <is>
          <t>小梨颂</t>
        </is>
      </c>
      <c r="G565" t="inlineStr">
        <is>
          <t>安徽 滁州 琅琊区</t>
        </is>
      </c>
      <c r="H565" t="inlineStr">
        <is>
          <t>学生</t>
        </is>
      </c>
      <c r="I565" t="inlineStr">
        <is>
          <t>生活记录</t>
        </is>
      </c>
      <c r="J565">
        <v>4562</v>
      </c>
      <c r="K565" t="inlineStr">
        <is>
          <t>0.5</t>
        </is>
      </c>
      <c r="L565">
        <v>3675</v>
      </c>
      <c r="M565">
        <v>404</v>
      </c>
      <c r="N565">
        <v>267</v>
      </c>
      <c r="O565">
        <v>245</v>
      </c>
      <c r="P565">
        <v>0</v>
      </c>
      <c r="Q565">
        <v>0.667</v>
      </c>
      <c r="R565">
        <v>4264</v>
      </c>
      <c r="S565">
        <v>653</v>
      </c>
      <c r="T565">
        <v>241</v>
      </c>
      <c r="U565">
        <v>0.91</v>
      </c>
      <c r="V565">
        <v>245</v>
      </c>
      <c r="W565">
        <v>0.75</v>
      </c>
      <c r="X565">
        <v>0</v>
      </c>
      <c r="Y565">
        <v>66.67</v>
      </c>
      <c r="Z565">
        <v>0.92</v>
      </c>
      <c r="AA565">
        <v>2466</v>
      </c>
      <c r="AB565">
        <v>253</v>
      </c>
      <c r="AC565">
        <v>76</v>
      </c>
      <c r="AD565">
        <v>2.84</v>
      </c>
      <c r="AE565">
        <v>338</v>
      </c>
      <c r="AF565">
        <v>0</v>
      </c>
      <c r="AG565">
        <v>0</v>
      </c>
      <c r="AH565">
        <v>0.033</v>
      </c>
      <c r="AI565">
        <v>137.06</v>
      </c>
      <c r="AJ565">
        <v>4.39</v>
      </c>
      <c r="AK565">
        <v>2770</v>
      </c>
      <c r="AL565">
        <v>382</v>
      </c>
      <c r="AM565">
        <v>146</v>
      </c>
      <c r="AN565">
        <v>10</v>
      </c>
      <c r="AO565">
        <v>27.89</v>
      </c>
      <c r="AP565">
        <v>0.698</v>
      </c>
      <c r="AQ565">
        <v>0.08</v>
      </c>
      <c r="AR565">
        <v>0.075</v>
      </c>
      <c r="AS565" s="3">
        <v>46107.77177083334</v>
      </c>
    </row>
    <row r="566" ht="25.5" customHeight="1">
      <c r="A566" t="inlineStr">
        <is>
          <t>5821bdcf7fc5b814c2e18b5d</t>
        </is>
      </c>
      <c r="B566" s="2" t="str">
        <f>=HYPERLINK("https://www.xiaohongshu.com/user/profile/5821bdcf7fc5b814c2e18b5d", "https://www.xiaohongshu.com/user/profile/5821bdcf7fc5b814c2e18b5d")</f>
        <v>https://www.xiaohongshu.com/user/profile/5821bdcf7fc5b814c2e18b5d</v>
      </c>
      <c r="C566" s="2" t="str">
        <f>=HYPERLINK("https://pgy.xiaohongshu.com/solar/pre-trade/blogger-detail/5821bdcf7fc5b814c2e18b5d", "https://pgy.xiaohongshu.com/solar/pre-trade/blogger-detail/5821bdcf7fc5b814c2e18b5d")</f>
        <v>https://pgy.xiaohongshu.com/solar/pre-trade/blogger-detail/5821bdcf7fc5b814c2e18b5d</v>
      </c>
      <c r="D566" t="inlineStr">
        <is>
          <t>男</t>
        </is>
      </c>
      <c r="E566" t="inlineStr">
        <is>
          <t>544298536</t>
        </is>
      </c>
      <c r="F566" t="inlineStr">
        <is>
          <t>DC.Innovator</t>
        </is>
      </c>
      <c r="G566" t="inlineStr">
        <is>
          <t>广东 深圳 龙岗区</t>
        </is>
      </c>
      <c r="H566" t="inlineStr">
        <is>
          <t>留学背景</t>
        </is>
      </c>
      <c r="I566" t="inlineStr">
        <is>
          <t>教育, 生活记录</t>
        </is>
      </c>
      <c r="J566">
        <v>157524</v>
      </c>
      <c r="K566" t="inlineStr">
        <is>
          <t>15.8</t>
        </is>
      </c>
      <c r="L566">
        <v>51962</v>
      </c>
      <c r="M566">
        <v>11362</v>
      </c>
      <c r="N566">
        <v>508</v>
      </c>
      <c r="O566">
        <v>2688</v>
      </c>
      <c r="P566">
        <v>0.1</v>
      </c>
      <c r="Q566">
        <v>1</v>
      </c>
      <c r="R566">
        <v>83623</v>
      </c>
      <c r="S566">
        <v>13160</v>
      </c>
      <c r="T566">
        <v>892</v>
      </c>
      <c r="U566">
        <v>0.5</v>
      </c>
      <c r="V566">
        <v>2688</v>
      </c>
      <c r="W566">
        <v>1</v>
      </c>
      <c r="X566">
        <v>0</v>
      </c>
      <c r="Y566">
        <v>32.14</v>
      </c>
      <c r="Z566">
        <v>2.94</v>
      </c>
      <c r="AA566">
        <v>50964</v>
      </c>
      <c r="AB566">
        <v>10442</v>
      </c>
      <c r="AC566">
        <v>389</v>
      </c>
      <c r="AD566">
        <v>2.65</v>
      </c>
      <c r="AE566">
        <v>12000</v>
      </c>
      <c r="AF566">
        <v>1</v>
      </c>
      <c r="AG566">
        <v>0.111</v>
      </c>
      <c r="AH566">
        <v>0.147</v>
      </c>
      <c r="AI566">
        <v>235.46</v>
      </c>
      <c r="AJ566">
        <v>23.86</v>
      </c>
      <c r="AK566">
        <v>0</v>
      </c>
      <c r="AL566">
        <v>0</v>
      </c>
      <c r="AM566">
        <v>0</v>
      </c>
      <c r="AN566">
        <v>0</v>
      </c>
      <c r="AO566">
        <v>0</v>
      </c>
      <c r="AP566">
        <v>0.86</v>
      </c>
      <c r="AQ566">
        <v>0.02</v>
      </c>
      <c r="AR566">
        <v>0.001</v>
      </c>
      <c r="AS566" s="3">
        <v>46107.77177083334</v>
      </c>
    </row>
    <row r="567" ht="25.5" customHeight="1">
      <c r="A567" t="inlineStr">
        <is>
          <t>6675755b000000000d027af1</t>
        </is>
      </c>
      <c r="B567" s="2" t="str">
        <f>=HYPERLINK("https://www.xiaohongshu.com/user/profile/6675755b000000000d027af1", "https://www.xiaohongshu.com/user/profile/6675755b000000000d027af1")</f>
        <v>https://www.xiaohongshu.com/user/profile/6675755b000000000d027af1</v>
      </c>
      <c r="C567" s="2" t="str">
        <f>=HYPERLINK("https://pgy.xiaohongshu.com/solar/pre-trade/blogger-detail/6675755b000000000d027af1", "https://pgy.xiaohongshu.com/solar/pre-trade/blogger-detail/6675755b000000000d027af1")</f>
        <v>https://pgy.xiaohongshu.com/solar/pre-trade/blogger-detail/6675755b000000000d027af1</v>
      </c>
      <c r="D567" t="inlineStr">
        <is>
          <t>男</t>
        </is>
      </c>
      <c r="E567" t="inlineStr">
        <is>
          <t>26965401393</t>
        </is>
      </c>
      <c r="F567" t="inlineStr">
        <is>
          <t>不知道叫啥</t>
        </is>
      </c>
      <c r="G567" t="inlineStr">
        <is>
          <t>湖北 武汉 汉阳区</t>
        </is>
      </c>
      <c r="H567"/>
      <c r="I567" t="inlineStr">
        <is>
          <t>教育</t>
        </is>
      </c>
      <c r="J567">
        <v>95940</v>
      </c>
      <c r="K567" t="inlineStr">
        <is>
          <t>9.6</t>
        </is>
      </c>
      <c r="L567">
        <v>42002</v>
      </c>
      <c r="M567">
        <v>6060</v>
      </c>
      <c r="N567">
        <v>157</v>
      </c>
      <c r="O567">
        <v>768</v>
      </c>
      <c r="P567">
        <v>0.059</v>
      </c>
      <c r="Q567">
        <v>0.412</v>
      </c>
      <c r="R567">
        <v>42002</v>
      </c>
      <c r="S567">
        <v>6060</v>
      </c>
      <c r="T567">
        <v>98</v>
      </c>
      <c r="U567">
        <v>0.46</v>
      </c>
      <c r="V567">
        <v>768</v>
      </c>
      <c r="W567">
        <v>0.412</v>
      </c>
      <c r="X567">
        <v>0.059</v>
      </c>
      <c r="Y567">
        <v>22.32</v>
      </c>
      <c r="Z567">
        <v>10.38</v>
      </c>
      <c r="AA567">
        <v>0</v>
      </c>
      <c r="AB567">
        <v>0</v>
      </c>
      <c r="AC567">
        <v>0</v>
      </c>
      <c r="AD567">
        <v>0</v>
      </c>
      <c r="AE567">
        <v>2281</v>
      </c>
      <c r="AF567">
        <v>0</v>
      </c>
      <c r="AG567">
        <v>0</v>
      </c>
      <c r="AH567">
        <v>0</v>
      </c>
      <c r="AI567">
        <v>0</v>
      </c>
      <c r="AJ567">
        <v>0</v>
      </c>
      <c r="AK567">
        <v>25885</v>
      </c>
      <c r="AL567">
        <v>2015</v>
      </c>
      <c r="AM567">
        <v>30</v>
      </c>
      <c r="AN567">
        <v>0</v>
      </c>
      <c r="AO567">
        <v>0</v>
      </c>
      <c r="AP567">
        <v>0.957</v>
      </c>
      <c r="AQ567">
        <v>0.095</v>
      </c>
      <c r="AR567">
        <v>0.156</v>
      </c>
      <c r="AS567" s="3">
        <v>46107.77177083334</v>
      </c>
    </row>
    <row r="568" ht="25.5" customHeight="1">
      <c r="A568" t="inlineStr">
        <is>
          <t>5d8d98140000000001008807</t>
        </is>
      </c>
      <c r="B568" s="2" t="str">
        <f>=HYPERLINK("https://www.xiaohongshu.com/user/profile/5d8d98140000000001008807", "https://www.xiaohongshu.com/user/profile/5d8d98140000000001008807")</f>
        <v>https://www.xiaohongshu.com/user/profile/5d8d98140000000001008807</v>
      </c>
      <c r="C568" s="2" t="str">
        <f>=HYPERLINK("https://pgy.xiaohongshu.com/solar/pre-trade/blogger-detail/5d8d98140000000001008807", "https://pgy.xiaohongshu.com/solar/pre-trade/blogger-detail/5d8d98140000000001008807")</f>
        <v>https://pgy.xiaohongshu.com/solar/pre-trade/blogger-detail/5d8d98140000000001008807</v>
      </c>
      <c r="D568" t="inlineStr">
        <is>
          <t>女</t>
        </is>
      </c>
      <c r="E568" t="inlineStr">
        <is>
          <t>592182954</t>
        </is>
      </c>
      <c r="F568" t="inlineStr">
        <is>
          <t>毛毛的读研日记</t>
        </is>
      </c>
      <c r="G568" t="inlineStr">
        <is>
          <t>北京</t>
        </is>
      </c>
      <c r="H568"/>
      <c r="I568" t="inlineStr">
        <is>
          <t>教育</t>
        </is>
      </c>
      <c r="J568">
        <v>1269</v>
      </c>
      <c r="K568" t="inlineStr">
        <is>
          <t>0.1</t>
        </is>
      </c>
      <c r="L568">
        <v>5188</v>
      </c>
      <c r="M568">
        <v>1944</v>
      </c>
      <c r="N568">
        <v>209</v>
      </c>
      <c r="O568">
        <v>300</v>
      </c>
      <c r="P568">
        <v>0.143</v>
      </c>
      <c r="Q568">
        <v>0.429</v>
      </c>
      <c r="R568">
        <v>17662</v>
      </c>
      <c r="S568">
        <v>4443</v>
      </c>
      <c r="T568">
        <v>401</v>
      </c>
      <c r="U568">
        <v>0.37</v>
      </c>
      <c r="V568">
        <v>300</v>
      </c>
      <c r="W568">
        <v>0.5</v>
      </c>
      <c r="X568">
        <v>0</v>
      </c>
      <c r="Y568">
        <v>16.99</v>
      </c>
      <c r="Z568">
        <v>0.5</v>
      </c>
      <c r="AA568">
        <v>5188</v>
      </c>
      <c r="AB568">
        <v>1944</v>
      </c>
      <c r="AC568">
        <v>205</v>
      </c>
      <c r="AD568">
        <v>1.81</v>
      </c>
      <c r="AE568">
        <v>600</v>
      </c>
      <c r="AF568">
        <v>0.332999999999999</v>
      </c>
      <c r="AG568">
        <v>0.332999999999999</v>
      </c>
      <c r="AH568">
        <v>0.052</v>
      </c>
      <c r="AI568">
        <v>115.65</v>
      </c>
      <c r="AJ568">
        <v>2.87</v>
      </c>
      <c r="AK568">
        <v>0</v>
      </c>
      <c r="AL568">
        <v>0</v>
      </c>
      <c r="AM568">
        <v>0</v>
      </c>
      <c r="AN568">
        <v>0</v>
      </c>
      <c r="AO568">
        <v>0</v>
      </c>
      <c r="AP568">
        <v>0.805</v>
      </c>
      <c r="AQ568">
        <v>0.145</v>
      </c>
      <c r="AR568">
        <v>0</v>
      </c>
      <c r="AS568" s="3">
        <v>46107.77177083334</v>
      </c>
    </row>
    <row r="569" ht="25.5" customHeight="1">
      <c r="A569" t="inlineStr">
        <is>
          <t>60c74a3d000000000100a5d0</t>
        </is>
      </c>
      <c r="B569" s="2" t="str">
        <f>=HYPERLINK("https://www.xiaohongshu.com/user/profile/60c74a3d000000000100a5d0", "https://www.xiaohongshu.com/user/profile/60c74a3d000000000100a5d0")</f>
        <v>https://www.xiaohongshu.com/user/profile/60c74a3d000000000100a5d0</v>
      </c>
      <c r="C569" s="2" t="str">
        <f>=HYPERLINK("https://pgy.xiaohongshu.com/solar/pre-trade/blogger-detail/60c74a3d000000000100a5d0", "https://pgy.xiaohongshu.com/solar/pre-trade/blogger-detail/60c74a3d000000000100a5d0")</f>
        <v>https://pgy.xiaohongshu.com/solar/pre-trade/blogger-detail/60c74a3d000000000100a5d0</v>
      </c>
      <c r="D569" t="inlineStr">
        <is>
          <t>女</t>
        </is>
      </c>
      <c r="E569" t="inlineStr">
        <is>
          <t>2622781691</t>
        </is>
      </c>
      <c r="F569" t="inlineStr">
        <is>
          <t>按时睡觉的发发</t>
        </is>
      </c>
      <c r="G569" t="inlineStr">
        <is>
          <t>河北 保定 高碑店市</t>
        </is>
      </c>
      <c r="H569" t="inlineStr">
        <is>
          <t>考研过来人, 学生</t>
        </is>
      </c>
      <c r="I569" t="inlineStr">
        <is>
          <t>教育</t>
        </is>
      </c>
      <c r="J569">
        <v>3030</v>
      </c>
      <c r="K569" t="inlineStr">
        <is>
          <t>0.3</t>
        </is>
      </c>
      <c r="L569">
        <v>19592</v>
      </c>
      <c r="M569">
        <v>3451</v>
      </c>
      <c r="N569">
        <v>405</v>
      </c>
      <c r="O569">
        <v>240</v>
      </c>
      <c r="P569">
        <v>0</v>
      </c>
      <c r="Q569">
        <v>0.833</v>
      </c>
      <c r="R569">
        <v>19740</v>
      </c>
      <c r="S569">
        <v>3505</v>
      </c>
      <c r="T569">
        <v>345</v>
      </c>
      <c r="U569">
        <v>0.41</v>
      </c>
      <c r="V569">
        <v>240</v>
      </c>
      <c r="W569">
        <v>0.8</v>
      </c>
      <c r="X569">
        <v>0</v>
      </c>
      <c r="Y569">
        <v>17.55</v>
      </c>
      <c r="Z569">
        <v>1.04</v>
      </c>
      <c r="AA569">
        <v>7608</v>
      </c>
      <c r="AB569">
        <v>1978</v>
      </c>
      <c r="AC569">
        <v>417</v>
      </c>
      <c r="AD569">
        <v>1.75</v>
      </c>
      <c r="AE569">
        <v>500</v>
      </c>
      <c r="AF569">
        <v>1</v>
      </c>
      <c r="AG569">
        <v>0</v>
      </c>
      <c r="AH569">
        <v>0.131</v>
      </c>
      <c r="AI569">
        <v>65.72</v>
      </c>
      <c r="AJ569">
        <v>1.19</v>
      </c>
      <c r="AK569">
        <v>1027</v>
      </c>
      <c r="AL569">
        <v>97</v>
      </c>
      <c r="AM569">
        <v>14</v>
      </c>
      <c r="AN569">
        <v>0</v>
      </c>
      <c r="AO569">
        <v>0</v>
      </c>
      <c r="AP569">
        <v>0.765</v>
      </c>
      <c r="AQ569">
        <v>0.032</v>
      </c>
      <c r="AR569">
        <v>0.043</v>
      </c>
      <c r="AS569" s="3">
        <v>46107.77177083334</v>
      </c>
    </row>
    <row r="570" ht="25.5" customHeight="1">
      <c r="A570" t="inlineStr">
        <is>
          <t>62b98e10000000001b026c07</t>
        </is>
      </c>
      <c r="B570" s="2" t="str">
        <f>=HYPERLINK("https://www.xiaohongshu.com/user/profile/62b98e10000000001b026c07", "https://www.xiaohongshu.com/user/profile/62b98e10000000001b026c07")</f>
        <v>https://www.xiaohongshu.com/user/profile/62b98e10000000001b026c07</v>
      </c>
      <c r="C570" s="2" t="str">
        <f>=HYPERLINK("https://pgy.xiaohongshu.com/solar/pre-trade/blogger-detail/62b98e10000000001b026c07", "https://pgy.xiaohongshu.com/solar/pre-trade/blogger-detail/62b98e10000000001b026c07")</f>
        <v>https://pgy.xiaohongshu.com/solar/pre-trade/blogger-detail/62b98e10000000001b026c07</v>
      </c>
      <c r="D570" t="inlineStr">
        <is>
          <t>女</t>
        </is>
      </c>
      <c r="E570" t="inlineStr">
        <is>
          <t>5623314698</t>
        </is>
      </c>
      <c r="F570" t="inlineStr">
        <is>
          <t>一颗土豆（美式版</t>
        </is>
      </c>
      <c r="G570" t="inlineStr">
        <is>
          <t>广东 广州 天河区</t>
        </is>
      </c>
      <c r="H570" t="inlineStr">
        <is>
          <t>考研过来人, 留学背景, 学生, 翻译</t>
        </is>
      </c>
      <c r="I570" t="inlineStr">
        <is>
          <t>职场, 教育</t>
        </is>
      </c>
      <c r="J570">
        <v>1123</v>
      </c>
      <c r="K570" t="inlineStr">
        <is>
          <t>0.1</t>
        </is>
      </c>
      <c r="L570">
        <v>3739</v>
      </c>
      <c r="M570">
        <v>548</v>
      </c>
      <c r="N570">
        <v>156</v>
      </c>
      <c r="O570">
        <v>249</v>
      </c>
      <c r="P570">
        <v>0</v>
      </c>
      <c r="Q570">
        <v>0.4</v>
      </c>
      <c r="R570">
        <v>3739</v>
      </c>
      <c r="S570">
        <v>548</v>
      </c>
      <c r="T570">
        <v>126</v>
      </c>
      <c r="U570">
        <v>0.7</v>
      </c>
      <c r="V570">
        <v>249</v>
      </c>
      <c r="W570">
        <v>0.4</v>
      </c>
      <c r="X570">
        <v>0</v>
      </c>
      <c r="Y570">
        <v>58.83</v>
      </c>
      <c r="Z570">
        <v>1.68</v>
      </c>
      <c r="AA570">
        <v>0</v>
      </c>
      <c r="AB570">
        <v>0</v>
      </c>
      <c r="AC570">
        <v>0</v>
      </c>
      <c r="AD570">
        <v>0</v>
      </c>
      <c r="AE570">
        <v>450</v>
      </c>
      <c r="AF570">
        <v>0</v>
      </c>
      <c r="AG570">
        <v>0</v>
      </c>
      <c r="AH570">
        <v>0</v>
      </c>
      <c r="AI570">
        <v>0</v>
      </c>
      <c r="AJ570">
        <v>0</v>
      </c>
      <c r="AK570">
        <v>5274</v>
      </c>
      <c r="AL570">
        <v>810</v>
      </c>
      <c r="AM570">
        <v>84</v>
      </c>
      <c r="AN570">
        <v>0</v>
      </c>
      <c r="AO570">
        <v>0</v>
      </c>
      <c r="AP570">
        <v>0.894</v>
      </c>
      <c r="AQ570">
        <v>0.251</v>
      </c>
      <c r="AR570">
        <v>0</v>
      </c>
      <c r="AS570" s="3">
        <v>46107.77177083334</v>
      </c>
    </row>
    <row r="571" ht="25.5" customHeight="1">
      <c r="A571" t="inlineStr">
        <is>
          <t>5ad1c0b611be1074fa4e7feb</t>
        </is>
      </c>
      <c r="B571" s="2" t="str">
        <f>=HYPERLINK("https://www.xiaohongshu.com/user/profile/5ad1c0b611be1074fa4e7feb", "https://www.xiaohongshu.com/user/profile/5ad1c0b611be1074fa4e7feb")</f>
        <v>https://www.xiaohongshu.com/user/profile/5ad1c0b611be1074fa4e7feb</v>
      </c>
      <c r="C571" s="2" t="str">
        <f>=HYPERLINK("https://pgy.xiaohongshu.com/solar/pre-trade/blogger-detail/5ad1c0b611be1074fa4e7feb", "https://pgy.xiaohongshu.com/solar/pre-trade/blogger-detail/5ad1c0b611be1074fa4e7feb")</f>
        <v>https://pgy.xiaohongshu.com/solar/pre-trade/blogger-detail/5ad1c0b611be1074fa4e7feb</v>
      </c>
      <c r="D571" t="inlineStr">
        <is>
          <t>女</t>
        </is>
      </c>
      <c r="E571" t="inlineStr">
        <is>
          <t>492423860</t>
        </is>
      </c>
      <c r="F571" t="inlineStr">
        <is>
          <t>Susie Ni</t>
        </is>
      </c>
      <c r="G571" t="inlineStr">
        <is>
          <t>广东 深圳 南山区</t>
        </is>
      </c>
      <c r="H571" t="inlineStr">
        <is>
          <t>学生, 留学背景</t>
        </is>
      </c>
      <c r="I571" t="inlineStr">
        <is>
          <t>美食, 出行旅游, 教育</t>
        </is>
      </c>
      <c r="J571">
        <v>7993</v>
      </c>
      <c r="K571" t="inlineStr">
        <is>
          <t>0.8</t>
        </is>
      </c>
      <c r="L571">
        <v>24451</v>
      </c>
      <c r="M571">
        <v>4397</v>
      </c>
      <c r="N571">
        <v>484</v>
      </c>
      <c r="O571">
        <v>588</v>
      </c>
      <c r="P571">
        <v>0.263</v>
      </c>
      <c r="Q571">
        <v>0.947</v>
      </c>
      <c r="R571">
        <v>24451</v>
      </c>
      <c r="S571">
        <v>4397</v>
      </c>
      <c r="T571">
        <v>353</v>
      </c>
      <c r="U571">
        <v>0.54</v>
      </c>
      <c r="V571">
        <v>588</v>
      </c>
      <c r="W571">
        <v>0.947</v>
      </c>
      <c r="X571">
        <v>0.263</v>
      </c>
      <c r="Y571">
        <v>33.69</v>
      </c>
      <c r="Z571">
        <v>1.64</v>
      </c>
      <c r="AA571">
        <v>0</v>
      </c>
      <c r="AB571">
        <v>0</v>
      </c>
      <c r="AC571">
        <v>0</v>
      </c>
      <c r="AD571">
        <v>0</v>
      </c>
      <c r="AE571">
        <v>828</v>
      </c>
      <c r="AF571">
        <v>0</v>
      </c>
      <c r="AG571">
        <v>0</v>
      </c>
      <c r="AH571">
        <v>0</v>
      </c>
      <c r="AI571">
        <v>0</v>
      </c>
      <c r="AJ571">
        <v>0</v>
      </c>
      <c r="AK571">
        <v>11702</v>
      </c>
      <c r="AL571">
        <v>1310</v>
      </c>
      <c r="AM571">
        <v>268</v>
      </c>
      <c r="AN571">
        <v>0</v>
      </c>
      <c r="AO571">
        <v>0</v>
      </c>
      <c r="AP571">
        <v>0.76</v>
      </c>
      <c r="AQ571">
        <v>0.093</v>
      </c>
      <c r="AR571">
        <v>0.057</v>
      </c>
      <c r="AS571" s="3">
        <v>46107.77177083334</v>
      </c>
    </row>
    <row r="572" ht="25.5" customHeight="1">
      <c r="A572" t="inlineStr">
        <is>
          <t>59abed185e87e721266d5976</t>
        </is>
      </c>
      <c r="B572" s="2" t="str">
        <f>=HYPERLINK("https://www.xiaohongshu.com/user/profile/59abed185e87e721266d5976", "https://www.xiaohongshu.com/user/profile/59abed185e87e721266d5976")</f>
        <v>https://www.xiaohongshu.com/user/profile/59abed185e87e721266d5976</v>
      </c>
      <c r="C572" s="2" t="str">
        <f>=HYPERLINK("https://pgy.xiaohongshu.com/solar/pre-trade/blogger-detail/59abed185e87e721266d5976", "https://pgy.xiaohongshu.com/solar/pre-trade/blogger-detail/59abed185e87e721266d5976")</f>
        <v>https://pgy.xiaohongshu.com/solar/pre-trade/blogger-detail/59abed185e87e721266d5976</v>
      </c>
      <c r="D572" t="inlineStr">
        <is>
          <t>男</t>
        </is>
      </c>
      <c r="E572" t="inlineStr">
        <is>
          <t>267285813</t>
        </is>
      </c>
      <c r="F572" t="inlineStr">
        <is>
          <t>Stella张</t>
        </is>
      </c>
      <c r="G572" t="inlineStr">
        <is>
          <t>浙江 杭州 钱塘区</t>
        </is>
      </c>
      <c r="H572" t="inlineStr">
        <is>
          <t>手账爱好者, 学生</t>
        </is>
      </c>
      <c r="I572" t="inlineStr">
        <is>
          <t>兴趣爱好</t>
        </is>
      </c>
      <c r="J572">
        <v>4454</v>
      </c>
      <c r="K572" t="inlineStr">
        <is>
          <t>0.4</t>
        </is>
      </c>
      <c r="L572">
        <v>3966</v>
      </c>
      <c r="M572">
        <v>1684</v>
      </c>
      <c r="N572">
        <v>283</v>
      </c>
      <c r="O572">
        <v>175</v>
      </c>
      <c r="P572">
        <v>0</v>
      </c>
      <c r="Q572">
        <v>0.6</v>
      </c>
      <c r="R572">
        <v>0</v>
      </c>
      <c r="S572">
        <v>0</v>
      </c>
      <c r="T572">
        <v>0</v>
      </c>
      <c r="U572">
        <v>0</v>
      </c>
      <c r="V572">
        <v>175</v>
      </c>
      <c r="W572">
        <v>0</v>
      </c>
      <c r="X572">
        <v>0</v>
      </c>
      <c r="Y572">
        <v>0</v>
      </c>
      <c r="Z572">
        <v>0</v>
      </c>
      <c r="AA572">
        <v>3966</v>
      </c>
      <c r="AB572">
        <v>1684</v>
      </c>
      <c r="AC572">
        <v>274</v>
      </c>
      <c r="AD572">
        <v>1.7</v>
      </c>
      <c r="AE572">
        <v>330</v>
      </c>
      <c r="AF572">
        <v>0.6</v>
      </c>
      <c r="AG572">
        <v>0</v>
      </c>
      <c r="AH572">
        <v>0.035</v>
      </c>
      <c r="AI572">
        <v>83.21</v>
      </c>
      <c r="AJ572">
        <v>1.17</v>
      </c>
      <c r="AK572">
        <v>0</v>
      </c>
      <c r="AL572">
        <v>0</v>
      </c>
      <c r="AM572">
        <v>0</v>
      </c>
      <c r="AN572">
        <v>0</v>
      </c>
      <c r="AO572">
        <v>0</v>
      </c>
      <c r="AP572">
        <v>0.897</v>
      </c>
      <c r="AQ572">
        <v>0.046</v>
      </c>
      <c r="AR572">
        <v>0.01</v>
      </c>
      <c r="AS572" s="3">
        <v>46107.77177083334</v>
      </c>
    </row>
    <row r="573" ht="25.5" customHeight="1">
      <c r="A573" t="inlineStr">
        <is>
          <t>62a173d20000000021027f05</t>
        </is>
      </c>
      <c r="B573" s="2" t="str">
        <f>=HYPERLINK("https://www.xiaohongshu.com/user/profile/62a173d20000000021027f05", "https://www.xiaohongshu.com/user/profile/62a173d20000000021027f05")</f>
        <v>https://www.xiaohongshu.com/user/profile/62a173d20000000021027f05</v>
      </c>
      <c r="C573" s="2" t="str">
        <f>=HYPERLINK("https://pgy.xiaohongshu.com/solar/pre-trade/blogger-detail/62a173d20000000021027f05", "https://pgy.xiaohongshu.com/solar/pre-trade/blogger-detail/62a173d20000000021027f05")</f>
        <v>https://pgy.xiaohongshu.com/solar/pre-trade/blogger-detail/62a173d20000000021027f05</v>
      </c>
      <c r="D573" t="inlineStr">
        <is>
          <t>女</t>
        </is>
      </c>
      <c r="E573" t="inlineStr">
        <is>
          <t>5626569884</t>
        </is>
      </c>
      <c r="F573" t="inlineStr">
        <is>
          <t>Queena</t>
        </is>
      </c>
      <c r="G573" t="inlineStr">
        <is>
          <t>山东 济南 长清区</t>
        </is>
      </c>
      <c r="H573" t="inlineStr">
        <is>
          <t>学生</t>
        </is>
      </c>
      <c r="I573" t="inlineStr">
        <is>
          <t>职场, 教育</t>
        </is>
      </c>
      <c r="J573">
        <v>13067</v>
      </c>
      <c r="K573" t="inlineStr">
        <is>
          <t>1.3</t>
        </is>
      </c>
      <c r="L573">
        <v>367968</v>
      </c>
      <c r="M573">
        <v>25976</v>
      </c>
      <c r="N573">
        <v>5151</v>
      </c>
      <c r="O573">
        <v>750</v>
      </c>
      <c r="P573">
        <v>0.75</v>
      </c>
      <c r="Q573">
        <v>1</v>
      </c>
      <c r="R573">
        <v>367968</v>
      </c>
      <c r="S573">
        <v>25976</v>
      </c>
      <c r="T573">
        <v>4743</v>
      </c>
      <c r="U573">
        <v>0.34</v>
      </c>
      <c r="V573">
        <v>750</v>
      </c>
      <c r="W573">
        <v>1</v>
      </c>
      <c r="X573">
        <v>0.75</v>
      </c>
      <c r="Y573">
        <v>4.47</v>
      </c>
      <c r="Z573">
        <v>0.22</v>
      </c>
      <c r="AA573">
        <v>0</v>
      </c>
      <c r="AB573">
        <v>0</v>
      </c>
      <c r="AC573">
        <v>0</v>
      </c>
      <c r="AD573">
        <v>0</v>
      </c>
      <c r="AE573">
        <v>2343</v>
      </c>
      <c r="AF573">
        <v>0</v>
      </c>
      <c r="AG573">
        <v>0</v>
      </c>
      <c r="AH573">
        <v>0</v>
      </c>
      <c r="AI573">
        <v>0</v>
      </c>
      <c r="AJ573">
        <v>0</v>
      </c>
      <c r="AK573">
        <v>2971</v>
      </c>
      <c r="AL573">
        <v>387</v>
      </c>
      <c r="AM573">
        <v>67</v>
      </c>
      <c r="AN573">
        <v>0</v>
      </c>
      <c r="AO573">
        <v>0</v>
      </c>
      <c r="AP573">
        <v>0.937</v>
      </c>
      <c r="AQ573">
        <v>0.13</v>
      </c>
      <c r="AR573">
        <v>0.091</v>
      </c>
      <c r="AS573" s="3">
        <v>46107.77177083334</v>
      </c>
    </row>
    <row r="574" ht="25.5" customHeight="1">
      <c r="A574" t="inlineStr">
        <is>
          <t>60611d810000000001007da6</t>
        </is>
      </c>
      <c r="B574" s="2" t="str">
        <f>=HYPERLINK("https://www.xiaohongshu.com/user/profile/60611d810000000001007da6", "https://www.xiaohongshu.com/user/profile/60611d810000000001007da6")</f>
        <v>https://www.xiaohongshu.com/user/profile/60611d810000000001007da6</v>
      </c>
      <c r="C574" s="2" t="str">
        <f>=HYPERLINK("https://pgy.xiaohongshu.com/solar/pre-trade/blogger-detail/60611d810000000001007da6", "https://pgy.xiaohongshu.com/solar/pre-trade/blogger-detail/60611d810000000001007da6")</f>
        <v>https://pgy.xiaohongshu.com/solar/pre-trade/blogger-detail/60611d810000000001007da6</v>
      </c>
      <c r="D574" t="inlineStr">
        <is>
          <t>女</t>
        </is>
      </c>
      <c r="E574" t="inlineStr">
        <is>
          <t>1141754139</t>
        </is>
      </c>
      <c r="F574" t="inlineStr">
        <is>
          <t>四夕的记事本</t>
        </is>
      </c>
      <c r="G574" t="inlineStr">
        <is>
          <t>重庆</t>
        </is>
      </c>
      <c r="H574" t="inlineStr">
        <is>
          <t>考研过来人, 学生</t>
        </is>
      </c>
      <c r="I574" t="inlineStr">
        <is>
          <t>教育</t>
        </is>
      </c>
      <c r="J574">
        <v>2139</v>
      </c>
      <c r="K574" t="inlineStr">
        <is>
          <t>0.2</t>
        </is>
      </c>
      <c r="L574">
        <v>18980</v>
      </c>
      <c r="M574">
        <v>4186</v>
      </c>
      <c r="N574">
        <v>1056</v>
      </c>
      <c r="O574">
        <v>280</v>
      </c>
      <c r="P574">
        <v>0</v>
      </c>
      <c r="Q574">
        <v>1</v>
      </c>
      <c r="R574">
        <v>18980</v>
      </c>
      <c r="S574">
        <v>4186</v>
      </c>
      <c r="T574">
        <v>958</v>
      </c>
      <c r="U574">
        <v>0.37</v>
      </c>
      <c r="V574">
        <v>280</v>
      </c>
      <c r="W574">
        <v>1</v>
      </c>
      <c r="X574">
        <v>0</v>
      </c>
      <c r="Y574">
        <v>14.75</v>
      </c>
      <c r="Z574">
        <v>0.27</v>
      </c>
      <c r="AA574">
        <v>0</v>
      </c>
      <c r="AB574">
        <v>0</v>
      </c>
      <c r="AC574">
        <v>0</v>
      </c>
      <c r="AD574">
        <v>0</v>
      </c>
      <c r="AE574">
        <v>350</v>
      </c>
      <c r="AF574">
        <v>0</v>
      </c>
      <c r="AG574">
        <v>0</v>
      </c>
      <c r="AH574">
        <v>0</v>
      </c>
      <c r="AI574">
        <v>0</v>
      </c>
      <c r="AJ574">
        <v>0</v>
      </c>
      <c r="AK574">
        <v>0</v>
      </c>
      <c r="AL574">
        <v>0</v>
      </c>
      <c r="AM574">
        <v>0</v>
      </c>
      <c r="AN574">
        <v>0</v>
      </c>
      <c r="AO574">
        <v>0</v>
      </c>
      <c r="AP574">
        <v>0.885</v>
      </c>
      <c r="AQ574">
        <v>0.05</v>
      </c>
      <c r="AR574">
        <v>0.055</v>
      </c>
      <c r="AS574" s="3">
        <v>46107.77177083334</v>
      </c>
    </row>
    <row r="575" ht="25.5" customHeight="1">
      <c r="A575" t="inlineStr">
        <is>
          <t>5e92ed5800000000010066a6</t>
        </is>
      </c>
      <c r="B575" s="2" t="str">
        <f>=HYPERLINK("https://www.xiaohongshu.com/user/profile/5e92ed5800000000010066a6", "https://www.xiaohongshu.com/user/profile/5e92ed5800000000010066a6")</f>
        <v>https://www.xiaohongshu.com/user/profile/5e92ed5800000000010066a6</v>
      </c>
      <c r="C575" s="2" t="str">
        <f>=HYPERLINK("https://pgy.xiaohongshu.com/solar/pre-trade/blogger-detail/5e92ed5800000000010066a6", "https://pgy.xiaohongshu.com/solar/pre-trade/blogger-detail/5e92ed5800000000010066a6")</f>
        <v>https://pgy.xiaohongshu.com/solar/pre-trade/blogger-detail/5e92ed5800000000010066a6</v>
      </c>
      <c r="D575" t="inlineStr">
        <is>
          <t>女</t>
        </is>
      </c>
      <c r="E575" t="inlineStr">
        <is>
          <t>821670926</t>
        </is>
      </c>
      <c r="F575" t="inlineStr">
        <is>
          <t>sugarrr</t>
        </is>
      </c>
      <c r="G575" t="inlineStr">
        <is>
          <t>中国 香港</t>
        </is>
      </c>
      <c r="H575" t="inlineStr">
        <is>
          <t>留学背景</t>
        </is>
      </c>
      <c r="I575" t="inlineStr">
        <is>
          <t>教育, 生活记录</t>
        </is>
      </c>
      <c r="J575">
        <v>8260</v>
      </c>
      <c r="K575" t="inlineStr">
        <is>
          <t>0.8</t>
        </is>
      </c>
      <c r="L575">
        <v>17690</v>
      </c>
      <c r="M575">
        <v>3115</v>
      </c>
      <c r="N575">
        <v>373</v>
      </c>
      <c r="O575">
        <v>3000</v>
      </c>
      <c r="P575">
        <v>0</v>
      </c>
      <c r="Q575">
        <v>0.833</v>
      </c>
      <c r="R575">
        <v>16776</v>
      </c>
      <c r="S575">
        <v>2627</v>
      </c>
      <c r="T575">
        <v>327</v>
      </c>
      <c r="U575">
        <v>1.44</v>
      </c>
      <c r="V575">
        <v>3000</v>
      </c>
      <c r="W575">
        <v>1</v>
      </c>
      <c r="X575">
        <v>0</v>
      </c>
      <c r="Y575">
        <v>178.83</v>
      </c>
      <c r="Z575">
        <v>8.2</v>
      </c>
      <c r="AA575">
        <v>18604</v>
      </c>
      <c r="AB575">
        <v>3604</v>
      </c>
      <c r="AC575">
        <v>315</v>
      </c>
      <c r="AD575">
        <v>2.89</v>
      </c>
      <c r="AE575">
        <v>5000</v>
      </c>
      <c r="AF575">
        <v>0.8</v>
      </c>
      <c r="AG575">
        <v>0</v>
      </c>
      <c r="AH575">
        <v>0.059</v>
      </c>
      <c r="AI575">
        <v>268.76</v>
      </c>
      <c r="AJ575">
        <v>13.16</v>
      </c>
      <c r="AK575">
        <v>0</v>
      </c>
      <c r="AL575">
        <v>0</v>
      </c>
      <c r="AM575">
        <v>0</v>
      </c>
      <c r="AN575">
        <v>0</v>
      </c>
      <c r="AO575">
        <v>0</v>
      </c>
      <c r="AP575">
        <v>0.877</v>
      </c>
      <c r="AQ575">
        <v>0.063</v>
      </c>
      <c r="AR575">
        <v>0.0819999999999999</v>
      </c>
      <c r="AS575" s="3">
        <v>46107.77177083334</v>
      </c>
    </row>
    <row r="576" ht="25.5" customHeight="1">
      <c r="A576" t="inlineStr">
        <is>
          <t>6955c73c000000002b006b71</t>
        </is>
      </c>
      <c r="B576" s="2" t="str">
        <f>=HYPERLINK("https://www.xiaohongshu.com/user/profile/6955c73c000000002b006b71", "https://www.xiaohongshu.com/user/profile/6955c73c000000002b006b71")</f>
        <v>https://www.xiaohongshu.com/user/profile/6955c73c000000002b006b71</v>
      </c>
      <c r="C576" s="2" t="str">
        <f>=HYPERLINK("https://pgy.xiaohongshu.com/solar/pre-trade/blogger-detail/6955c73c000000002b006b71", "https://pgy.xiaohongshu.com/solar/pre-trade/blogger-detail/6955c73c000000002b006b71")</f>
        <v>https://pgy.xiaohongshu.com/solar/pre-trade/blogger-detail/6955c73c000000002b006b71</v>
      </c>
      <c r="D576" t="inlineStr">
        <is>
          <t>女</t>
        </is>
      </c>
      <c r="E576" t="inlineStr">
        <is>
          <t>Rachel_124723</t>
        </is>
      </c>
      <c r="F576" t="inlineStr">
        <is>
          <t>芮秋教发音</t>
        </is>
      </c>
      <c r="G576" t="inlineStr">
        <is>
          <t>河北 衡水 阜城县</t>
        </is>
      </c>
      <c r="H576"/>
      <c r="I576" t="inlineStr">
        <is>
          <t>教育</t>
        </is>
      </c>
      <c r="J576">
        <v>4728</v>
      </c>
      <c r="K576" t="inlineStr">
        <is>
          <t>0.5</t>
        </is>
      </c>
      <c r="L576">
        <v>9728</v>
      </c>
      <c r="M576">
        <v>1998</v>
      </c>
      <c r="N576">
        <v>238</v>
      </c>
      <c r="O576">
        <v>200</v>
      </c>
      <c r="P576">
        <v>0</v>
      </c>
      <c r="Q576">
        <v>0.444</v>
      </c>
      <c r="R576">
        <v>5384</v>
      </c>
      <c r="S576">
        <v>416</v>
      </c>
      <c r="T576">
        <v>9</v>
      </c>
      <c r="U576">
        <v>0.78</v>
      </c>
      <c r="V576">
        <v>200</v>
      </c>
      <c r="W576">
        <v>0</v>
      </c>
      <c r="X576">
        <v>0</v>
      </c>
      <c r="Y576">
        <v>37.15</v>
      </c>
      <c r="Z576">
        <v>18.18</v>
      </c>
      <c r="AA576">
        <v>10279</v>
      </c>
      <c r="AB576">
        <v>2227</v>
      </c>
      <c r="AC576">
        <v>153</v>
      </c>
      <c r="AD576">
        <v>1.63</v>
      </c>
      <c r="AE576">
        <v>300</v>
      </c>
      <c r="AF576">
        <v>0.5</v>
      </c>
      <c r="AG576">
        <v>0</v>
      </c>
      <c r="AH576">
        <v>0.105</v>
      </c>
      <c r="AI576">
        <v>29.18</v>
      </c>
      <c r="AJ576">
        <v>1.25</v>
      </c>
      <c r="AK576">
        <v>0</v>
      </c>
      <c r="AL576">
        <v>0</v>
      </c>
      <c r="AM576">
        <v>0</v>
      </c>
      <c r="AN576">
        <v>0</v>
      </c>
      <c r="AO576">
        <v>0</v>
      </c>
      <c r="AP576">
        <v>0.995</v>
      </c>
      <c r="AQ576">
        <v>0.211</v>
      </c>
      <c r="AR576">
        <v>0.895999999999999</v>
      </c>
      <c r="AS576" s="3">
        <v>46107.77177083334</v>
      </c>
    </row>
    <row r="577" ht="25.5" customHeight="1">
      <c r="A577" t="inlineStr">
        <is>
          <t>597eb65082ec39342fb5e8f3</t>
        </is>
      </c>
      <c r="B577" s="2" t="str">
        <f>=HYPERLINK("https://www.xiaohongshu.com/user/profile/597eb65082ec39342fb5e8f3", "https://www.xiaohongshu.com/user/profile/597eb65082ec39342fb5e8f3")</f>
        <v>https://www.xiaohongshu.com/user/profile/597eb65082ec39342fb5e8f3</v>
      </c>
      <c r="C577" s="2" t="str">
        <f>=HYPERLINK("https://pgy.xiaohongshu.com/solar/pre-trade/blogger-detail/597eb65082ec39342fb5e8f3", "https://pgy.xiaohongshu.com/solar/pre-trade/blogger-detail/597eb65082ec39342fb5e8f3")</f>
        <v>https://pgy.xiaohongshu.com/solar/pre-trade/blogger-detail/597eb65082ec39342fb5e8f3</v>
      </c>
      <c r="D577" t="inlineStr">
        <is>
          <t>女</t>
        </is>
      </c>
      <c r="E577" t="inlineStr">
        <is>
          <t>yueyue99moon</t>
        </is>
      </c>
      <c r="F577" t="inlineStr">
        <is>
          <t>睡眠羊🐑</t>
        </is>
      </c>
      <c r="G577" t="inlineStr">
        <is>
          <t>山西 长治 潞城区</t>
        </is>
      </c>
      <c r="H577" t="inlineStr">
        <is>
          <t>学生</t>
        </is>
      </c>
      <c r="I577" t="inlineStr">
        <is>
          <t>教育</t>
        </is>
      </c>
      <c r="J577">
        <v>1188</v>
      </c>
      <c r="K577" t="inlineStr">
        <is>
          <t>0.1</t>
        </is>
      </c>
      <c r="L577">
        <v>10919</v>
      </c>
      <c r="M577">
        <v>2665</v>
      </c>
      <c r="N577">
        <v>320</v>
      </c>
      <c r="O577">
        <v>300</v>
      </c>
      <c r="P577">
        <v>0</v>
      </c>
      <c r="Q577">
        <v>0.75</v>
      </c>
      <c r="R577">
        <v>8234</v>
      </c>
      <c r="S577">
        <v>1588</v>
      </c>
      <c r="T577">
        <v>147</v>
      </c>
      <c r="U577">
        <v>0.49</v>
      </c>
      <c r="V577">
        <v>300</v>
      </c>
      <c r="W577">
        <v>0.667</v>
      </c>
      <c r="X577">
        <v>0</v>
      </c>
      <c r="Y577">
        <v>36.43</v>
      </c>
      <c r="Z577">
        <v>1.95</v>
      </c>
      <c r="AA577">
        <v>13604</v>
      </c>
      <c r="AB577">
        <v>3742</v>
      </c>
      <c r="AC577">
        <v>456</v>
      </c>
      <c r="AD577">
        <v>1.61</v>
      </c>
      <c r="AE577">
        <v>400</v>
      </c>
      <c r="AF577">
        <v>0.8</v>
      </c>
      <c r="AG577">
        <v>0</v>
      </c>
      <c r="AH577">
        <v>0.032</v>
      </c>
      <c r="AI577">
        <v>29.4</v>
      </c>
      <c r="AJ577">
        <v>0.82</v>
      </c>
      <c r="AK577">
        <v>0</v>
      </c>
      <c r="AL577">
        <v>0</v>
      </c>
      <c r="AM577">
        <v>0</v>
      </c>
      <c r="AN577">
        <v>0</v>
      </c>
      <c r="AO577">
        <v>0</v>
      </c>
      <c r="AP577">
        <v>0.92</v>
      </c>
      <c r="AQ577">
        <v>0.119</v>
      </c>
      <c r="AR577">
        <v>0</v>
      </c>
      <c r="AS577" s="3">
        <v>46107.77177083334</v>
      </c>
    </row>
    <row r="578" ht="25.5" customHeight="1">
      <c r="A578" t="inlineStr">
        <is>
          <t>5b2c34754eacab53fe69e5df</t>
        </is>
      </c>
      <c r="B578" s="2" t="str">
        <f>=HYPERLINK("https://www.xiaohongshu.com/user/profile/5b2c34754eacab53fe69e5df", "https://www.xiaohongshu.com/user/profile/5b2c34754eacab53fe69e5df")</f>
        <v>https://www.xiaohongshu.com/user/profile/5b2c34754eacab53fe69e5df</v>
      </c>
      <c r="C578" s="2" t="str">
        <f>=HYPERLINK("https://pgy.xiaohongshu.com/solar/pre-trade/blogger-detail/5b2c34754eacab53fe69e5df", "https://pgy.xiaohongshu.com/solar/pre-trade/blogger-detail/5b2c34754eacab53fe69e5df")</f>
        <v>https://pgy.xiaohongshu.com/solar/pre-trade/blogger-detail/5b2c34754eacab53fe69e5df</v>
      </c>
      <c r="D578" t="inlineStr">
        <is>
          <t>女</t>
        </is>
      </c>
      <c r="E578" t="inlineStr">
        <is>
          <t>119839573</t>
        </is>
      </c>
      <c r="F578" t="inlineStr">
        <is>
          <t>gt-Ariel</t>
        </is>
      </c>
      <c r="G578" t="inlineStr">
        <is>
          <t>广东 深圳 南山区</t>
        </is>
      </c>
      <c r="H578" t="inlineStr">
        <is>
          <t>留学背景, 翻译</t>
        </is>
      </c>
      <c r="I578" t="inlineStr">
        <is>
          <t>教育</t>
        </is>
      </c>
      <c r="J578">
        <v>21768</v>
      </c>
      <c r="K578" t="inlineStr">
        <is>
          <t>2.2</t>
        </is>
      </c>
      <c r="L578">
        <v>19162</v>
      </c>
      <c r="M578">
        <v>1849</v>
      </c>
      <c r="N578">
        <v>323</v>
      </c>
      <c r="O578">
        <v>1800</v>
      </c>
      <c r="P578">
        <v>0.111</v>
      </c>
      <c r="Q578">
        <v>0.667</v>
      </c>
      <c r="R578">
        <v>20755</v>
      </c>
      <c r="S578">
        <v>2880</v>
      </c>
      <c r="T578">
        <v>278</v>
      </c>
      <c r="U578">
        <v>1.19</v>
      </c>
      <c r="V578">
        <v>1800</v>
      </c>
      <c r="W578">
        <v>0.714</v>
      </c>
      <c r="X578">
        <v>0.143</v>
      </c>
      <c r="Y578">
        <v>137.64</v>
      </c>
      <c r="Z578">
        <v>5.59</v>
      </c>
      <c r="AA578">
        <v>13852</v>
      </c>
      <c r="AB578">
        <v>1609</v>
      </c>
      <c r="AC578">
        <v>203</v>
      </c>
      <c r="AD578">
        <v>2.97</v>
      </c>
      <c r="AE578">
        <v>2361</v>
      </c>
      <c r="AF578">
        <v>0.5</v>
      </c>
      <c r="AG578">
        <v>0</v>
      </c>
      <c r="AH578">
        <v>0.182</v>
      </c>
      <c r="AI578">
        <v>170.44</v>
      </c>
      <c r="AJ578">
        <v>10.64</v>
      </c>
      <c r="AK578">
        <v>4944</v>
      </c>
      <c r="AL578">
        <v>329</v>
      </c>
      <c r="AM578">
        <v>32</v>
      </c>
      <c r="AN578">
        <v>0</v>
      </c>
      <c r="AO578">
        <v>0</v>
      </c>
      <c r="AP578">
        <v>0.835</v>
      </c>
      <c r="AQ578">
        <v>0.045</v>
      </c>
      <c r="AR578">
        <v>0.018</v>
      </c>
      <c r="AS578" s="3">
        <v>46107.77177083334</v>
      </c>
    </row>
    <row r="579" ht="25.5" customHeight="1">
      <c r="A579" t="inlineStr">
        <is>
          <t>683fd565000000001e007aec</t>
        </is>
      </c>
      <c r="B579" s="2" t="str">
        <f>=HYPERLINK("https://www.xiaohongshu.com/user/profile/683fd565000000001e007aec", "https://www.xiaohongshu.com/user/profile/683fd565000000001e007aec")</f>
        <v>https://www.xiaohongshu.com/user/profile/683fd565000000001e007aec</v>
      </c>
      <c r="C579" s="2" t="str">
        <f>=HYPERLINK("https://pgy.xiaohongshu.com/solar/pre-trade/blogger-detail/683fd565000000001e007aec", "https://pgy.xiaohongshu.com/solar/pre-trade/blogger-detail/683fd565000000001e007aec")</f>
        <v>https://pgy.xiaohongshu.com/solar/pre-trade/blogger-detail/683fd565000000001e007aec</v>
      </c>
      <c r="D579" t="inlineStr">
        <is>
          <t>男</t>
        </is>
      </c>
      <c r="E579" t="inlineStr">
        <is>
          <t>42272539089</t>
        </is>
      </c>
      <c r="F579" t="inlineStr">
        <is>
          <t>尘光offer</t>
        </is>
      </c>
      <c r="G579" t="inlineStr">
        <is>
          <t>上海</t>
        </is>
      </c>
      <c r="H579" t="inlineStr">
        <is>
          <t>学生</t>
        </is>
      </c>
      <c r="I579" t="inlineStr">
        <is>
          <t>职场</t>
        </is>
      </c>
      <c r="J579">
        <v>7893</v>
      </c>
      <c r="K579" t="inlineStr">
        <is>
          <t>0.8</t>
        </is>
      </c>
      <c r="L579">
        <v>13241</v>
      </c>
      <c r="M579">
        <v>2739</v>
      </c>
      <c r="N579">
        <v>107</v>
      </c>
      <c r="O579">
        <v>463</v>
      </c>
      <c r="P579">
        <v>0.045</v>
      </c>
      <c r="Q579">
        <v>0.273</v>
      </c>
      <c r="R579">
        <v>13241</v>
      </c>
      <c r="S579">
        <v>2739</v>
      </c>
      <c r="T579">
        <v>60</v>
      </c>
      <c r="U579">
        <v>0.48</v>
      </c>
      <c r="V579">
        <v>463</v>
      </c>
      <c r="W579">
        <v>0.273</v>
      </c>
      <c r="X579">
        <v>0.045</v>
      </c>
      <c r="Y579">
        <v>35.7</v>
      </c>
      <c r="Z579">
        <v>4.37</v>
      </c>
      <c r="AA579">
        <v>0</v>
      </c>
      <c r="AB579">
        <v>0</v>
      </c>
      <c r="AC579">
        <v>0</v>
      </c>
      <c r="AD579">
        <v>0</v>
      </c>
      <c r="AE579">
        <v>732</v>
      </c>
      <c r="AF579">
        <v>0</v>
      </c>
      <c r="AG579">
        <v>0</v>
      </c>
      <c r="AH579">
        <v>0</v>
      </c>
      <c r="AI579">
        <v>0</v>
      </c>
      <c r="AJ579">
        <v>0</v>
      </c>
      <c r="AK579">
        <v>5914</v>
      </c>
      <c r="AL579">
        <v>323</v>
      </c>
      <c r="AM579">
        <v>4</v>
      </c>
      <c r="AN579">
        <v>0</v>
      </c>
      <c r="AO579">
        <v>0</v>
      </c>
      <c r="AP579">
        <v>0.95</v>
      </c>
      <c r="AQ579">
        <v>0.0969999999999999</v>
      </c>
      <c r="AR579">
        <v>0.07</v>
      </c>
      <c r="AS579" s="3">
        <v>46107.77177083334</v>
      </c>
    </row>
    <row r="580" ht="25.5" customHeight="1">
      <c r="A580" t="inlineStr">
        <is>
          <t>612895520000000001007927</t>
        </is>
      </c>
      <c r="B580" s="2" t="str">
        <f>=HYPERLINK("https://www.xiaohongshu.com/user/profile/612895520000000001007927", "https://www.xiaohongshu.com/user/profile/612895520000000001007927")</f>
        <v>https://www.xiaohongshu.com/user/profile/612895520000000001007927</v>
      </c>
      <c r="C580" s="2" t="str">
        <f>=HYPERLINK("https://pgy.xiaohongshu.com/solar/pre-trade/blogger-detail/612895520000000001007927", "https://pgy.xiaohongshu.com/solar/pre-trade/blogger-detail/612895520000000001007927")</f>
        <v>https://pgy.xiaohongshu.com/solar/pre-trade/blogger-detail/612895520000000001007927</v>
      </c>
      <c r="D580" t="inlineStr">
        <is>
          <t>女</t>
        </is>
      </c>
      <c r="E580" t="inlineStr">
        <is>
          <t>4201512784</t>
        </is>
      </c>
      <c r="F580" t="inlineStr">
        <is>
          <t>山山的英语笔记</t>
        </is>
      </c>
      <c r="G580" t="inlineStr">
        <is>
          <t>湖南 湘潭 雨湖区</t>
        </is>
      </c>
      <c r="H580"/>
      <c r="I580" t="inlineStr">
        <is>
          <t>教育</t>
        </is>
      </c>
      <c r="J580">
        <v>6989</v>
      </c>
      <c r="K580" t="inlineStr">
        <is>
          <t>0.7</t>
        </is>
      </c>
      <c r="L580">
        <v>11670</v>
      </c>
      <c r="M580">
        <v>1267</v>
      </c>
      <c r="N580">
        <v>253</v>
      </c>
      <c r="O580">
        <v>200</v>
      </c>
      <c r="P580">
        <v>0.048</v>
      </c>
      <c r="Q580">
        <v>0.714</v>
      </c>
      <c r="R580">
        <v>11670</v>
      </c>
      <c r="S580">
        <v>1267</v>
      </c>
      <c r="T580">
        <v>225</v>
      </c>
      <c r="U580">
        <v>0.46</v>
      </c>
      <c r="V580">
        <v>200</v>
      </c>
      <c r="W580">
        <v>0.714</v>
      </c>
      <c r="X580">
        <v>0.048</v>
      </c>
      <c r="Y580">
        <v>17.14</v>
      </c>
      <c r="Z580">
        <v>0.79</v>
      </c>
      <c r="AA580">
        <v>0</v>
      </c>
      <c r="AB580">
        <v>0</v>
      </c>
      <c r="AC580">
        <v>0</v>
      </c>
      <c r="AD580">
        <v>0</v>
      </c>
      <c r="AE580">
        <v>420</v>
      </c>
      <c r="AF580">
        <v>0</v>
      </c>
      <c r="AG580">
        <v>0</v>
      </c>
      <c r="AH580">
        <v>0</v>
      </c>
      <c r="AI580">
        <v>0</v>
      </c>
      <c r="AJ580">
        <v>0</v>
      </c>
      <c r="AK580">
        <v>0</v>
      </c>
      <c r="AL580">
        <v>0</v>
      </c>
      <c r="AM580">
        <v>0</v>
      </c>
      <c r="AN580">
        <v>0</v>
      </c>
      <c r="AO580">
        <v>0</v>
      </c>
      <c r="AP580">
        <v>0.971</v>
      </c>
      <c r="AQ580">
        <v>0.273</v>
      </c>
      <c r="AR580">
        <v>1.464</v>
      </c>
      <c r="AS580" s="3">
        <v>46107.77177083334</v>
      </c>
    </row>
    <row r="581" ht="25.5" customHeight="1">
      <c r="A581" t="inlineStr">
        <is>
          <t>5f167eca000000000101cb1c</t>
        </is>
      </c>
      <c r="B581" s="2" t="str">
        <f>=HYPERLINK("https://www.xiaohongshu.com/user/profile/5f167eca000000000101cb1c", "https://www.xiaohongshu.com/user/profile/5f167eca000000000101cb1c")</f>
        <v>https://www.xiaohongshu.com/user/profile/5f167eca000000000101cb1c</v>
      </c>
      <c r="C581" s="2" t="str">
        <f>=HYPERLINK("https://pgy.xiaohongshu.com/solar/pre-trade/blogger-detail/5f167eca000000000101cb1c", "https://pgy.xiaohongshu.com/solar/pre-trade/blogger-detail/5f167eca000000000101cb1c")</f>
        <v>https://pgy.xiaohongshu.com/solar/pre-trade/blogger-detail/5f167eca000000000101cb1c</v>
      </c>
      <c r="D581" t="inlineStr">
        <is>
          <t>女</t>
        </is>
      </c>
      <c r="E581" t="inlineStr">
        <is>
          <t>310711897</t>
        </is>
      </c>
      <c r="F581" t="inlineStr">
        <is>
          <t>塔塔会去巴黎</t>
        </is>
      </c>
      <c r="G581" t="inlineStr">
        <is>
          <t>美国</t>
        </is>
      </c>
      <c r="H581" t="inlineStr">
        <is>
          <t>学生</t>
        </is>
      </c>
      <c r="I581" t="inlineStr">
        <is>
          <t>教育</t>
        </is>
      </c>
      <c r="J581">
        <v>5307</v>
      </c>
      <c r="K581" t="inlineStr">
        <is>
          <t>0.5</t>
        </is>
      </c>
      <c r="L581">
        <v>16487</v>
      </c>
      <c r="M581">
        <v>2491</v>
      </c>
      <c r="N581">
        <v>180</v>
      </c>
      <c r="O581">
        <v>680</v>
      </c>
      <c r="P581">
        <v>0</v>
      </c>
      <c r="Q581">
        <v>0.6</v>
      </c>
      <c r="R581">
        <v>16487</v>
      </c>
      <c r="S581">
        <v>2491</v>
      </c>
      <c r="T581">
        <v>152</v>
      </c>
      <c r="U581">
        <v>0.62</v>
      </c>
      <c r="V581">
        <v>680</v>
      </c>
      <c r="W581">
        <v>0.6</v>
      </c>
      <c r="X581">
        <v>0</v>
      </c>
      <c r="Y581">
        <v>54.13</v>
      </c>
      <c r="Z581">
        <v>5.57</v>
      </c>
      <c r="AA581">
        <v>0</v>
      </c>
      <c r="AB581">
        <v>0</v>
      </c>
      <c r="AC581">
        <v>0</v>
      </c>
      <c r="AD581">
        <v>0</v>
      </c>
      <c r="AE581">
        <v>680</v>
      </c>
      <c r="AF581">
        <v>0</v>
      </c>
      <c r="AG581">
        <v>0</v>
      </c>
      <c r="AH581">
        <v>0</v>
      </c>
      <c r="AI581">
        <v>0</v>
      </c>
      <c r="AJ581">
        <v>0</v>
      </c>
      <c r="AK581">
        <v>10279</v>
      </c>
      <c r="AL581">
        <v>1676</v>
      </c>
      <c r="AM581">
        <v>64</v>
      </c>
      <c r="AN581">
        <v>2</v>
      </c>
      <c r="AO581">
        <v>352.1</v>
      </c>
      <c r="AP581">
        <v>0.760999999999999</v>
      </c>
      <c r="AQ581">
        <v>0.05</v>
      </c>
      <c r="AR581">
        <v>0.037</v>
      </c>
      <c r="AS581" s="3">
        <v>46107.77196759259</v>
      </c>
    </row>
    <row r="582" ht="25.5" customHeight="1">
      <c r="A582" t="inlineStr">
        <is>
          <t>59db14cf51783a3a2450450b</t>
        </is>
      </c>
      <c r="B582" s="2" t="str">
        <f>=HYPERLINK("https://www.xiaohongshu.com/user/profile/59db14cf51783a3a2450450b", "https://www.xiaohongshu.com/user/profile/59db14cf51783a3a2450450b")</f>
        <v>https://www.xiaohongshu.com/user/profile/59db14cf51783a3a2450450b</v>
      </c>
      <c r="C582" s="2" t="str">
        <f>=HYPERLINK("https://pgy.xiaohongshu.com/solar/pre-trade/blogger-detail/59db14cf51783a3a2450450b", "https://pgy.xiaohongshu.com/solar/pre-trade/blogger-detail/59db14cf51783a3a2450450b")</f>
        <v>https://pgy.xiaohongshu.com/solar/pre-trade/blogger-detail/59db14cf51783a3a2450450b</v>
      </c>
      <c r="D582" t="inlineStr">
        <is>
          <t>女</t>
        </is>
      </c>
      <c r="E582" t="inlineStr">
        <is>
          <t>953781889</t>
        </is>
      </c>
      <c r="F582" t="inlineStr">
        <is>
          <t>贺美美在英国</t>
        </is>
      </c>
      <c r="G582" t="inlineStr">
        <is>
          <t>英国</t>
        </is>
      </c>
      <c r="H582" t="inlineStr">
        <is>
          <t>留学背景, 海外华人</t>
        </is>
      </c>
      <c r="I582" t="inlineStr">
        <is>
          <t>美食</t>
        </is>
      </c>
      <c r="J582">
        <v>30280</v>
      </c>
      <c r="K582" t="inlineStr">
        <is>
          <t>3.0</t>
        </is>
      </c>
      <c r="L582">
        <v>14406</v>
      </c>
      <c r="M582">
        <v>2505</v>
      </c>
      <c r="N582">
        <v>196</v>
      </c>
      <c r="O582">
        <v>2700</v>
      </c>
      <c r="P582">
        <v>0</v>
      </c>
      <c r="Q582">
        <v>0.529</v>
      </c>
      <c r="R582">
        <v>23586</v>
      </c>
      <c r="S582">
        <v>3373</v>
      </c>
      <c r="T582">
        <v>225</v>
      </c>
      <c r="U582">
        <v>1.1</v>
      </c>
      <c r="V582">
        <v>2700</v>
      </c>
      <c r="W582">
        <v>1</v>
      </c>
      <c r="X582">
        <v>0</v>
      </c>
      <c r="Y582">
        <v>114.47</v>
      </c>
      <c r="Z582">
        <v>8.23</v>
      </c>
      <c r="AA582">
        <v>12498</v>
      </c>
      <c r="AB582">
        <v>2232</v>
      </c>
      <c r="AC582">
        <v>167</v>
      </c>
      <c r="AD582">
        <v>2.75</v>
      </c>
      <c r="AE582">
        <v>2800</v>
      </c>
      <c r="AF582">
        <v>0.5</v>
      </c>
      <c r="AG582">
        <v>0</v>
      </c>
      <c r="AH582">
        <v>0.121</v>
      </c>
      <c r="AI582">
        <v>224.03</v>
      </c>
      <c r="AJ582">
        <v>15.95</v>
      </c>
      <c r="AK582">
        <v>0</v>
      </c>
      <c r="AL582">
        <v>0</v>
      </c>
      <c r="AM582">
        <v>0</v>
      </c>
      <c r="AN582">
        <v>0</v>
      </c>
      <c r="AO582">
        <v>0</v>
      </c>
      <c r="AP582">
        <v>0.838</v>
      </c>
      <c r="AQ582">
        <v>0.047</v>
      </c>
      <c r="AR582">
        <v>0.005</v>
      </c>
      <c r="AS582" s="3">
        <v>46107.77196759259</v>
      </c>
    </row>
    <row r="583" ht="25.5" customHeight="1">
      <c r="A583" t="inlineStr">
        <is>
          <t>5b53030d4eacab1d7b706b3c</t>
        </is>
      </c>
      <c r="B583" s="2" t="str">
        <f>=HYPERLINK("https://www.xiaohongshu.com/user/profile/5b53030d4eacab1d7b706b3c", "https://www.xiaohongshu.com/user/profile/5b53030d4eacab1d7b706b3c")</f>
        <v>https://www.xiaohongshu.com/user/profile/5b53030d4eacab1d7b706b3c</v>
      </c>
      <c r="C583" s="2" t="str">
        <f>=HYPERLINK("https://pgy.xiaohongshu.com/solar/pre-trade/blogger-detail/5b53030d4eacab1d7b706b3c", "https://pgy.xiaohongshu.com/solar/pre-trade/blogger-detail/5b53030d4eacab1d7b706b3c")</f>
        <v>https://pgy.xiaohongshu.com/solar/pre-trade/blogger-detail/5b53030d4eacab1d7b706b3c</v>
      </c>
      <c r="D583" t="inlineStr">
        <is>
          <t>女</t>
        </is>
      </c>
      <c r="E583" t="inlineStr">
        <is>
          <t>188908716</t>
        </is>
      </c>
      <c r="F583" t="inlineStr">
        <is>
          <t>好事姜近ylyl</t>
        </is>
      </c>
      <c r="G583" t="inlineStr">
        <is>
          <t>北京</t>
        </is>
      </c>
      <c r="H583" t="inlineStr">
        <is>
          <t>学生</t>
        </is>
      </c>
      <c r="I583" t="inlineStr">
        <is>
          <t>出行旅游, 教育</t>
        </is>
      </c>
      <c r="J583">
        <v>4522</v>
      </c>
      <c r="K583" t="inlineStr">
        <is>
          <t>0.5</t>
        </is>
      </c>
      <c r="L583">
        <v>10494</v>
      </c>
      <c r="M583">
        <v>1587</v>
      </c>
      <c r="N583">
        <v>162</v>
      </c>
      <c r="O583">
        <v>220</v>
      </c>
      <c r="P583">
        <v>0</v>
      </c>
      <c r="Q583">
        <v>0.5</v>
      </c>
      <c r="R583">
        <v>8875</v>
      </c>
      <c r="S583">
        <v>1358</v>
      </c>
      <c r="T583">
        <v>91</v>
      </c>
      <c r="U583">
        <v>0.46</v>
      </c>
      <c r="V583">
        <v>220</v>
      </c>
      <c r="W583">
        <v>0.375</v>
      </c>
      <c r="X583">
        <v>0</v>
      </c>
      <c r="Y583">
        <v>24.79</v>
      </c>
      <c r="Z583">
        <v>2.29</v>
      </c>
      <c r="AA583">
        <v>20583</v>
      </c>
      <c r="AB583">
        <v>2693</v>
      </c>
      <c r="AC583">
        <v>286</v>
      </c>
      <c r="AD583">
        <v>1.59</v>
      </c>
      <c r="AE583">
        <v>250</v>
      </c>
      <c r="AF583">
        <v>1</v>
      </c>
      <c r="AG583">
        <v>0</v>
      </c>
      <c r="AH583">
        <v>0.161</v>
      </c>
      <c r="AI583">
        <v>12.15</v>
      </c>
      <c r="AJ583">
        <v>0.71</v>
      </c>
      <c r="AK583">
        <v>9632</v>
      </c>
      <c r="AL583">
        <v>1118</v>
      </c>
      <c r="AM583">
        <v>135</v>
      </c>
      <c r="AN583">
        <v>0</v>
      </c>
      <c r="AO583">
        <v>0</v>
      </c>
      <c r="AP583">
        <v>0.837</v>
      </c>
      <c r="AQ583">
        <v>0.079</v>
      </c>
      <c r="AR583">
        <v>0.06</v>
      </c>
      <c r="AS583" s="3">
        <v>46107.77196759259</v>
      </c>
    </row>
    <row r="584" ht="25.5" customHeight="1">
      <c r="A584" t="inlineStr">
        <is>
          <t>67972c18000000000a03f69b</t>
        </is>
      </c>
      <c r="B584" s="2" t="str">
        <f>=HYPERLINK("https://www.xiaohongshu.com/user/profile/67972c18000000000a03f69b", "https://www.xiaohongshu.com/user/profile/67972c18000000000a03f69b")</f>
        <v>https://www.xiaohongshu.com/user/profile/67972c18000000000a03f69b</v>
      </c>
      <c r="C584" s="2" t="str">
        <f>=HYPERLINK("https://pgy.xiaohongshu.com/solar/pre-trade/blogger-detail/67972c18000000000a03f69b", "https://pgy.xiaohongshu.com/solar/pre-trade/blogger-detail/67972c18000000000a03f69b")</f>
        <v>https://pgy.xiaohongshu.com/solar/pre-trade/blogger-detail/67972c18000000000a03f69b</v>
      </c>
      <c r="D584" t="inlineStr">
        <is>
          <t>男</t>
        </is>
      </c>
      <c r="E584" t="inlineStr">
        <is>
          <t>11585868783</t>
        </is>
      </c>
      <c r="F584" t="inlineStr">
        <is>
          <t>薛定谔的草稿纸</t>
        </is>
      </c>
      <c r="G584" t="inlineStr">
        <is>
          <t>上海</t>
        </is>
      </c>
      <c r="H584" t="inlineStr">
        <is>
          <t>学生</t>
        </is>
      </c>
      <c r="I584" t="inlineStr">
        <is>
          <t>教育</t>
        </is>
      </c>
      <c r="J584">
        <v>6971</v>
      </c>
      <c r="K584" t="inlineStr">
        <is>
          <t>0.7</t>
        </is>
      </c>
      <c r="L584">
        <v>6159</v>
      </c>
      <c r="M584">
        <v>946</v>
      </c>
      <c r="N584">
        <v>258</v>
      </c>
      <c r="O584">
        <v>234</v>
      </c>
      <c r="P584">
        <v>0</v>
      </c>
      <c r="Q584">
        <v>0.625</v>
      </c>
      <c r="R584">
        <v>6159</v>
      </c>
      <c r="S584">
        <v>946</v>
      </c>
      <c r="T584">
        <v>219</v>
      </c>
      <c r="U584">
        <v>0.56</v>
      </c>
      <c r="V584">
        <v>234</v>
      </c>
      <c r="W584">
        <v>0.625</v>
      </c>
      <c r="X584">
        <v>0</v>
      </c>
      <c r="Y584">
        <v>37.99</v>
      </c>
      <c r="Z584">
        <v>1.5</v>
      </c>
      <c r="AA584">
        <v>0</v>
      </c>
      <c r="AB584">
        <v>0</v>
      </c>
      <c r="AC584">
        <v>0</v>
      </c>
      <c r="AD584">
        <v>0</v>
      </c>
      <c r="AE584">
        <v>365</v>
      </c>
      <c r="AF584">
        <v>0</v>
      </c>
      <c r="AG584">
        <v>0</v>
      </c>
      <c r="AH584">
        <v>0</v>
      </c>
      <c r="AI584">
        <v>0</v>
      </c>
      <c r="AJ584">
        <v>0</v>
      </c>
      <c r="AK584">
        <v>6493</v>
      </c>
      <c r="AL584">
        <v>665</v>
      </c>
      <c r="AM584">
        <v>58</v>
      </c>
      <c r="AN584">
        <v>0</v>
      </c>
      <c r="AO584">
        <v>0</v>
      </c>
      <c r="AP584">
        <v>0.863</v>
      </c>
      <c r="AQ584">
        <v>0.059</v>
      </c>
      <c r="AR584">
        <v>0.067</v>
      </c>
      <c r="AS584" s="3">
        <v>46107.77196759259</v>
      </c>
    </row>
    <row r="585" ht="25.5" customHeight="1">
      <c r="A585" t="inlineStr">
        <is>
          <t>6406835a0000000029015e15</t>
        </is>
      </c>
      <c r="B585" s="2" t="str">
        <f>=HYPERLINK("https://www.xiaohongshu.com/user/profile/6406835a0000000029015e15", "https://www.xiaohongshu.com/user/profile/6406835a0000000029015e15")</f>
        <v>https://www.xiaohongshu.com/user/profile/6406835a0000000029015e15</v>
      </c>
      <c r="C585" s="2" t="str">
        <f>=HYPERLINK("https://pgy.xiaohongshu.com/solar/pre-trade/blogger-detail/6406835a0000000029015e15", "https://pgy.xiaohongshu.com/solar/pre-trade/blogger-detail/6406835a0000000029015e15")</f>
        <v>https://pgy.xiaohongshu.com/solar/pre-trade/blogger-detail/6406835a0000000029015e15</v>
      </c>
      <c r="D585" t="inlineStr">
        <is>
          <t>男</t>
        </is>
      </c>
      <c r="E585" t="inlineStr">
        <is>
          <t>2271868963</t>
        </is>
      </c>
      <c r="F585" t="inlineStr">
        <is>
          <t>English With Fun</t>
        </is>
      </c>
      <c r="G585" t="inlineStr">
        <is>
          <t>浙江 杭州 拱墅区</t>
        </is>
      </c>
      <c r="H585" t="inlineStr">
        <is>
          <t>6-12岁, 爸爸, 家庭</t>
        </is>
      </c>
      <c r="I585" t="inlineStr">
        <is>
          <t>教育</t>
        </is>
      </c>
      <c r="J585">
        <v>14490</v>
      </c>
      <c r="K585" t="inlineStr">
        <is>
          <t>1.4</t>
        </is>
      </c>
      <c r="L585">
        <v>7214</v>
      </c>
      <c r="M585">
        <v>1557</v>
      </c>
      <c r="N585">
        <v>140</v>
      </c>
      <c r="O585">
        <v>198</v>
      </c>
      <c r="P585">
        <v>0.089</v>
      </c>
      <c r="Q585">
        <v>0.4</v>
      </c>
      <c r="R585">
        <v>0</v>
      </c>
      <c r="S585">
        <v>0</v>
      </c>
      <c r="T585">
        <v>0</v>
      </c>
      <c r="U585">
        <v>0</v>
      </c>
      <c r="V585">
        <v>198</v>
      </c>
      <c r="W585">
        <v>0</v>
      </c>
      <c r="X585">
        <v>0</v>
      </c>
      <c r="Y585">
        <v>0</v>
      </c>
      <c r="Z585">
        <v>0</v>
      </c>
      <c r="AA585">
        <v>7214</v>
      </c>
      <c r="AB585">
        <v>1557</v>
      </c>
      <c r="AC585">
        <v>101</v>
      </c>
      <c r="AD585">
        <v>1.89</v>
      </c>
      <c r="AE585">
        <v>667</v>
      </c>
      <c r="AF585">
        <v>0.4</v>
      </c>
      <c r="AG585">
        <v>0.089</v>
      </c>
      <c r="AH585">
        <v>0.34</v>
      </c>
      <c r="AI585">
        <v>83.01</v>
      </c>
      <c r="AJ585">
        <v>4.63</v>
      </c>
      <c r="AK585">
        <v>14301</v>
      </c>
      <c r="AL585">
        <v>2299</v>
      </c>
      <c r="AM585">
        <v>318</v>
      </c>
      <c r="AN585">
        <v>0</v>
      </c>
      <c r="AO585">
        <v>0</v>
      </c>
      <c r="AP585">
        <v>0.998</v>
      </c>
      <c r="AQ585">
        <v>0.298</v>
      </c>
      <c r="AR585">
        <v>0</v>
      </c>
      <c r="AS585" s="3">
        <v>46107.77196759259</v>
      </c>
    </row>
    <row r="586" ht="25.5" customHeight="1">
      <c r="A586" t="inlineStr">
        <is>
          <t>68916bd4000000002900846e</t>
        </is>
      </c>
      <c r="B586" s="2" t="str">
        <f>=HYPERLINK("https://www.xiaohongshu.com/user/profile/68916bd4000000002900846e", "https://www.xiaohongshu.com/user/profile/68916bd4000000002900846e")</f>
        <v>https://www.xiaohongshu.com/user/profile/68916bd4000000002900846e</v>
      </c>
      <c r="C586" s="2" t="str">
        <f>=HYPERLINK("https://pgy.xiaohongshu.com/solar/pre-trade/blogger-detail/68916bd4000000002900846e", "https://pgy.xiaohongshu.com/solar/pre-trade/blogger-detail/68916bd4000000002900846e")</f>
        <v>https://pgy.xiaohongshu.com/solar/pre-trade/blogger-detail/68916bd4000000002900846e</v>
      </c>
      <c r="D586" t="inlineStr">
        <is>
          <t>男</t>
        </is>
      </c>
      <c r="E586" t="inlineStr">
        <is>
          <t>95559985791</t>
        </is>
      </c>
      <c r="F586" t="inlineStr">
        <is>
          <t>秋秋同学</t>
        </is>
      </c>
      <c r="G586" t="inlineStr">
        <is>
          <t>山西 长治 潞州区</t>
        </is>
      </c>
      <c r="H586"/>
      <c r="I586" t="inlineStr">
        <is>
          <t>教育</t>
        </is>
      </c>
      <c r="J586">
        <v>46174</v>
      </c>
      <c r="K586" t="inlineStr">
        <is>
          <t>4.6</t>
        </is>
      </c>
      <c r="L586">
        <v>8579</v>
      </c>
      <c r="M586">
        <v>2911</v>
      </c>
      <c r="N586">
        <v>296</v>
      </c>
      <c r="O586">
        <v>1000</v>
      </c>
      <c r="P586">
        <v>0.174</v>
      </c>
      <c r="Q586">
        <v>0.478</v>
      </c>
      <c r="R586">
        <v>0</v>
      </c>
      <c r="S586">
        <v>0</v>
      </c>
      <c r="T586">
        <v>0</v>
      </c>
      <c r="U586">
        <v>0</v>
      </c>
      <c r="V586">
        <v>1000</v>
      </c>
      <c r="W586">
        <v>0</v>
      </c>
      <c r="X586">
        <v>0</v>
      </c>
      <c r="Y586">
        <v>0</v>
      </c>
      <c r="Z586">
        <v>0</v>
      </c>
      <c r="AA586">
        <v>8579</v>
      </c>
      <c r="AB586">
        <v>2911</v>
      </c>
      <c r="AC586">
        <v>251</v>
      </c>
      <c r="AD586">
        <v>2.02</v>
      </c>
      <c r="AE586">
        <v>1500</v>
      </c>
      <c r="AF586">
        <v>0.478</v>
      </c>
      <c r="AG586">
        <v>0.174</v>
      </c>
      <c r="AH586">
        <v>0.161</v>
      </c>
      <c r="AI586">
        <v>174.85</v>
      </c>
      <c r="AJ586">
        <v>5.07</v>
      </c>
      <c r="AK586">
        <v>0</v>
      </c>
      <c r="AL586">
        <v>0</v>
      </c>
      <c r="AM586">
        <v>0</v>
      </c>
      <c r="AN586">
        <v>0</v>
      </c>
      <c r="AO586">
        <v>0</v>
      </c>
      <c r="AP586">
        <v>0.988</v>
      </c>
      <c r="AQ586">
        <v>0.185</v>
      </c>
      <c r="AR586">
        <v>0.395</v>
      </c>
      <c r="AS586" s="3">
        <v>46107.77196759259</v>
      </c>
    </row>
    <row r="587" ht="25.5" customHeight="1">
      <c r="A587" t="inlineStr">
        <is>
          <t>62b718e9000000001b0242af</t>
        </is>
      </c>
      <c r="B587" s="2" t="str">
        <f>=HYPERLINK("https://www.xiaohongshu.com/user/profile/62b718e9000000001b0242af", "https://www.xiaohongshu.com/user/profile/62b718e9000000001b0242af")</f>
        <v>https://www.xiaohongshu.com/user/profile/62b718e9000000001b0242af</v>
      </c>
      <c r="C587" s="2" t="str">
        <f>=HYPERLINK("https://pgy.xiaohongshu.com/solar/pre-trade/blogger-detail/62b718e9000000001b0242af", "https://pgy.xiaohongshu.com/solar/pre-trade/blogger-detail/62b718e9000000001b0242af")</f>
        <v>https://pgy.xiaohongshu.com/solar/pre-trade/blogger-detail/62b718e9000000001b0242af</v>
      </c>
      <c r="D587" t="inlineStr">
        <is>
          <t>男</t>
        </is>
      </c>
      <c r="E587" t="inlineStr">
        <is>
          <t>1530367933</t>
        </is>
      </c>
      <c r="F587" t="inlineStr">
        <is>
          <t>阳光开朗医学僧</t>
        </is>
      </c>
      <c r="G587" t="inlineStr">
        <is>
          <t>河南 郑州 中原区</t>
        </is>
      </c>
      <c r="H587" t="inlineStr">
        <is>
          <t>学生</t>
        </is>
      </c>
      <c r="I587" t="inlineStr">
        <is>
          <t>职场</t>
        </is>
      </c>
      <c r="J587">
        <v>13533</v>
      </c>
      <c r="K587" t="inlineStr">
        <is>
          <t>1.4</t>
        </is>
      </c>
      <c r="L587">
        <v>24540</v>
      </c>
      <c r="M587">
        <v>4836</v>
      </c>
      <c r="N587">
        <v>191</v>
      </c>
      <c r="O587">
        <v>1600</v>
      </c>
      <c r="P587">
        <v>0.053</v>
      </c>
      <c r="Q587">
        <v>0.368</v>
      </c>
      <c r="R587">
        <v>24540</v>
      </c>
      <c r="S587">
        <v>4836</v>
      </c>
      <c r="T587">
        <v>115</v>
      </c>
      <c r="U587">
        <v>0.64</v>
      </c>
      <c r="V587">
        <v>1600</v>
      </c>
      <c r="W587">
        <v>0.368</v>
      </c>
      <c r="X587">
        <v>0.053</v>
      </c>
      <c r="Y587">
        <v>68.42</v>
      </c>
      <c r="Z587">
        <v>8.58</v>
      </c>
      <c r="AA587">
        <v>0</v>
      </c>
      <c r="AB587">
        <v>0</v>
      </c>
      <c r="AC587">
        <v>0</v>
      </c>
      <c r="AD587">
        <v>0</v>
      </c>
      <c r="AE587">
        <v>3281</v>
      </c>
      <c r="AF587">
        <v>0</v>
      </c>
      <c r="AG587">
        <v>0</v>
      </c>
      <c r="AH587">
        <v>0</v>
      </c>
      <c r="AI587">
        <v>0</v>
      </c>
      <c r="AJ587">
        <v>0</v>
      </c>
      <c r="AK587">
        <v>7</v>
      </c>
      <c r="AL587">
        <v>1</v>
      </c>
      <c r="AM587">
        <v>0</v>
      </c>
      <c r="AN587">
        <v>0</v>
      </c>
      <c r="AO587">
        <v>0</v>
      </c>
      <c r="AP587">
        <v>0.902</v>
      </c>
      <c r="AQ587">
        <v>0.048</v>
      </c>
      <c r="AR587">
        <v>0.018</v>
      </c>
      <c r="AS587" s="3">
        <v>46107.77196759259</v>
      </c>
    </row>
    <row r="588" ht="25.5" customHeight="1">
      <c r="A588" t="inlineStr">
        <is>
          <t>621ae9390000000010009a89</t>
        </is>
      </c>
      <c r="B588" s="2" t="str">
        <f>=HYPERLINK("https://www.xiaohongshu.com/user/profile/621ae9390000000010009a89", "https://www.xiaohongshu.com/user/profile/621ae9390000000010009a89")</f>
        <v>https://www.xiaohongshu.com/user/profile/621ae9390000000010009a89</v>
      </c>
      <c r="C588" s="2" t="str">
        <f>=HYPERLINK("https://pgy.xiaohongshu.com/solar/pre-trade/blogger-detail/621ae9390000000010009a89", "https://pgy.xiaohongshu.com/solar/pre-trade/blogger-detail/621ae9390000000010009a89")</f>
        <v>https://pgy.xiaohongshu.com/solar/pre-trade/blogger-detail/621ae9390000000010009a89</v>
      </c>
      <c r="D588" t="inlineStr">
        <is>
          <t>男</t>
        </is>
      </c>
      <c r="E588" t="inlineStr">
        <is>
          <t>1455401568</t>
        </is>
      </c>
      <c r="F588" t="inlineStr">
        <is>
          <t>之懿 Doctorand🎻</t>
        </is>
      </c>
      <c r="G588" t="inlineStr">
        <is>
          <t>中国 香港</t>
        </is>
      </c>
      <c r="H588" t="inlineStr">
        <is>
          <t>学生</t>
        </is>
      </c>
      <c r="I588" t="inlineStr">
        <is>
          <t>音乐</t>
        </is>
      </c>
      <c r="J588">
        <v>18932</v>
      </c>
      <c r="K588" t="inlineStr">
        <is>
          <t>1.9</t>
        </is>
      </c>
      <c r="L588">
        <v>25609</v>
      </c>
      <c r="M588">
        <v>4146</v>
      </c>
      <c r="N588">
        <v>357</v>
      </c>
      <c r="O588">
        <v>500</v>
      </c>
      <c r="P588">
        <v>0</v>
      </c>
      <c r="Q588">
        <v>0.778</v>
      </c>
      <c r="R588">
        <v>0</v>
      </c>
      <c r="S588">
        <v>0</v>
      </c>
      <c r="T588">
        <v>0</v>
      </c>
      <c r="U588">
        <v>0</v>
      </c>
      <c r="V588">
        <v>500</v>
      </c>
      <c r="W588">
        <v>0</v>
      </c>
      <c r="X588">
        <v>0</v>
      </c>
      <c r="Y588">
        <v>0</v>
      </c>
      <c r="Z588">
        <v>0</v>
      </c>
      <c r="AA588">
        <v>25609</v>
      </c>
      <c r="AB588">
        <v>4146</v>
      </c>
      <c r="AC588">
        <v>262</v>
      </c>
      <c r="AD588">
        <v>2.15</v>
      </c>
      <c r="AE588">
        <v>2700</v>
      </c>
      <c r="AF588">
        <v>0.778</v>
      </c>
      <c r="AG588">
        <v>0</v>
      </c>
      <c r="AH588">
        <v>0.038</v>
      </c>
      <c r="AI588">
        <v>105.43</v>
      </c>
      <c r="AJ588">
        <v>7.56</v>
      </c>
      <c r="AK588">
        <v>0</v>
      </c>
      <c r="AL588">
        <v>0</v>
      </c>
      <c r="AM588">
        <v>0</v>
      </c>
      <c r="AN588">
        <v>0</v>
      </c>
      <c r="AO588">
        <v>0</v>
      </c>
      <c r="AP588">
        <v>0.72</v>
      </c>
      <c r="AQ588">
        <v>0.037</v>
      </c>
      <c r="AR588">
        <v>0.0409999999999999</v>
      </c>
      <c r="AS588" s="3">
        <v>46107.77196759259</v>
      </c>
    </row>
    <row r="589" ht="25.5" customHeight="1">
      <c r="A589" t="inlineStr">
        <is>
          <t>5c4bd69c0000000011028d92</t>
        </is>
      </c>
      <c r="B589" s="2" t="str">
        <f>=HYPERLINK("https://www.xiaohongshu.com/user/profile/5c4bd69c0000000011028d92", "https://www.xiaohongshu.com/user/profile/5c4bd69c0000000011028d92")</f>
        <v>https://www.xiaohongshu.com/user/profile/5c4bd69c0000000011028d92</v>
      </c>
      <c r="C589" s="2" t="str">
        <f>=HYPERLINK("https://pgy.xiaohongshu.com/solar/pre-trade/blogger-detail/5c4bd69c0000000011028d92", "https://pgy.xiaohongshu.com/solar/pre-trade/blogger-detail/5c4bd69c0000000011028d92")</f>
        <v>https://pgy.xiaohongshu.com/solar/pre-trade/blogger-detail/5c4bd69c0000000011028d92</v>
      </c>
      <c r="D589" t="inlineStr">
        <is>
          <t>女</t>
        </is>
      </c>
      <c r="E589" t="inlineStr">
        <is>
          <t>618399985</t>
        </is>
      </c>
      <c r="F589" t="inlineStr">
        <is>
          <t>一口西牛</t>
        </is>
      </c>
      <c r="G589" t="inlineStr">
        <is>
          <t>福建 厦门 思明区</t>
        </is>
      </c>
      <c r="H589" t="inlineStr">
        <is>
          <t>考研过来人, 学生</t>
        </is>
      </c>
      <c r="I589" t="inlineStr">
        <is>
          <t>教育, 健康养生</t>
        </is>
      </c>
      <c r="J589">
        <v>2078</v>
      </c>
      <c r="K589" t="inlineStr">
        <is>
          <t>0.2</t>
        </is>
      </c>
      <c r="L589">
        <v>3258</v>
      </c>
      <c r="M589">
        <v>636</v>
      </c>
      <c r="N589">
        <v>108</v>
      </c>
      <c r="O589">
        <v>200</v>
      </c>
      <c r="P589">
        <v>0</v>
      </c>
      <c r="Q589">
        <v>0.166999999999999</v>
      </c>
      <c r="R589">
        <v>3258</v>
      </c>
      <c r="S589">
        <v>636</v>
      </c>
      <c r="T589">
        <v>82</v>
      </c>
      <c r="U589">
        <v>0.56</v>
      </c>
      <c r="V589">
        <v>200</v>
      </c>
      <c r="W589">
        <v>0</v>
      </c>
      <c r="X589">
        <v>0</v>
      </c>
      <c r="Y589">
        <v>37.22</v>
      </c>
      <c r="Z589">
        <v>3.08</v>
      </c>
      <c r="AA589">
        <v>30220</v>
      </c>
      <c r="AB589">
        <v>8464</v>
      </c>
      <c r="AC589">
        <v>799</v>
      </c>
      <c r="AD589">
        <v>1.54</v>
      </c>
      <c r="AE589">
        <v>300</v>
      </c>
      <c r="AF589">
        <v>1</v>
      </c>
      <c r="AG589">
        <v>0</v>
      </c>
      <c r="AH589">
        <v>0.193</v>
      </c>
      <c r="AI589">
        <v>9.93</v>
      </c>
      <c r="AJ589">
        <v>0.37</v>
      </c>
      <c r="AK589">
        <v>11261</v>
      </c>
      <c r="AL589">
        <v>802</v>
      </c>
      <c r="AM589">
        <v>44</v>
      </c>
      <c r="AN589">
        <v>0</v>
      </c>
      <c r="AO589">
        <v>1.31</v>
      </c>
      <c r="AP589">
        <v>0.889</v>
      </c>
      <c r="AQ589">
        <v>0.153</v>
      </c>
      <c r="AR589">
        <v>0.171</v>
      </c>
      <c r="AS589" s="3">
        <v>46107.77196759259</v>
      </c>
    </row>
    <row r="590" ht="25.5" customHeight="1">
      <c r="A590" t="inlineStr">
        <is>
          <t>624fb0b8000000001000fd22</t>
        </is>
      </c>
      <c r="B590" s="2" t="str">
        <f>=HYPERLINK("https://www.xiaohongshu.com/user/profile/624fb0b8000000001000fd22", "https://www.xiaohongshu.com/user/profile/624fb0b8000000001000fd22")</f>
        <v>https://www.xiaohongshu.com/user/profile/624fb0b8000000001000fd22</v>
      </c>
      <c r="C590" s="2" t="str">
        <f>=HYPERLINK("https://pgy.xiaohongshu.com/solar/pre-trade/blogger-detail/624fb0b8000000001000fd22", "https://pgy.xiaohongshu.com/solar/pre-trade/blogger-detail/624fb0b8000000001000fd22")</f>
        <v>https://pgy.xiaohongshu.com/solar/pre-trade/blogger-detail/624fb0b8000000001000fd22</v>
      </c>
      <c r="D590" t="inlineStr">
        <is>
          <t>女</t>
        </is>
      </c>
      <c r="E590" t="inlineStr">
        <is>
          <t>kaohongshuyyds</t>
        </is>
      </c>
      <c r="F590" t="inlineStr">
        <is>
          <t>阿芙子的南半球</t>
        </is>
      </c>
      <c r="G590" t="inlineStr">
        <is>
          <t>澳大利亚</t>
        </is>
      </c>
      <c r="H590" t="inlineStr">
        <is>
          <t>留学背景, 学生</t>
        </is>
      </c>
      <c r="I590" t="inlineStr">
        <is>
          <t>美食, 教育</t>
        </is>
      </c>
      <c r="J590">
        <v>100529</v>
      </c>
      <c r="K590" t="inlineStr">
        <is>
          <t>10.1</t>
        </is>
      </c>
      <c r="L590">
        <v>45846</v>
      </c>
      <c r="M590">
        <v>28007</v>
      </c>
      <c r="N590">
        <v>1220</v>
      </c>
      <c r="O590">
        <v>9141</v>
      </c>
      <c r="P590">
        <v>0.332999999999999</v>
      </c>
      <c r="Q590">
        <v>1</v>
      </c>
      <c r="R590">
        <v>0</v>
      </c>
      <c r="S590">
        <v>0</v>
      </c>
      <c r="T590">
        <v>0</v>
      </c>
      <c r="U590">
        <v>0</v>
      </c>
      <c r="V590">
        <v>2000</v>
      </c>
      <c r="W590">
        <v>0</v>
      </c>
      <c r="X590">
        <v>0</v>
      </c>
      <c r="Y590">
        <v>0</v>
      </c>
      <c r="Z590">
        <v>0</v>
      </c>
      <c r="AA590">
        <v>45846</v>
      </c>
      <c r="AB590">
        <v>28007</v>
      </c>
      <c r="AC590">
        <v>922</v>
      </c>
      <c r="AD590">
        <v>1.83</v>
      </c>
      <c r="AE590">
        <v>9141</v>
      </c>
      <c r="AF590">
        <v>1</v>
      </c>
      <c r="AG590">
        <v>0.332999999999999</v>
      </c>
      <c r="AH590">
        <v>0.118</v>
      </c>
      <c r="AI590">
        <v>199.38</v>
      </c>
      <c r="AJ590">
        <v>7.49</v>
      </c>
      <c r="AK590">
        <v>0</v>
      </c>
      <c r="AL590">
        <v>0</v>
      </c>
      <c r="AM590">
        <v>0</v>
      </c>
      <c r="AN590">
        <v>0</v>
      </c>
      <c r="AO590">
        <v>0</v>
      </c>
      <c r="AP590">
        <v>0.907999999999999</v>
      </c>
      <c r="AQ590">
        <v>0.053</v>
      </c>
      <c r="AR590">
        <v>0.0579999999999999</v>
      </c>
      <c r="AS590" s="3">
        <v>46107.77196759259</v>
      </c>
    </row>
    <row r="591" ht="25.5" customHeight="1">
      <c r="A591" t="inlineStr">
        <is>
          <t>60386168000000000100ab38</t>
        </is>
      </c>
      <c r="B591" s="2" t="str">
        <f>=HYPERLINK("https://www.xiaohongshu.com/user/profile/60386168000000000100ab38", "https://www.xiaohongshu.com/user/profile/60386168000000000100ab38")</f>
        <v>https://www.xiaohongshu.com/user/profile/60386168000000000100ab38</v>
      </c>
      <c r="C591" s="2" t="str">
        <f>=HYPERLINK("https://pgy.xiaohongshu.com/solar/pre-trade/blogger-detail/60386168000000000100ab38", "https://pgy.xiaohongshu.com/solar/pre-trade/blogger-detail/60386168000000000100ab38")</f>
        <v>https://pgy.xiaohongshu.com/solar/pre-trade/blogger-detail/60386168000000000100ab38</v>
      </c>
      <c r="D591" t="inlineStr">
        <is>
          <t>女</t>
        </is>
      </c>
      <c r="E591" t="inlineStr">
        <is>
          <t>2631932505</t>
        </is>
      </c>
      <c r="F591" t="inlineStr">
        <is>
          <t>糖心蛋</t>
        </is>
      </c>
      <c r="G591" t="inlineStr">
        <is>
          <t>湖北 武汉 洪山区</t>
        </is>
      </c>
      <c r="H591" t="inlineStr">
        <is>
          <t>学生</t>
        </is>
      </c>
      <c r="I591" t="inlineStr">
        <is>
          <t>教育</t>
        </is>
      </c>
      <c r="J591">
        <v>5991</v>
      </c>
      <c r="K591" t="inlineStr">
        <is>
          <t>0.6</t>
        </is>
      </c>
      <c r="L591">
        <v>5630</v>
      </c>
      <c r="M591">
        <v>2659</v>
      </c>
      <c r="N591">
        <v>477</v>
      </c>
      <c r="O591">
        <v>150</v>
      </c>
      <c r="P591">
        <v>0.185</v>
      </c>
      <c r="Q591">
        <v>0.815</v>
      </c>
      <c r="R591">
        <v>0</v>
      </c>
      <c r="S591">
        <v>0</v>
      </c>
      <c r="T591">
        <v>0</v>
      </c>
      <c r="U591">
        <v>0</v>
      </c>
      <c r="V591">
        <v>150</v>
      </c>
      <c r="W591">
        <v>0</v>
      </c>
      <c r="X591">
        <v>0</v>
      </c>
      <c r="Y591">
        <v>0</v>
      </c>
      <c r="Z591">
        <v>0</v>
      </c>
      <c r="AA591">
        <v>5630</v>
      </c>
      <c r="AB591">
        <v>2659</v>
      </c>
      <c r="AC591">
        <v>486</v>
      </c>
      <c r="AD591">
        <v>1.57</v>
      </c>
      <c r="AE591">
        <v>150</v>
      </c>
      <c r="AF591">
        <v>0.815</v>
      </c>
      <c r="AG591">
        <v>0.185</v>
      </c>
      <c r="AH591">
        <v>0.02</v>
      </c>
      <c r="AI591">
        <v>26.87</v>
      </c>
      <c r="AJ591">
        <v>0.32</v>
      </c>
      <c r="AK591">
        <v>2747</v>
      </c>
      <c r="AL591">
        <v>299</v>
      </c>
      <c r="AM591">
        <v>28</v>
      </c>
      <c r="AN591">
        <v>0</v>
      </c>
      <c r="AO591">
        <v>0</v>
      </c>
      <c r="AP591">
        <v>0.968</v>
      </c>
      <c r="AQ591">
        <v>0.617</v>
      </c>
      <c r="AR591">
        <v>2.491</v>
      </c>
      <c r="AS591" s="3">
        <v>46107.77196759259</v>
      </c>
    </row>
    <row r="592" ht="25.5" customHeight="1">
      <c r="A592" t="inlineStr">
        <is>
          <t>5e8a8c630000000001005a52</t>
        </is>
      </c>
      <c r="B592" s="2" t="str">
        <f>=HYPERLINK("https://www.xiaohongshu.com/user/profile/5e8a8c630000000001005a52", "https://www.xiaohongshu.com/user/profile/5e8a8c630000000001005a52")</f>
        <v>https://www.xiaohongshu.com/user/profile/5e8a8c630000000001005a52</v>
      </c>
      <c r="C592" s="2" t="str">
        <f>=HYPERLINK("https://pgy.xiaohongshu.com/solar/pre-trade/blogger-detail/5e8a8c630000000001005a52", "https://pgy.xiaohongshu.com/solar/pre-trade/blogger-detail/5e8a8c630000000001005a52")</f>
        <v>https://pgy.xiaohongshu.com/solar/pre-trade/blogger-detail/5e8a8c630000000001005a52</v>
      </c>
      <c r="D592" t="inlineStr">
        <is>
          <t>女</t>
        </is>
      </c>
      <c r="E592" t="inlineStr">
        <is>
          <t>827537487</t>
        </is>
      </c>
      <c r="F592" t="inlineStr">
        <is>
          <t>Novem_09</t>
        </is>
      </c>
      <c r="G592" t="inlineStr">
        <is>
          <t>浙江 舟山 岱山县</t>
        </is>
      </c>
      <c r="H592"/>
      <c r="I592" t="inlineStr">
        <is>
          <t>教育</t>
        </is>
      </c>
      <c r="J592">
        <v>8117</v>
      </c>
      <c r="K592" t="inlineStr">
        <is>
          <t>0.8</t>
        </is>
      </c>
      <c r="L592">
        <v>10014</v>
      </c>
      <c r="M592">
        <v>1686</v>
      </c>
      <c r="N592">
        <v>493</v>
      </c>
      <c r="O592">
        <v>213</v>
      </c>
      <c r="P592">
        <v>0</v>
      </c>
      <c r="Q592">
        <v>0.714</v>
      </c>
      <c r="R592">
        <v>10014</v>
      </c>
      <c r="S592">
        <v>1686</v>
      </c>
      <c r="T592">
        <v>444</v>
      </c>
      <c r="U592">
        <v>0.43</v>
      </c>
      <c r="V592">
        <v>213</v>
      </c>
      <c r="W592">
        <v>0.714</v>
      </c>
      <c r="X592">
        <v>0</v>
      </c>
      <c r="Y592">
        <v>21.27</v>
      </c>
      <c r="Z592">
        <v>0.43</v>
      </c>
      <c r="AA592">
        <v>0</v>
      </c>
      <c r="AB592">
        <v>0</v>
      </c>
      <c r="AC592">
        <v>0</v>
      </c>
      <c r="AD592">
        <v>0</v>
      </c>
      <c r="AE592">
        <v>350</v>
      </c>
      <c r="AF592">
        <v>0</v>
      </c>
      <c r="AG592">
        <v>0</v>
      </c>
      <c r="AH592">
        <v>0</v>
      </c>
      <c r="AI592">
        <v>0</v>
      </c>
      <c r="AJ592">
        <v>0</v>
      </c>
      <c r="AK592">
        <v>0</v>
      </c>
      <c r="AL592">
        <v>0</v>
      </c>
      <c r="AM592">
        <v>0</v>
      </c>
      <c r="AN592">
        <v>0</v>
      </c>
      <c r="AO592">
        <v>0</v>
      </c>
      <c r="AP592">
        <v>0.838</v>
      </c>
      <c r="AQ592">
        <v>0.046</v>
      </c>
      <c r="AR592">
        <v>0.039</v>
      </c>
      <c r="AS592" s="3">
        <v>46107.77196759259</v>
      </c>
    </row>
    <row r="593" ht="25.5" customHeight="1">
      <c r="A593" t="inlineStr">
        <is>
          <t>658a4a4b0000000022005cc1</t>
        </is>
      </c>
      <c r="B593" s="2" t="str">
        <f>=HYPERLINK("https://www.xiaohongshu.com/user/profile/658a4a4b0000000022005cc1", "https://www.xiaohongshu.com/user/profile/658a4a4b0000000022005cc1")</f>
        <v>https://www.xiaohongshu.com/user/profile/658a4a4b0000000022005cc1</v>
      </c>
      <c r="C593" s="2" t="str">
        <f>=HYPERLINK("https://pgy.xiaohongshu.com/solar/pre-trade/blogger-detail/658a4a4b0000000022005cc1", "https://pgy.xiaohongshu.com/solar/pre-trade/blogger-detail/658a4a4b0000000022005cc1")</f>
        <v>https://pgy.xiaohongshu.com/solar/pre-trade/blogger-detail/658a4a4b0000000022005cc1</v>
      </c>
      <c r="D593" t="inlineStr">
        <is>
          <t>女</t>
        </is>
      </c>
      <c r="E593" t="inlineStr">
        <is>
          <t>8372626260</t>
        </is>
      </c>
      <c r="F593" t="inlineStr">
        <is>
          <t>大月亮🌙</t>
        </is>
      </c>
      <c r="G593" t="inlineStr">
        <is>
          <t>河南 郑州 金水区</t>
        </is>
      </c>
      <c r="H593" t="inlineStr">
        <is>
          <t>考研过来人, 手账爱好者, 独居人群, 学生</t>
        </is>
      </c>
      <c r="I593" t="inlineStr">
        <is>
          <t>教育</t>
        </is>
      </c>
      <c r="J593">
        <v>3451</v>
      </c>
      <c r="K593" t="inlineStr">
        <is>
          <t>0.3</t>
        </is>
      </c>
      <c r="L593">
        <v>2452</v>
      </c>
      <c r="M593">
        <v>531</v>
      </c>
      <c r="N593">
        <v>113</v>
      </c>
      <c r="O593">
        <v>180</v>
      </c>
      <c r="P593">
        <v>0</v>
      </c>
      <c r="Q593">
        <v>0.25</v>
      </c>
      <c r="R593">
        <v>0</v>
      </c>
      <c r="S593">
        <v>0</v>
      </c>
      <c r="T593">
        <v>0</v>
      </c>
      <c r="U593">
        <v>0</v>
      </c>
      <c r="V593">
        <v>180</v>
      </c>
      <c r="W593">
        <v>0</v>
      </c>
      <c r="X593">
        <v>0</v>
      </c>
      <c r="Y593">
        <v>0</v>
      </c>
      <c r="Z593">
        <v>0</v>
      </c>
      <c r="AA593">
        <v>2452</v>
      </c>
      <c r="AB593">
        <v>531</v>
      </c>
      <c r="AC593">
        <v>106</v>
      </c>
      <c r="AD593">
        <v>1.97</v>
      </c>
      <c r="AE593">
        <v>250</v>
      </c>
      <c r="AF593">
        <v>0.25</v>
      </c>
      <c r="AG593">
        <v>0</v>
      </c>
      <c r="AH593">
        <v>0.118</v>
      </c>
      <c r="AI593">
        <v>101.94</v>
      </c>
      <c r="AJ593">
        <v>2.21</v>
      </c>
      <c r="AK593">
        <v>0</v>
      </c>
      <c r="AL593">
        <v>0</v>
      </c>
      <c r="AM593">
        <v>0</v>
      </c>
      <c r="AN593">
        <v>0</v>
      </c>
      <c r="AO593">
        <v>0</v>
      </c>
      <c r="AP593">
        <v>0.809</v>
      </c>
      <c r="AQ593">
        <v>0.021</v>
      </c>
      <c r="AR593">
        <v>0.006</v>
      </c>
      <c r="AS593" s="3">
        <v>46107.77196759259</v>
      </c>
    </row>
    <row r="594" ht="25.5" customHeight="1">
      <c r="A594" t="inlineStr">
        <is>
          <t>65f7dbf6000000000d025a12</t>
        </is>
      </c>
      <c r="B594" s="2" t="str">
        <f>=HYPERLINK("https://www.xiaohongshu.com/user/profile/65f7dbf6000000000d025a12", "https://www.xiaohongshu.com/user/profile/65f7dbf6000000000d025a12")</f>
        <v>https://www.xiaohongshu.com/user/profile/65f7dbf6000000000d025a12</v>
      </c>
      <c r="C594" s="2" t="str">
        <f>=HYPERLINK("https://pgy.xiaohongshu.com/solar/pre-trade/blogger-detail/65f7dbf6000000000d025a12", "https://pgy.xiaohongshu.com/solar/pre-trade/blogger-detail/65f7dbf6000000000d025a12")</f>
        <v>https://pgy.xiaohongshu.com/solar/pre-trade/blogger-detail/65f7dbf6000000000d025a12</v>
      </c>
      <c r="D594" t="inlineStr">
        <is>
          <t>女</t>
        </is>
      </c>
      <c r="E594" t="inlineStr">
        <is>
          <t>meng_xxxxy</t>
        </is>
      </c>
      <c r="F594" t="inlineStr">
        <is>
          <t>梦小鱼</t>
        </is>
      </c>
      <c r="G594" t="inlineStr">
        <is>
          <t>重庆</t>
        </is>
      </c>
      <c r="H594" t="inlineStr">
        <is>
          <t>学生</t>
        </is>
      </c>
      <c r="I594" t="inlineStr">
        <is>
          <t>教育</t>
        </is>
      </c>
      <c r="J594">
        <v>3158</v>
      </c>
      <c r="K594" t="inlineStr">
        <is>
          <t>0.3</t>
        </is>
      </c>
      <c r="L594">
        <v>1320</v>
      </c>
      <c r="M594">
        <v>235</v>
      </c>
      <c r="N594">
        <v>236</v>
      </c>
      <c r="O594">
        <v>248</v>
      </c>
      <c r="P594">
        <v>0</v>
      </c>
      <c r="Q594">
        <v>0.5</v>
      </c>
      <c r="R594">
        <v>1320</v>
      </c>
      <c r="S594">
        <v>235</v>
      </c>
      <c r="T594">
        <v>219</v>
      </c>
      <c r="U594">
        <v>1.36</v>
      </c>
      <c r="V594">
        <v>248</v>
      </c>
      <c r="W594">
        <v>0.5</v>
      </c>
      <c r="X594">
        <v>0</v>
      </c>
      <c r="Y594">
        <v>187.88</v>
      </c>
      <c r="Z594">
        <v>1.05</v>
      </c>
      <c r="AA594">
        <v>0</v>
      </c>
      <c r="AB594">
        <v>0</v>
      </c>
      <c r="AC594">
        <v>0</v>
      </c>
      <c r="AD594">
        <v>0</v>
      </c>
      <c r="AE594">
        <v>370</v>
      </c>
      <c r="AF594">
        <v>0</v>
      </c>
      <c r="AG594">
        <v>0</v>
      </c>
      <c r="AH594">
        <v>0</v>
      </c>
      <c r="AI594">
        <v>0</v>
      </c>
      <c r="AJ594">
        <v>0</v>
      </c>
      <c r="AK594">
        <v>0</v>
      </c>
      <c r="AL594">
        <v>0</v>
      </c>
      <c r="AM594">
        <v>0</v>
      </c>
      <c r="AN594">
        <v>0</v>
      </c>
      <c r="AO594">
        <v>0</v>
      </c>
      <c r="AP594">
        <v>0.634</v>
      </c>
      <c r="AQ594">
        <v>0.031</v>
      </c>
      <c r="AR594">
        <v>0.002</v>
      </c>
      <c r="AS594" s="3">
        <v>46107.77196759259</v>
      </c>
    </row>
    <row r="595" ht="25.5" customHeight="1">
      <c r="A595" t="inlineStr">
        <is>
          <t>644c6b81000000002a008406</t>
        </is>
      </c>
      <c r="B595" s="2" t="str">
        <f>=HYPERLINK("https://www.xiaohongshu.com/user/profile/644c6b81000000002a008406", "https://www.xiaohongshu.com/user/profile/644c6b81000000002a008406")</f>
        <v>https://www.xiaohongshu.com/user/profile/644c6b81000000002a008406</v>
      </c>
      <c r="C595" s="2" t="str">
        <f>=HYPERLINK("https://pgy.xiaohongshu.com/solar/pre-trade/blogger-detail/644c6b81000000002a008406", "https://pgy.xiaohongshu.com/solar/pre-trade/blogger-detail/644c6b81000000002a008406")</f>
        <v>https://pgy.xiaohongshu.com/solar/pre-trade/blogger-detail/644c6b81000000002a008406</v>
      </c>
      <c r="D595" t="inlineStr">
        <is>
          <t>女</t>
        </is>
      </c>
      <c r="E595" t="inlineStr">
        <is>
          <t>5544214967</t>
        </is>
      </c>
      <c r="F595" t="inlineStr">
        <is>
          <t>Reddit每日英语大赏</t>
        </is>
      </c>
      <c r="G595" t="inlineStr">
        <is>
          <t>北京</t>
        </is>
      </c>
      <c r="H595"/>
      <c r="I595" t="inlineStr">
        <is>
          <t>教育</t>
        </is>
      </c>
      <c r="J595">
        <v>23814</v>
      </c>
      <c r="K595" t="inlineStr">
        <is>
          <t>2.4</t>
        </is>
      </c>
      <c r="L595">
        <v>66229</v>
      </c>
      <c r="M595">
        <v>10171</v>
      </c>
      <c r="N595">
        <v>353</v>
      </c>
      <c r="O595">
        <v>883</v>
      </c>
      <c r="P595">
        <v>0.25</v>
      </c>
      <c r="Q595">
        <v>0.6</v>
      </c>
      <c r="R595">
        <v>66229</v>
      </c>
      <c r="S595">
        <v>10171</v>
      </c>
      <c r="T595">
        <v>291</v>
      </c>
      <c r="U595">
        <v>0.39</v>
      </c>
      <c r="V595">
        <v>883</v>
      </c>
      <c r="W595">
        <v>0.6</v>
      </c>
      <c r="X595">
        <v>0.25</v>
      </c>
      <c r="Y595">
        <v>13.33</v>
      </c>
      <c r="Z595">
        <v>2.5</v>
      </c>
      <c r="AA595">
        <v>0</v>
      </c>
      <c r="AB595">
        <v>0</v>
      </c>
      <c r="AC595">
        <v>0</v>
      </c>
      <c r="AD595">
        <v>0</v>
      </c>
      <c r="AE595">
        <v>2000</v>
      </c>
      <c r="AF595">
        <v>0</v>
      </c>
      <c r="AG595">
        <v>0</v>
      </c>
      <c r="AH595">
        <v>0</v>
      </c>
      <c r="AI595">
        <v>0</v>
      </c>
      <c r="AJ595">
        <v>0</v>
      </c>
      <c r="AK595">
        <v>0</v>
      </c>
      <c r="AL595">
        <v>0</v>
      </c>
      <c r="AM595">
        <v>0</v>
      </c>
      <c r="AN595">
        <v>0</v>
      </c>
      <c r="AO595">
        <v>0</v>
      </c>
      <c r="AP595">
        <v>0.975</v>
      </c>
      <c r="AQ595">
        <v>0.087</v>
      </c>
      <c r="AR595">
        <v>0.171</v>
      </c>
      <c r="AS595" s="3">
        <v>46107.77196759259</v>
      </c>
    </row>
    <row r="596" ht="25.5" customHeight="1">
      <c r="A596" t="inlineStr">
        <is>
          <t>5b1f0e794eacab50e07f126d</t>
        </is>
      </c>
      <c r="B596" s="2" t="str">
        <f>=HYPERLINK("https://www.xiaohongshu.com/user/profile/5b1f0e794eacab50e07f126d", "https://www.xiaohongshu.com/user/profile/5b1f0e794eacab50e07f126d")</f>
        <v>https://www.xiaohongshu.com/user/profile/5b1f0e794eacab50e07f126d</v>
      </c>
      <c r="C596" s="2" t="str">
        <f>=HYPERLINK("https://pgy.xiaohongshu.com/solar/pre-trade/blogger-detail/5b1f0e794eacab50e07f126d", "https://pgy.xiaohongshu.com/solar/pre-trade/blogger-detail/5b1f0e794eacab50e07f126d")</f>
        <v>https://pgy.xiaohongshu.com/solar/pre-trade/blogger-detail/5b1f0e794eacab50e07f126d</v>
      </c>
      <c r="D596" t="inlineStr">
        <is>
          <t>女</t>
        </is>
      </c>
      <c r="E596" t="inlineStr">
        <is>
          <t>278967680</t>
        </is>
      </c>
      <c r="F596" t="inlineStr">
        <is>
          <t>抱着竹子的Panda</t>
        </is>
      </c>
      <c r="G596" t="inlineStr">
        <is>
          <t>北京</t>
        </is>
      </c>
      <c r="H596" t="inlineStr">
        <is>
          <t>考研过来人, 法考过来人, 学生</t>
        </is>
      </c>
      <c r="I596" t="inlineStr">
        <is>
          <t>教育, 生活记录</t>
        </is>
      </c>
      <c r="J596">
        <v>402954</v>
      </c>
      <c r="K596" t="inlineStr">
        <is>
          <t>40.3</t>
        </is>
      </c>
      <c r="L596">
        <v>179710</v>
      </c>
      <c r="M596">
        <v>33200</v>
      </c>
      <c r="N596">
        <v>3430</v>
      </c>
      <c r="O596">
        <v>35000</v>
      </c>
      <c r="P596">
        <v>0.8</v>
      </c>
      <c r="Q596">
        <v>1</v>
      </c>
      <c r="R596">
        <v>0</v>
      </c>
      <c r="S596">
        <v>0</v>
      </c>
      <c r="T596">
        <v>0</v>
      </c>
      <c r="U596">
        <v>0</v>
      </c>
      <c r="V596">
        <v>35000</v>
      </c>
      <c r="W596">
        <v>0</v>
      </c>
      <c r="X596">
        <v>0</v>
      </c>
      <c r="Y596">
        <v>0</v>
      </c>
      <c r="Z596">
        <v>0</v>
      </c>
      <c r="AA596">
        <v>179710</v>
      </c>
      <c r="AB596">
        <v>33200</v>
      </c>
      <c r="AC596">
        <v>2263</v>
      </c>
      <c r="AD596">
        <v>2.94</v>
      </c>
      <c r="AE596">
        <v>40000</v>
      </c>
      <c r="AF596">
        <v>1</v>
      </c>
      <c r="AG596">
        <v>0.8</v>
      </c>
      <c r="AH596">
        <v>0.22</v>
      </c>
      <c r="AI596">
        <v>362.42</v>
      </c>
      <c r="AJ596">
        <v>11.97</v>
      </c>
      <c r="AK596">
        <v>71169</v>
      </c>
      <c r="AL596">
        <v>16156</v>
      </c>
      <c r="AM596">
        <v>3011</v>
      </c>
      <c r="AN596">
        <v>0</v>
      </c>
      <c r="AO596">
        <v>0</v>
      </c>
      <c r="AP596">
        <v>0.555</v>
      </c>
      <c r="AQ596">
        <v>0.017</v>
      </c>
      <c r="AR596">
        <v>0.003</v>
      </c>
      <c r="AS596" s="3">
        <v>46107.77196759259</v>
      </c>
    </row>
    <row r="597" ht="25.5" customHeight="1">
      <c r="A597" t="inlineStr">
        <is>
          <t>672a5ae0000000001d02f543</t>
        </is>
      </c>
      <c r="B597" s="2" t="str">
        <f>=HYPERLINK("https://www.xiaohongshu.com/user/profile/672a5ae0000000001d02f543", "https://www.xiaohongshu.com/user/profile/672a5ae0000000001d02f543")</f>
        <v>https://www.xiaohongshu.com/user/profile/672a5ae0000000001d02f543</v>
      </c>
      <c r="C597" s="2" t="str">
        <f>=HYPERLINK("https://pgy.xiaohongshu.com/solar/pre-trade/blogger-detail/672a5ae0000000001d02f543", "https://pgy.xiaohongshu.com/solar/pre-trade/blogger-detail/672a5ae0000000001d02f543")</f>
        <v>https://pgy.xiaohongshu.com/solar/pre-trade/blogger-detail/672a5ae0000000001d02f543</v>
      </c>
      <c r="D597" t="inlineStr">
        <is>
          <t>男</t>
        </is>
      </c>
      <c r="E597" t="inlineStr">
        <is>
          <t>leondelightl</t>
        </is>
      </c>
      <c r="F597" t="inlineStr">
        <is>
          <t>林洛 Leon</t>
        </is>
      </c>
      <c r="G597" t="inlineStr">
        <is>
          <t>陕西 西安 雁塔区</t>
        </is>
      </c>
      <c r="H597" t="inlineStr">
        <is>
          <t>留学背景, 海外华人, 外国人, 学生</t>
        </is>
      </c>
      <c r="I597" t="inlineStr">
        <is>
          <t>教育, 出行旅游</t>
        </is>
      </c>
      <c r="J597">
        <v>1494</v>
      </c>
      <c r="K597" t="inlineStr">
        <is>
          <t>0.1</t>
        </is>
      </c>
      <c r="L597">
        <v>6641</v>
      </c>
      <c r="M597">
        <v>2044</v>
      </c>
      <c r="N597">
        <v>132</v>
      </c>
      <c r="O597">
        <v>400</v>
      </c>
      <c r="P597">
        <v>0.059</v>
      </c>
      <c r="Q597">
        <v>0.471</v>
      </c>
      <c r="R597">
        <v>6641</v>
      </c>
      <c r="S597">
        <v>1744</v>
      </c>
      <c r="T597">
        <v>109</v>
      </c>
      <c r="U597">
        <v>0.53</v>
      </c>
      <c r="V597">
        <v>400</v>
      </c>
      <c r="W597">
        <v>0</v>
      </c>
      <c r="X597">
        <v>0</v>
      </c>
      <c r="Y597">
        <v>60.23</v>
      </c>
      <c r="Z597">
        <v>3.03</v>
      </c>
      <c r="AA597">
        <v>6601</v>
      </c>
      <c r="AB597">
        <v>2193</v>
      </c>
      <c r="AC597">
        <v>209</v>
      </c>
      <c r="AD597">
        <v>1.86</v>
      </c>
      <c r="AE597">
        <v>730</v>
      </c>
      <c r="AF597">
        <v>0.5</v>
      </c>
      <c r="AG597">
        <v>0.063</v>
      </c>
      <c r="AH597">
        <v>0.357</v>
      </c>
      <c r="AI597">
        <v>121.91</v>
      </c>
      <c r="AJ597">
        <v>6.89</v>
      </c>
      <c r="AK597">
        <v>2002</v>
      </c>
      <c r="AL597">
        <v>906</v>
      </c>
      <c r="AM597">
        <v>43</v>
      </c>
      <c r="AN597">
        <v>0</v>
      </c>
      <c r="AO597">
        <v>0</v>
      </c>
      <c r="AP597">
        <v>0.98</v>
      </c>
      <c r="AQ597">
        <v>0.22</v>
      </c>
      <c r="AR597">
        <v>0</v>
      </c>
      <c r="AS597" s="3">
        <v>46107.77196759259</v>
      </c>
    </row>
    <row r="598" ht="25.5" customHeight="1">
      <c r="A598" t="inlineStr">
        <is>
          <t>5f2f8c88000000000100b7cf</t>
        </is>
      </c>
      <c r="B598" s="2" t="str">
        <f>=HYPERLINK("https://www.xiaohongshu.com/user/profile/5f2f8c88000000000100b7cf", "https://www.xiaohongshu.com/user/profile/5f2f8c88000000000100b7cf")</f>
        <v>https://www.xiaohongshu.com/user/profile/5f2f8c88000000000100b7cf</v>
      </c>
      <c r="C598" s="2" t="str">
        <f>=HYPERLINK("https://pgy.xiaohongshu.com/solar/pre-trade/blogger-detail/5f2f8c88000000000100b7cf", "https://pgy.xiaohongshu.com/solar/pre-trade/blogger-detail/5f2f8c88000000000100b7cf")</f>
        <v>https://pgy.xiaohongshu.com/solar/pre-trade/blogger-detail/5f2f8c88000000000100b7cf</v>
      </c>
      <c r="D598" t="inlineStr">
        <is>
          <t>女</t>
        </is>
      </c>
      <c r="E598" t="inlineStr">
        <is>
          <t>762898262</t>
        </is>
      </c>
      <c r="F598" t="inlineStr">
        <is>
          <t>白玉苦瓜</t>
        </is>
      </c>
      <c r="G598" t="inlineStr">
        <is>
          <t>中国 台湾 新北 南投县</t>
        </is>
      </c>
      <c r="H598" t="inlineStr">
        <is>
          <t>考研过来人, 户外爱好者, 海外华人, 学生, 闺蜜</t>
        </is>
      </c>
      <c r="I598" t="inlineStr">
        <is>
          <t>生活记录</t>
        </is>
      </c>
      <c r="J598">
        <v>7657</v>
      </c>
      <c r="K598" t="inlineStr">
        <is>
          <t>0.8</t>
        </is>
      </c>
      <c r="L598">
        <v>7439</v>
      </c>
      <c r="M598">
        <v>1519</v>
      </c>
      <c r="N598">
        <v>101</v>
      </c>
      <c r="O598">
        <v>1100</v>
      </c>
      <c r="P598">
        <v>0</v>
      </c>
      <c r="Q598">
        <v>0.222</v>
      </c>
      <c r="R598">
        <v>8823</v>
      </c>
      <c r="S598">
        <v>2234</v>
      </c>
      <c r="T598">
        <v>84</v>
      </c>
      <c r="U598">
        <v>1.11</v>
      </c>
      <c r="V598">
        <v>1100</v>
      </c>
      <c r="W598">
        <v>0.182</v>
      </c>
      <c r="X598">
        <v>0</v>
      </c>
      <c r="Y598">
        <v>171.97</v>
      </c>
      <c r="Z598">
        <v>14.01</v>
      </c>
      <c r="AA598">
        <v>5379</v>
      </c>
      <c r="AB598">
        <v>1350</v>
      </c>
      <c r="AC598">
        <v>109</v>
      </c>
      <c r="AD598">
        <v>2.43</v>
      </c>
      <c r="AE598">
        <v>1250</v>
      </c>
      <c r="AF598">
        <v>0.286</v>
      </c>
      <c r="AG598">
        <v>0</v>
      </c>
      <c r="AH598">
        <v>0.139</v>
      </c>
      <c r="AI598">
        <v>232.39</v>
      </c>
      <c r="AJ598">
        <v>12.02</v>
      </c>
      <c r="AK598">
        <v>6417</v>
      </c>
      <c r="AL598">
        <v>1029</v>
      </c>
      <c r="AM598">
        <v>38</v>
      </c>
      <c r="AN598">
        <v>0</v>
      </c>
      <c r="AO598">
        <v>0</v>
      </c>
      <c r="AP598">
        <v>0.81</v>
      </c>
      <c r="AQ598">
        <v>0.057</v>
      </c>
      <c r="AR598">
        <v>0.024</v>
      </c>
      <c r="AS598" s="3">
        <v>46107.77196759259</v>
      </c>
    </row>
    <row r="599" ht="25.5" customHeight="1">
      <c r="A599" t="inlineStr">
        <is>
          <t>6320543900000000230262cd</t>
        </is>
      </c>
      <c r="B599" s="2" t="str">
        <f>=HYPERLINK("https://www.xiaohongshu.com/user/profile/6320543900000000230262cd", "https://www.xiaohongshu.com/user/profile/6320543900000000230262cd")</f>
        <v>https://www.xiaohongshu.com/user/profile/6320543900000000230262cd</v>
      </c>
      <c r="C599" s="2" t="str">
        <f>=HYPERLINK("https://pgy.xiaohongshu.com/solar/pre-trade/blogger-detail/6320543900000000230262cd", "https://pgy.xiaohongshu.com/solar/pre-trade/blogger-detail/6320543900000000230262cd")</f>
        <v>https://pgy.xiaohongshu.com/solar/pre-trade/blogger-detail/6320543900000000230262cd</v>
      </c>
      <c r="D599" t="inlineStr">
        <is>
          <t>女</t>
        </is>
      </c>
      <c r="E599" t="inlineStr">
        <is>
          <t>6709381544</t>
        </is>
      </c>
      <c r="F599" t="inlineStr">
        <is>
          <t>医学Sunny的秘密基地</t>
        </is>
      </c>
      <c r="G599" t="inlineStr">
        <is>
          <t>辽宁 沈阳 浑南区</t>
        </is>
      </c>
      <c r="H599" t="inlineStr">
        <is>
          <t>学生</t>
        </is>
      </c>
      <c r="I599" t="inlineStr">
        <is>
          <t>教育</t>
        </is>
      </c>
      <c r="J599">
        <v>3747</v>
      </c>
      <c r="K599" t="inlineStr">
        <is>
          <t>0.4</t>
        </is>
      </c>
      <c r="L599">
        <v>909</v>
      </c>
      <c r="M599">
        <v>203</v>
      </c>
      <c r="N599">
        <v>166</v>
      </c>
      <c r="O599">
        <v>200</v>
      </c>
      <c r="P599">
        <v>0</v>
      </c>
      <c r="Q599">
        <v>0.332999999999999</v>
      </c>
      <c r="R599">
        <v>909</v>
      </c>
      <c r="S599">
        <v>203</v>
      </c>
      <c r="T599">
        <v>152</v>
      </c>
      <c r="U599">
        <v>0.88</v>
      </c>
      <c r="V599">
        <v>200</v>
      </c>
      <c r="W599">
        <v>0.332999999999999</v>
      </c>
      <c r="X599">
        <v>0</v>
      </c>
      <c r="Y599">
        <v>122.25</v>
      </c>
      <c r="Z599">
        <v>0.72</v>
      </c>
      <c r="AA599">
        <v>0</v>
      </c>
      <c r="AB599">
        <v>0</v>
      </c>
      <c r="AC599">
        <v>0</v>
      </c>
      <c r="AD599">
        <v>1.56</v>
      </c>
      <c r="AE599">
        <v>245</v>
      </c>
      <c r="AF599">
        <v>0</v>
      </c>
      <c r="AG599">
        <v>0</v>
      </c>
      <c r="AH599">
        <v>0</v>
      </c>
      <c r="AI599">
        <v>159.92</v>
      </c>
      <c r="AJ599">
        <v>5.1</v>
      </c>
      <c r="AK599">
        <v>53072</v>
      </c>
      <c r="AL599">
        <v>4169</v>
      </c>
      <c r="AM599">
        <v>234</v>
      </c>
      <c r="AN599">
        <v>0</v>
      </c>
      <c r="AO599">
        <v>0</v>
      </c>
      <c r="AP599">
        <v>0.784</v>
      </c>
      <c r="AQ599">
        <v>0.047</v>
      </c>
      <c r="AR599">
        <v>0.021</v>
      </c>
      <c r="AS599" s="3">
        <v>46107.77196759259</v>
      </c>
    </row>
    <row r="600" ht="25.5" customHeight="1">
      <c r="A600" t="inlineStr">
        <is>
          <t>5cc9c0340000000011006fce</t>
        </is>
      </c>
      <c r="B600" s="2" t="str">
        <f>=HYPERLINK("https://www.xiaohongshu.com/user/profile/5cc9c0340000000011006fce", "https://www.xiaohongshu.com/user/profile/5cc9c0340000000011006fce")</f>
        <v>https://www.xiaohongshu.com/user/profile/5cc9c0340000000011006fce</v>
      </c>
      <c r="C600" s="2" t="str">
        <f>=HYPERLINK("https://pgy.xiaohongshu.com/solar/pre-trade/blogger-detail/5cc9c0340000000011006fce", "https://pgy.xiaohongshu.com/solar/pre-trade/blogger-detail/5cc9c0340000000011006fce")</f>
        <v>https://pgy.xiaohongshu.com/solar/pre-trade/blogger-detail/5cc9c0340000000011006fce</v>
      </c>
      <c r="D600" t="inlineStr">
        <is>
          <t>男</t>
        </is>
      </c>
      <c r="E600" t="inlineStr">
        <is>
          <t>518659759</t>
        </is>
      </c>
      <c r="F600" t="inlineStr">
        <is>
          <t>充哥崛起</t>
        </is>
      </c>
      <c r="G600" t="inlineStr">
        <is>
          <t>北京</t>
        </is>
      </c>
      <c r="H600"/>
      <c r="I600" t="inlineStr">
        <is>
          <t>教育</t>
        </is>
      </c>
      <c r="J600">
        <v>108493</v>
      </c>
      <c r="K600" t="inlineStr">
        <is>
          <t>10.8</t>
        </is>
      </c>
      <c r="L600">
        <v>83231</v>
      </c>
      <c r="M600">
        <v>10538</v>
      </c>
      <c r="N600">
        <v>766</v>
      </c>
      <c r="O600">
        <v>5000</v>
      </c>
      <c r="P600">
        <v>0.273</v>
      </c>
      <c r="Q600">
        <v>0.855</v>
      </c>
      <c r="R600">
        <v>0</v>
      </c>
      <c r="S600">
        <v>0</v>
      </c>
      <c r="T600">
        <v>0</v>
      </c>
      <c r="U600">
        <v>0</v>
      </c>
      <c r="V600">
        <v>5000</v>
      </c>
      <c r="W600">
        <v>0</v>
      </c>
      <c r="X600">
        <v>0</v>
      </c>
      <c r="Y600">
        <v>0</v>
      </c>
      <c r="Z600">
        <v>0</v>
      </c>
      <c r="AA600">
        <v>83231</v>
      </c>
      <c r="AB600">
        <v>10538</v>
      </c>
      <c r="AC600">
        <v>602</v>
      </c>
      <c r="AD600">
        <v>2.45</v>
      </c>
      <c r="AE600">
        <v>10000</v>
      </c>
      <c r="AF600">
        <v>0.855</v>
      </c>
      <c r="AG600">
        <v>0.273</v>
      </c>
      <c r="AH600">
        <v>0.095</v>
      </c>
      <c r="AI600">
        <v>120.15</v>
      </c>
      <c r="AJ600">
        <v>13.05</v>
      </c>
      <c r="AK600">
        <v>0</v>
      </c>
      <c r="AL600">
        <v>0</v>
      </c>
      <c r="AM600">
        <v>0</v>
      </c>
      <c r="AN600">
        <v>0</v>
      </c>
      <c r="AO600">
        <v>0</v>
      </c>
      <c r="AP600">
        <v>0.905</v>
      </c>
      <c r="AQ600">
        <v>0.122</v>
      </c>
      <c r="AR600">
        <v>0.079</v>
      </c>
      <c r="AS600" s="3">
        <v>46107.77196759259</v>
      </c>
    </row>
    <row r="601" ht="25.5" customHeight="1">
      <c r="A601" t="inlineStr">
        <is>
          <t>641954be00000000110200ac</t>
        </is>
      </c>
      <c r="B601" s="2" t="str">
        <f>=HYPERLINK("https://www.xiaohongshu.com/user/profile/641954be00000000110200ac", "https://www.xiaohongshu.com/user/profile/641954be00000000110200ac")</f>
        <v>https://www.xiaohongshu.com/user/profile/641954be00000000110200ac</v>
      </c>
      <c r="C601" s="2" t="str">
        <f>=HYPERLINK("https://pgy.xiaohongshu.com/solar/pre-trade/blogger-detail/641954be00000000110200ac", "https://pgy.xiaohongshu.com/solar/pre-trade/blogger-detail/641954be00000000110200ac")</f>
        <v>https://pgy.xiaohongshu.com/solar/pre-trade/blogger-detail/641954be00000000110200ac</v>
      </c>
      <c r="D601" t="inlineStr">
        <is>
          <t>女</t>
        </is>
      </c>
      <c r="E601" t="inlineStr">
        <is>
          <t>6165536008</t>
        </is>
      </c>
      <c r="F601" t="inlineStr">
        <is>
          <t>死 磕 英 语</t>
        </is>
      </c>
      <c r="G601" t="inlineStr">
        <is>
          <t>广东 揭阳 榕城区</t>
        </is>
      </c>
      <c r="H601" t="inlineStr">
        <is>
          <t>学生</t>
        </is>
      </c>
      <c r="I601" t="inlineStr">
        <is>
          <t>教育</t>
        </is>
      </c>
      <c r="J601">
        <v>226211</v>
      </c>
      <c r="K601" t="inlineStr">
        <is>
          <t>22.6</t>
        </is>
      </c>
      <c r="L601">
        <v>22377</v>
      </c>
      <c r="M601">
        <v>7809</v>
      </c>
      <c r="N601">
        <v>724</v>
      </c>
      <c r="O601">
        <v>6000</v>
      </c>
      <c r="P601">
        <v>0.1</v>
      </c>
      <c r="Q601">
        <v>1</v>
      </c>
      <c r="R601">
        <v>0</v>
      </c>
      <c r="S601">
        <v>0</v>
      </c>
      <c r="T601">
        <v>0</v>
      </c>
      <c r="U601">
        <v>0</v>
      </c>
      <c r="V601">
        <v>12000</v>
      </c>
      <c r="W601">
        <v>0</v>
      </c>
      <c r="X601">
        <v>0</v>
      </c>
      <c r="Y601">
        <v>0</v>
      </c>
      <c r="Z601">
        <v>0</v>
      </c>
      <c r="AA601">
        <v>22377</v>
      </c>
      <c r="AB601">
        <v>7809</v>
      </c>
      <c r="AC601">
        <v>619</v>
      </c>
      <c r="AD601">
        <v>2.27</v>
      </c>
      <c r="AE601">
        <v>6000</v>
      </c>
      <c r="AF601">
        <v>1</v>
      </c>
      <c r="AG601">
        <v>0.1</v>
      </c>
      <c r="AH601">
        <v>0.073</v>
      </c>
      <c r="AI601">
        <v>268.13</v>
      </c>
      <c r="AJ601">
        <v>8.28</v>
      </c>
      <c r="AK601">
        <v>0</v>
      </c>
      <c r="AL601">
        <v>0</v>
      </c>
      <c r="AM601">
        <v>0</v>
      </c>
      <c r="AN601">
        <v>0</v>
      </c>
      <c r="AO601">
        <v>0</v>
      </c>
      <c r="AP601">
        <v>0.915</v>
      </c>
      <c r="AQ601">
        <v>0.0139999999999999</v>
      </c>
      <c r="AR601">
        <v>-0.002</v>
      </c>
      <c r="AS601" s="3">
        <v>46107.7721875</v>
      </c>
    </row>
    <row r="602" ht="25.5" customHeight="1">
      <c r="A602" t="inlineStr">
        <is>
          <t>5cf69d0c0000000010032c57</t>
        </is>
      </c>
      <c r="B602" s="2" t="str">
        <f>=HYPERLINK("https://www.xiaohongshu.com/user/profile/5cf69d0c0000000010032c57", "https://www.xiaohongshu.com/user/profile/5cf69d0c0000000010032c57")</f>
        <v>https://www.xiaohongshu.com/user/profile/5cf69d0c0000000010032c57</v>
      </c>
      <c r="C602" s="2" t="str">
        <f>=HYPERLINK("https://pgy.xiaohongshu.com/solar/pre-trade/blogger-detail/5cf69d0c0000000010032c57", "https://pgy.xiaohongshu.com/solar/pre-trade/blogger-detail/5cf69d0c0000000010032c57")</f>
        <v>https://pgy.xiaohongshu.com/solar/pre-trade/blogger-detail/5cf69d0c0000000010032c57</v>
      </c>
      <c r="D602" t="inlineStr">
        <is>
          <t>女</t>
        </is>
      </c>
      <c r="E602" t="inlineStr">
        <is>
          <t>997894800</t>
        </is>
      </c>
      <c r="F602" t="inlineStr">
        <is>
          <t>小兔</t>
        </is>
      </c>
      <c r="G602" t="inlineStr">
        <is>
          <t>新加坡</t>
        </is>
      </c>
      <c r="H602" t="inlineStr">
        <is>
          <t>留学背景, 学生</t>
        </is>
      </c>
      <c r="I602" t="inlineStr">
        <is>
          <t>教育</t>
        </is>
      </c>
      <c r="J602">
        <v>33487</v>
      </c>
      <c r="K602" t="inlineStr">
        <is>
          <t>3.3</t>
        </is>
      </c>
      <c r="L602">
        <v>35636</v>
      </c>
      <c r="M602">
        <v>5447</v>
      </c>
      <c r="N602">
        <v>447</v>
      </c>
      <c r="O602">
        <v>2700</v>
      </c>
      <c r="P602">
        <v>0</v>
      </c>
      <c r="Q602">
        <v>0.889</v>
      </c>
      <c r="R602">
        <v>0</v>
      </c>
      <c r="S602">
        <v>0</v>
      </c>
      <c r="T602">
        <v>0</v>
      </c>
      <c r="U602">
        <v>1.48</v>
      </c>
      <c r="V602">
        <v>2700</v>
      </c>
      <c r="W602">
        <v>0</v>
      </c>
      <c r="X602">
        <v>0</v>
      </c>
      <c r="Y602">
        <v>293.32</v>
      </c>
      <c r="Z602">
        <v>20.77</v>
      </c>
      <c r="AA602">
        <v>35636</v>
      </c>
      <c r="AB602">
        <v>5447</v>
      </c>
      <c r="AC602">
        <v>378</v>
      </c>
      <c r="AD602">
        <v>2.12</v>
      </c>
      <c r="AE602">
        <v>3500</v>
      </c>
      <c r="AF602">
        <v>0.889</v>
      </c>
      <c r="AG602">
        <v>0</v>
      </c>
      <c r="AH602">
        <v>0.065</v>
      </c>
      <c r="AI602">
        <v>114.19</v>
      </c>
      <c r="AJ602">
        <v>8.06</v>
      </c>
      <c r="AK602">
        <v>41541</v>
      </c>
      <c r="AL602">
        <v>4934</v>
      </c>
      <c r="AM602">
        <v>158</v>
      </c>
      <c r="AN602">
        <v>0</v>
      </c>
      <c r="AO602">
        <v>0</v>
      </c>
      <c r="AP602">
        <v>0.805999999999999</v>
      </c>
      <c r="AQ602">
        <v>0.033</v>
      </c>
      <c r="AR602">
        <v>0.0279999999999999</v>
      </c>
      <c r="AS602" s="3">
        <v>46107.7721875</v>
      </c>
    </row>
    <row r="603" ht="25.5" customHeight="1">
      <c r="A603" t="inlineStr">
        <is>
          <t>6289d6fd0000000021028780</t>
        </is>
      </c>
      <c r="B603" s="2" t="str">
        <f>=HYPERLINK("https://www.xiaohongshu.com/user/profile/6289d6fd0000000021028780", "https://www.xiaohongshu.com/user/profile/6289d6fd0000000021028780")</f>
        <v>https://www.xiaohongshu.com/user/profile/6289d6fd0000000021028780</v>
      </c>
      <c r="C603" s="2" t="str">
        <f>=HYPERLINK("https://pgy.xiaohongshu.com/solar/pre-trade/blogger-detail/6289d6fd0000000021028780", "https://pgy.xiaohongshu.com/solar/pre-trade/blogger-detail/6289d6fd0000000021028780")</f>
        <v>https://pgy.xiaohongshu.com/solar/pre-trade/blogger-detail/6289d6fd0000000021028780</v>
      </c>
      <c r="D603" t="inlineStr">
        <is>
          <t>女</t>
        </is>
      </c>
      <c r="E603" t="inlineStr">
        <is>
          <t>5477968734</t>
        </is>
      </c>
      <c r="F603" t="inlineStr">
        <is>
          <t>我是小k.</t>
        </is>
      </c>
      <c r="G603" t="inlineStr">
        <is>
          <t>湖南 新邵县</t>
        </is>
      </c>
      <c r="H603"/>
      <c r="I603" t="inlineStr">
        <is>
          <t>教育</t>
        </is>
      </c>
      <c r="J603">
        <v>1747</v>
      </c>
      <c r="K603" t="inlineStr">
        <is>
          <t>0.2</t>
        </is>
      </c>
      <c r="L603">
        <v>4927</v>
      </c>
      <c r="M603">
        <v>717</v>
      </c>
      <c r="N603">
        <v>164</v>
      </c>
      <c r="O603">
        <v>100</v>
      </c>
      <c r="P603">
        <v>0</v>
      </c>
      <c r="Q603">
        <v>0.35</v>
      </c>
      <c r="R603">
        <v>4927</v>
      </c>
      <c r="S603">
        <v>717</v>
      </c>
      <c r="T603">
        <v>144</v>
      </c>
      <c r="U603">
        <v>0.45</v>
      </c>
      <c r="V603">
        <v>100</v>
      </c>
      <c r="W603">
        <v>0.35</v>
      </c>
      <c r="X603">
        <v>0</v>
      </c>
      <c r="Y603">
        <v>20.65</v>
      </c>
      <c r="Z603">
        <v>0.62</v>
      </c>
      <c r="AA603">
        <v>0</v>
      </c>
      <c r="AB603">
        <v>0</v>
      </c>
      <c r="AC603">
        <v>0</v>
      </c>
      <c r="AD603">
        <v>0</v>
      </c>
      <c r="AE603">
        <v>100</v>
      </c>
      <c r="AF603">
        <v>0</v>
      </c>
      <c r="AG603">
        <v>0</v>
      </c>
      <c r="AH603">
        <v>0</v>
      </c>
      <c r="AI603">
        <v>0</v>
      </c>
      <c r="AJ603">
        <v>0</v>
      </c>
      <c r="AK603">
        <v>1697</v>
      </c>
      <c r="AL603">
        <v>109</v>
      </c>
      <c r="AM603">
        <v>46</v>
      </c>
      <c r="AN603">
        <v>0</v>
      </c>
      <c r="AO603">
        <v>0</v>
      </c>
      <c r="AP603">
        <v>0.789</v>
      </c>
      <c r="AQ603">
        <v>0.173</v>
      </c>
      <c r="AR603">
        <v>0.419</v>
      </c>
      <c r="AS603" s="3">
        <v>46107.7721875</v>
      </c>
    </row>
    <row r="604" ht="25.5" customHeight="1">
      <c r="A604" t="inlineStr">
        <is>
          <t>63bcf07f0000000026004dfb</t>
        </is>
      </c>
      <c r="B604" s="2" t="str">
        <f>=HYPERLINK("https://www.xiaohongshu.com/user/profile/63bcf07f0000000026004dfb", "https://www.xiaohongshu.com/user/profile/63bcf07f0000000026004dfb")</f>
        <v>https://www.xiaohongshu.com/user/profile/63bcf07f0000000026004dfb</v>
      </c>
      <c r="C604" s="2" t="str">
        <f>=HYPERLINK("https://pgy.xiaohongshu.com/solar/pre-trade/blogger-detail/63bcf07f0000000026004dfb", "https://pgy.xiaohongshu.com/solar/pre-trade/blogger-detail/63bcf07f0000000026004dfb")</f>
        <v>https://pgy.xiaohongshu.com/solar/pre-trade/blogger-detail/63bcf07f0000000026004dfb</v>
      </c>
      <c r="D604" t="inlineStr">
        <is>
          <t>女</t>
        </is>
      </c>
      <c r="E604" t="inlineStr">
        <is>
          <t>6240157694</t>
        </is>
      </c>
      <c r="F604" t="inlineStr">
        <is>
          <t>JustEmma</t>
        </is>
      </c>
      <c r="G604" t="inlineStr">
        <is>
          <t>新加坡</t>
        </is>
      </c>
      <c r="H604" t="inlineStr">
        <is>
          <t>学生, 留学背景</t>
        </is>
      </c>
      <c r="I604" t="inlineStr">
        <is>
          <t>教育</t>
        </is>
      </c>
      <c r="J604">
        <v>12638</v>
      </c>
      <c r="K604" t="inlineStr">
        <is>
          <t>1.3</t>
        </is>
      </c>
      <c r="L604">
        <v>41975</v>
      </c>
      <c r="M604">
        <v>5417</v>
      </c>
      <c r="N604">
        <v>854</v>
      </c>
      <c r="O604">
        <v>1800</v>
      </c>
      <c r="P604">
        <v>0.25</v>
      </c>
      <c r="Q604">
        <v>1</v>
      </c>
      <c r="R604">
        <v>45627</v>
      </c>
      <c r="S604">
        <v>8705</v>
      </c>
      <c r="T604">
        <v>1208</v>
      </c>
      <c r="U604">
        <v>0.51</v>
      </c>
      <c r="V604">
        <v>1800</v>
      </c>
      <c r="W604">
        <v>1</v>
      </c>
      <c r="X604">
        <v>1</v>
      </c>
      <c r="Y604">
        <v>39.45</v>
      </c>
      <c r="Z604">
        <v>1.1</v>
      </c>
      <c r="AA604">
        <v>38324</v>
      </c>
      <c r="AB604">
        <v>4692</v>
      </c>
      <c r="AC604">
        <v>610</v>
      </c>
      <c r="AD604">
        <v>1.97</v>
      </c>
      <c r="AE604">
        <v>2200</v>
      </c>
      <c r="AF604">
        <v>1</v>
      </c>
      <c r="AG604">
        <v>0.143</v>
      </c>
      <c r="AH604">
        <v>0.032</v>
      </c>
      <c r="AI604">
        <v>57.41</v>
      </c>
      <c r="AJ604">
        <v>2.61</v>
      </c>
      <c r="AK604">
        <v>0</v>
      </c>
      <c r="AL604">
        <v>0</v>
      </c>
      <c r="AM604">
        <v>0</v>
      </c>
      <c r="AN604">
        <v>0</v>
      </c>
      <c r="AO604">
        <v>0</v>
      </c>
      <c r="AP604">
        <v>0.955</v>
      </c>
      <c r="AQ604">
        <v>0.16</v>
      </c>
      <c r="AR604">
        <v>0.566</v>
      </c>
      <c r="AS604" s="3">
        <v>46107.7721875</v>
      </c>
    </row>
    <row r="605" ht="25.5" customHeight="1">
      <c r="A605" t="inlineStr">
        <is>
          <t>68d8b22900000000220357cb</t>
        </is>
      </c>
      <c r="B605" s="2" t="str">
        <f>=HYPERLINK("https://www.xiaohongshu.com/user/profile/68d8b22900000000220357cb", "https://www.xiaohongshu.com/user/profile/68d8b22900000000220357cb")</f>
        <v>https://www.xiaohongshu.com/user/profile/68d8b22900000000220357cb</v>
      </c>
      <c r="C605" s="2" t="str">
        <f>=HYPERLINK("https://pgy.xiaohongshu.com/solar/pre-trade/blogger-detail/68d8b22900000000220357cb", "https://pgy.xiaohongshu.com/solar/pre-trade/blogger-detail/68d8b22900000000220357cb")</f>
        <v>https://pgy.xiaohongshu.com/solar/pre-trade/blogger-detail/68d8b22900000000220357cb</v>
      </c>
      <c r="D605" t="inlineStr">
        <is>
          <t>女</t>
        </is>
      </c>
      <c r="E605" t="inlineStr">
        <is>
          <t>95571036289</t>
        </is>
      </c>
      <c r="F605" t="inlineStr">
        <is>
          <t>小鱼圆圆2fo</t>
        </is>
      </c>
      <c r="G605" t="inlineStr">
        <is>
          <t>河南 南阳 卧龙区</t>
        </is>
      </c>
      <c r="H605"/>
      <c r="I605" t="inlineStr">
        <is>
          <t>教育</t>
        </is>
      </c>
      <c r="J605">
        <v>2036</v>
      </c>
      <c r="K605" t="inlineStr">
        <is>
          <t>0.2</t>
        </is>
      </c>
      <c r="L605">
        <v>12032</v>
      </c>
      <c r="M605">
        <v>3146</v>
      </c>
      <c r="N605">
        <v>128</v>
      </c>
      <c r="O605">
        <v>150</v>
      </c>
      <c r="P605">
        <v>0.063</v>
      </c>
      <c r="Q605">
        <v>0.437999999999999</v>
      </c>
      <c r="R605">
        <v>0</v>
      </c>
      <c r="S605">
        <v>0</v>
      </c>
      <c r="T605">
        <v>0</v>
      </c>
      <c r="U605">
        <v>1.08</v>
      </c>
      <c r="V605">
        <v>150</v>
      </c>
      <c r="W605">
        <v>0</v>
      </c>
      <c r="X605">
        <v>0</v>
      </c>
      <c r="Y605">
        <v>58.73</v>
      </c>
      <c r="Z605">
        <v>9.38</v>
      </c>
      <c r="AA605">
        <v>12032</v>
      </c>
      <c r="AB605">
        <v>3146</v>
      </c>
      <c r="AC605">
        <v>112</v>
      </c>
      <c r="AD605">
        <v>1.58</v>
      </c>
      <c r="AE605">
        <v>200</v>
      </c>
      <c r="AF605">
        <v>0.437999999999999</v>
      </c>
      <c r="AG605">
        <v>0.063</v>
      </c>
      <c r="AH605">
        <v>0.221</v>
      </c>
      <c r="AI605">
        <v>17.47</v>
      </c>
      <c r="AJ605">
        <v>1.61</v>
      </c>
      <c r="AK605">
        <v>5595</v>
      </c>
      <c r="AL605">
        <v>1075</v>
      </c>
      <c r="AM605">
        <v>59</v>
      </c>
      <c r="AN605">
        <v>27</v>
      </c>
      <c r="AO605">
        <v>6.84</v>
      </c>
      <c r="AP605">
        <v>0.946</v>
      </c>
      <c r="AQ605">
        <v>0.201999999999999</v>
      </c>
      <c r="AR605">
        <v>0.172</v>
      </c>
      <c r="AS605" s="3">
        <v>46107.7721875</v>
      </c>
    </row>
    <row r="606" ht="25.5" customHeight="1">
      <c r="A606" t="inlineStr">
        <is>
          <t>5f22d498000000000101dcd3</t>
        </is>
      </c>
      <c r="B606" s="2" t="str">
        <f>=HYPERLINK("https://www.xiaohongshu.com/user/profile/5f22d498000000000101dcd3", "https://www.xiaohongshu.com/user/profile/5f22d498000000000101dcd3")</f>
        <v>https://www.xiaohongshu.com/user/profile/5f22d498000000000101dcd3</v>
      </c>
      <c r="C606" s="2" t="str">
        <f>=HYPERLINK("https://pgy.xiaohongshu.com/solar/pre-trade/blogger-detail/5f22d498000000000101dcd3", "https://pgy.xiaohongshu.com/solar/pre-trade/blogger-detail/5f22d498000000000101dcd3")</f>
        <v>https://pgy.xiaohongshu.com/solar/pre-trade/blogger-detail/5f22d498000000000101dcd3</v>
      </c>
      <c r="D606" t="inlineStr">
        <is>
          <t>女</t>
        </is>
      </c>
      <c r="E606" t="inlineStr">
        <is>
          <t>314944210</t>
        </is>
      </c>
      <c r="F606" t="inlineStr">
        <is>
          <t>菠萝又又</t>
        </is>
      </c>
      <c r="G606" t="inlineStr">
        <is>
          <t>奥地利</t>
        </is>
      </c>
      <c r="H606" t="inlineStr">
        <is>
          <t>留学背景, 学生</t>
        </is>
      </c>
      <c r="I606" t="inlineStr">
        <is>
          <t>职场, 教育, 出行旅游</t>
        </is>
      </c>
      <c r="J606">
        <v>3045</v>
      </c>
      <c r="K606" t="inlineStr">
        <is>
          <t>0.3</t>
        </is>
      </c>
      <c r="L606">
        <v>6106</v>
      </c>
      <c r="M606">
        <v>1314</v>
      </c>
      <c r="N606">
        <v>143</v>
      </c>
      <c r="O606">
        <v>160</v>
      </c>
      <c r="P606">
        <v>0</v>
      </c>
      <c r="Q606">
        <v>0.332999999999999</v>
      </c>
      <c r="R606">
        <v>5240</v>
      </c>
      <c r="S606">
        <v>843</v>
      </c>
      <c r="T606">
        <v>69</v>
      </c>
      <c r="U606">
        <v>0.49</v>
      </c>
      <c r="V606">
        <v>160</v>
      </c>
      <c r="W606">
        <v>0</v>
      </c>
      <c r="X606">
        <v>0</v>
      </c>
      <c r="Y606">
        <v>30.53</v>
      </c>
      <c r="Z606">
        <v>4.1</v>
      </c>
      <c r="AA606">
        <v>8090</v>
      </c>
      <c r="AB606">
        <v>1411</v>
      </c>
      <c r="AC606">
        <v>125</v>
      </c>
      <c r="AD606">
        <v>1.72</v>
      </c>
      <c r="AE606">
        <v>310</v>
      </c>
      <c r="AF606">
        <v>0.455</v>
      </c>
      <c r="AG606">
        <v>0</v>
      </c>
      <c r="AH606">
        <v>0.100999999999999</v>
      </c>
      <c r="AI606">
        <v>43.43</v>
      </c>
      <c r="AJ606">
        <v>2.1</v>
      </c>
      <c r="AK606">
        <v>3321</v>
      </c>
      <c r="AL606">
        <v>304</v>
      </c>
      <c r="AM606">
        <v>20</v>
      </c>
      <c r="AN606">
        <v>0</v>
      </c>
      <c r="AO606">
        <v>0</v>
      </c>
      <c r="AP606">
        <v>0.853</v>
      </c>
      <c r="AQ606">
        <v>0.109</v>
      </c>
      <c r="AR606">
        <v>0.153</v>
      </c>
      <c r="AS606" s="3">
        <v>46107.7721875</v>
      </c>
    </row>
    <row r="607" ht="25.5" customHeight="1">
      <c r="A607" t="inlineStr">
        <is>
          <t>6520ad810000000023025f73</t>
        </is>
      </c>
      <c r="B607" s="2" t="str">
        <f>=HYPERLINK("https://www.xiaohongshu.com/user/profile/6520ad810000000023025f73", "https://www.xiaohongshu.com/user/profile/6520ad810000000023025f73")</f>
        <v>https://www.xiaohongshu.com/user/profile/6520ad810000000023025f73</v>
      </c>
      <c r="C607" s="2" t="str">
        <f>=HYPERLINK("https://pgy.xiaohongshu.com/solar/pre-trade/blogger-detail/6520ad810000000023025f73", "https://pgy.xiaohongshu.com/solar/pre-trade/blogger-detail/6520ad810000000023025f73")</f>
        <v>https://pgy.xiaohongshu.com/solar/pre-trade/blogger-detail/6520ad810000000023025f73</v>
      </c>
      <c r="D607" t="inlineStr">
        <is>
          <t>女</t>
        </is>
      </c>
      <c r="E607" t="inlineStr">
        <is>
          <t>8491404996</t>
        </is>
      </c>
      <c r="F607" t="inlineStr">
        <is>
          <t>wen温温</t>
        </is>
      </c>
      <c r="G607" t="inlineStr">
        <is>
          <t>安徽 合肥 肥西县</t>
        </is>
      </c>
      <c r="H607"/>
      <c r="I607" t="inlineStr">
        <is>
          <t>教育</t>
        </is>
      </c>
      <c r="J607">
        <v>1434</v>
      </c>
      <c r="K607" t="inlineStr">
        <is>
          <t>0.1</t>
        </is>
      </c>
      <c r="L607">
        <v>10029</v>
      </c>
      <c r="M607">
        <v>1942</v>
      </c>
      <c r="N607">
        <v>189</v>
      </c>
      <c r="O607">
        <v>111</v>
      </c>
      <c r="P607">
        <v>0.166999999999999</v>
      </c>
      <c r="Q607">
        <v>0.528</v>
      </c>
      <c r="R607">
        <v>5083</v>
      </c>
      <c r="S607">
        <v>622</v>
      </c>
      <c r="T607">
        <v>91</v>
      </c>
      <c r="U607">
        <v>0.68</v>
      </c>
      <c r="V607">
        <v>234</v>
      </c>
      <c r="W607">
        <v>0.083</v>
      </c>
      <c r="X607">
        <v>0</v>
      </c>
      <c r="Y607">
        <v>46.04</v>
      </c>
      <c r="Z607">
        <v>2.29</v>
      </c>
      <c r="AA607">
        <v>22957</v>
      </c>
      <c r="AB607">
        <v>4472</v>
      </c>
      <c r="AC607">
        <v>602</v>
      </c>
      <c r="AD607">
        <v>1.52</v>
      </c>
      <c r="AE607">
        <v>111</v>
      </c>
      <c r="AF607">
        <v>0.75</v>
      </c>
      <c r="AG607">
        <v>0.25</v>
      </c>
      <c r="AH607">
        <v>0.1</v>
      </c>
      <c r="AI607">
        <v>4.84</v>
      </c>
      <c r="AJ607">
        <v>0.17</v>
      </c>
      <c r="AK607">
        <v>0</v>
      </c>
      <c r="AL607">
        <v>0</v>
      </c>
      <c r="AM607">
        <v>0</v>
      </c>
      <c r="AN607">
        <v>0</v>
      </c>
      <c r="AO607">
        <v>0</v>
      </c>
      <c r="AP607">
        <v>0.989</v>
      </c>
      <c r="AQ607">
        <v>0.55</v>
      </c>
      <c r="AR607">
        <v>0</v>
      </c>
      <c r="AS607" s="3">
        <v>46107.7721875</v>
      </c>
    </row>
    <row r="608" ht="25.5" customHeight="1">
      <c r="A608" t="inlineStr">
        <is>
          <t>65337261000000002a0192f4</t>
        </is>
      </c>
      <c r="B608" s="2" t="str">
        <f>=HYPERLINK("https://www.xiaohongshu.com/user/profile/65337261000000002a0192f4", "https://www.xiaohongshu.com/user/profile/65337261000000002a0192f4")</f>
        <v>https://www.xiaohongshu.com/user/profile/65337261000000002a0192f4</v>
      </c>
      <c r="C608" s="2" t="str">
        <f>=HYPERLINK("https://pgy.xiaohongshu.com/solar/pre-trade/blogger-detail/65337261000000002a0192f4", "https://pgy.xiaohongshu.com/solar/pre-trade/blogger-detail/65337261000000002a0192f4")</f>
        <v>https://pgy.xiaohongshu.com/solar/pre-trade/blogger-detail/65337261000000002a0192f4</v>
      </c>
      <c r="D608" t="inlineStr">
        <is>
          <t>女</t>
        </is>
      </c>
      <c r="E608" t="inlineStr">
        <is>
          <t>3687194710</t>
        </is>
      </c>
      <c r="F608" t="inlineStr">
        <is>
          <t>圈圈de成长日记📔</t>
        </is>
      </c>
      <c r="G608" t="inlineStr">
        <is>
          <t>山东 潍坊 寿光市</t>
        </is>
      </c>
      <c r="H608" t="inlineStr">
        <is>
          <t>学生</t>
        </is>
      </c>
      <c r="I608" t="inlineStr">
        <is>
          <t>生活记录, 科技数码</t>
        </is>
      </c>
      <c r="J608">
        <v>10751</v>
      </c>
      <c r="K608" t="inlineStr">
        <is>
          <t>1.1</t>
        </is>
      </c>
      <c r="L608">
        <v>8334</v>
      </c>
      <c r="M608">
        <v>946</v>
      </c>
      <c r="N608">
        <v>157</v>
      </c>
      <c r="O608">
        <v>900</v>
      </c>
      <c r="P608">
        <v>0</v>
      </c>
      <c r="Q608">
        <v>0.6</v>
      </c>
      <c r="R608">
        <v>9057</v>
      </c>
      <c r="S608">
        <v>2015</v>
      </c>
      <c r="T608">
        <v>194</v>
      </c>
      <c r="U608">
        <v>0.75</v>
      </c>
      <c r="V608">
        <v>900</v>
      </c>
      <c r="W608">
        <v>1</v>
      </c>
      <c r="X608">
        <v>0</v>
      </c>
      <c r="Y608">
        <v>99.37</v>
      </c>
      <c r="Z608">
        <v>4.39</v>
      </c>
      <c r="AA608">
        <v>8572</v>
      </c>
      <c r="AB608">
        <v>1318</v>
      </c>
      <c r="AC608">
        <v>169</v>
      </c>
      <c r="AD608">
        <v>2.41</v>
      </c>
      <c r="AE608">
        <v>1200</v>
      </c>
      <c r="AF608">
        <v>0.5</v>
      </c>
      <c r="AG608">
        <v>0</v>
      </c>
      <c r="AH608">
        <v>0.095</v>
      </c>
      <c r="AI608">
        <v>139.99</v>
      </c>
      <c r="AJ608">
        <v>6.84</v>
      </c>
      <c r="AK608">
        <v>0</v>
      </c>
      <c r="AL608">
        <v>0</v>
      </c>
      <c r="AM608">
        <v>0</v>
      </c>
      <c r="AN608">
        <v>0</v>
      </c>
      <c r="AO608">
        <v>0</v>
      </c>
      <c r="AP608">
        <v>0.795</v>
      </c>
      <c r="AQ608">
        <v>0.036</v>
      </c>
      <c r="AR608">
        <v>0.024</v>
      </c>
      <c r="AS608" s="3">
        <v>46107.7721875</v>
      </c>
    </row>
    <row r="609" ht="25.5" customHeight="1">
      <c r="A609" t="inlineStr">
        <is>
          <t>5b402c3611be107fe35601fe</t>
        </is>
      </c>
      <c r="B609" s="2" t="str">
        <f>=HYPERLINK("https://www.xiaohongshu.com/user/profile/5b402c3611be107fe35601fe", "https://www.xiaohongshu.com/user/profile/5b402c3611be107fe35601fe")</f>
        <v>https://www.xiaohongshu.com/user/profile/5b402c3611be107fe35601fe</v>
      </c>
      <c r="C609" s="2" t="str">
        <f>=HYPERLINK("https://pgy.xiaohongshu.com/solar/pre-trade/blogger-detail/5b402c3611be107fe35601fe", "https://pgy.xiaohongshu.com/solar/pre-trade/blogger-detail/5b402c3611be107fe35601fe")</f>
        <v>https://pgy.xiaohongshu.com/solar/pre-trade/blogger-detail/5b402c3611be107fe35601fe</v>
      </c>
      <c r="D609" t="inlineStr">
        <is>
          <t>女</t>
        </is>
      </c>
      <c r="E609" t="inlineStr">
        <is>
          <t>631061030</t>
        </is>
      </c>
      <c r="F609" t="inlineStr">
        <is>
          <t>小贞子</t>
        </is>
      </c>
      <c r="G609" t="inlineStr">
        <is>
          <t>广东 广州 番禺区</t>
        </is>
      </c>
      <c r="H609" t="inlineStr">
        <is>
          <t>销售</t>
        </is>
      </c>
      <c r="I609" t="inlineStr">
        <is>
          <t>职场, 教育</t>
        </is>
      </c>
      <c r="J609">
        <v>1721</v>
      </c>
      <c r="K609" t="inlineStr">
        <is>
          <t>0.2</t>
        </is>
      </c>
      <c r="L609">
        <v>2243</v>
      </c>
      <c r="M609">
        <v>862</v>
      </c>
      <c r="N609">
        <v>141</v>
      </c>
      <c r="O609">
        <v>167</v>
      </c>
      <c r="P609">
        <v>0</v>
      </c>
      <c r="Q609">
        <v>0.2</v>
      </c>
      <c r="R609">
        <v>0</v>
      </c>
      <c r="S609">
        <v>0</v>
      </c>
      <c r="T609">
        <v>0</v>
      </c>
      <c r="U609">
        <v>6.72</v>
      </c>
      <c r="V609">
        <v>167</v>
      </c>
      <c r="W609">
        <v>0</v>
      </c>
      <c r="X609">
        <v>0</v>
      </c>
      <c r="Y609">
        <v>417.5</v>
      </c>
      <c r="Z609">
        <v>47.71</v>
      </c>
      <c r="AA609">
        <v>2243</v>
      </c>
      <c r="AB609">
        <v>862</v>
      </c>
      <c r="AC609">
        <v>119</v>
      </c>
      <c r="AD609">
        <v>1.76</v>
      </c>
      <c r="AE609">
        <v>223</v>
      </c>
      <c r="AF609">
        <v>0.2</v>
      </c>
      <c r="AG609">
        <v>0</v>
      </c>
      <c r="AH609">
        <v>0.015</v>
      </c>
      <c r="AI609">
        <v>99.42</v>
      </c>
      <c r="AJ609">
        <v>1.58</v>
      </c>
      <c r="AK609">
        <v>400</v>
      </c>
      <c r="AL609">
        <v>26</v>
      </c>
      <c r="AM609">
        <v>1</v>
      </c>
      <c r="AN609">
        <v>0</v>
      </c>
      <c r="AO609">
        <v>0</v>
      </c>
      <c r="AP609">
        <v>0.905999999999999</v>
      </c>
      <c r="AQ609">
        <v>0.121</v>
      </c>
      <c r="AR609">
        <v>0.223999999999999</v>
      </c>
      <c r="AS609" s="3">
        <v>46107.7721875</v>
      </c>
    </row>
    <row r="610" ht="25.5" customHeight="1">
      <c r="A610" t="inlineStr">
        <is>
          <t>5bd1241b1097ce00011b3977</t>
        </is>
      </c>
      <c r="B610" s="2" t="str">
        <f>=HYPERLINK("https://www.xiaohongshu.com/user/profile/5bd1241b1097ce00011b3977", "https://www.xiaohongshu.com/user/profile/5bd1241b1097ce00011b3977")</f>
        <v>https://www.xiaohongshu.com/user/profile/5bd1241b1097ce00011b3977</v>
      </c>
      <c r="C610" s="2" t="str">
        <f>=HYPERLINK("https://pgy.xiaohongshu.com/solar/pre-trade/blogger-detail/5bd1241b1097ce00011b3977", "https://pgy.xiaohongshu.com/solar/pre-trade/blogger-detail/5bd1241b1097ce00011b3977")</f>
        <v>https://pgy.xiaohongshu.com/solar/pre-trade/blogger-detail/5bd1241b1097ce00011b3977</v>
      </c>
      <c r="D610" t="inlineStr">
        <is>
          <t>女</t>
        </is>
      </c>
      <c r="E610" t="inlineStr">
        <is>
          <t>yiyiphotography</t>
        </is>
      </c>
      <c r="F610" t="inlineStr">
        <is>
          <t>YiYi在北欧</t>
        </is>
      </c>
      <c r="G610" t="inlineStr">
        <is>
          <t>丹麦</t>
        </is>
      </c>
      <c r="H610" t="inlineStr">
        <is>
          <t>海外华人, 留学背景, 学生, 摄影师</t>
        </is>
      </c>
      <c r="I610" t="inlineStr">
        <is>
          <t>出行旅游</t>
        </is>
      </c>
      <c r="J610">
        <v>8622</v>
      </c>
      <c r="K610" t="inlineStr">
        <is>
          <t>0.9</t>
        </is>
      </c>
      <c r="L610">
        <v>10589</v>
      </c>
      <c r="M610">
        <v>1926</v>
      </c>
      <c r="N610">
        <v>170</v>
      </c>
      <c r="O610">
        <v>1500</v>
      </c>
      <c r="P610">
        <v>0.2</v>
      </c>
      <c r="Q610">
        <v>0.2</v>
      </c>
      <c r="R610">
        <v>11544</v>
      </c>
      <c r="S610">
        <v>1926</v>
      </c>
      <c r="T610">
        <v>103</v>
      </c>
      <c r="U610">
        <v>1.08</v>
      </c>
      <c r="V610">
        <v>1500</v>
      </c>
      <c r="W610">
        <v>0.332999999999999</v>
      </c>
      <c r="X610">
        <v>0.332999999999999</v>
      </c>
      <c r="Y610">
        <v>129.94</v>
      </c>
      <c r="Z610">
        <v>7.89</v>
      </c>
      <c r="AA610">
        <v>5546</v>
      </c>
      <c r="AB610">
        <v>1288</v>
      </c>
      <c r="AC610">
        <v>72</v>
      </c>
      <c r="AD610">
        <v>3.44</v>
      </c>
      <c r="AE610">
        <v>2500</v>
      </c>
      <c r="AF610">
        <v>0</v>
      </c>
      <c r="AG610">
        <v>0</v>
      </c>
      <c r="AH610">
        <v>0.154</v>
      </c>
      <c r="AI610">
        <v>450.73</v>
      </c>
      <c r="AJ610">
        <v>27.78</v>
      </c>
      <c r="AK610">
        <v>0</v>
      </c>
      <c r="AL610">
        <v>0</v>
      </c>
      <c r="AM610">
        <v>0</v>
      </c>
      <c r="AN610">
        <v>0</v>
      </c>
      <c r="AO610">
        <v>0</v>
      </c>
      <c r="AP610">
        <v>0.894</v>
      </c>
      <c r="AQ610">
        <v>0.037</v>
      </c>
      <c r="AR610">
        <v>0.043</v>
      </c>
      <c r="AS610" s="3">
        <v>46107.7721875</v>
      </c>
    </row>
    <row r="611" ht="25.5" customHeight="1">
      <c r="A611" t="inlineStr">
        <is>
          <t>5b5277fff7e8b95e9ac6bdf4</t>
        </is>
      </c>
      <c r="B611" s="2" t="str">
        <f>=HYPERLINK("https://www.xiaohongshu.com/user/profile/5b5277fff7e8b95e9ac6bdf4", "https://www.xiaohongshu.com/user/profile/5b5277fff7e8b95e9ac6bdf4")</f>
        <v>https://www.xiaohongshu.com/user/profile/5b5277fff7e8b95e9ac6bdf4</v>
      </c>
      <c r="C611" s="2" t="str">
        <f>=HYPERLINK("https://pgy.xiaohongshu.com/solar/pre-trade/blogger-detail/5b5277fff7e8b95e9ac6bdf4", "https://pgy.xiaohongshu.com/solar/pre-trade/blogger-detail/5b5277fff7e8b95e9ac6bdf4")</f>
        <v>https://pgy.xiaohongshu.com/solar/pre-trade/blogger-detail/5b5277fff7e8b95e9ac6bdf4</v>
      </c>
      <c r="D611" t="inlineStr">
        <is>
          <t>女</t>
        </is>
      </c>
      <c r="E611" t="inlineStr">
        <is>
          <t>622192249</t>
        </is>
      </c>
      <c r="F611" t="inlineStr">
        <is>
          <t>Guliguli说英语</t>
        </is>
      </c>
      <c r="G611" t="inlineStr">
        <is>
          <t>云南 大理白族自治州 大理市</t>
        </is>
      </c>
      <c r="H611" t="inlineStr">
        <is>
          <t>3-6岁, 妈妈, 家庭</t>
        </is>
      </c>
      <c r="I611" t="inlineStr">
        <is>
          <t>教育</t>
        </is>
      </c>
      <c r="J611">
        <v>12379</v>
      </c>
      <c r="K611" t="inlineStr">
        <is>
          <t>1.2</t>
        </is>
      </c>
      <c r="L611">
        <v>3085</v>
      </c>
      <c r="M611">
        <v>2020</v>
      </c>
      <c r="N611">
        <v>197</v>
      </c>
      <c r="O611">
        <v>130</v>
      </c>
      <c r="P611">
        <v>0.12</v>
      </c>
      <c r="Q611">
        <v>0.48</v>
      </c>
      <c r="R611">
        <v>1902</v>
      </c>
      <c r="S611">
        <v>134</v>
      </c>
      <c r="T611">
        <v>0</v>
      </c>
      <c r="U611">
        <v>1.27</v>
      </c>
      <c r="V611">
        <v>130</v>
      </c>
      <c r="W611">
        <v>0</v>
      </c>
      <c r="X611">
        <v>0</v>
      </c>
      <c r="Y611">
        <v>68.35</v>
      </c>
      <c r="Z611">
        <v>0</v>
      </c>
      <c r="AA611">
        <v>3087</v>
      </c>
      <c r="AB611">
        <v>2026</v>
      </c>
      <c r="AC611">
        <v>158</v>
      </c>
      <c r="AD611">
        <v>1.89</v>
      </c>
      <c r="AE611">
        <v>800</v>
      </c>
      <c r="AF611">
        <v>0.5</v>
      </c>
      <c r="AG611">
        <v>0.125</v>
      </c>
      <c r="AH611">
        <v>0.463999999999999</v>
      </c>
      <c r="AI611">
        <v>259.15</v>
      </c>
      <c r="AJ611">
        <v>4.03</v>
      </c>
      <c r="AK611">
        <v>0</v>
      </c>
      <c r="AL611">
        <v>0</v>
      </c>
      <c r="AM611">
        <v>0</v>
      </c>
      <c r="AN611">
        <v>0</v>
      </c>
      <c r="AO611">
        <v>0</v>
      </c>
      <c r="AP611">
        <v>0.987</v>
      </c>
      <c r="AQ611">
        <v>0.218999999999999</v>
      </c>
      <c r="AR611">
        <v>0.496</v>
      </c>
      <c r="AS611" s="3">
        <v>46107.7721875</v>
      </c>
    </row>
    <row r="612" ht="25.5" customHeight="1">
      <c r="A612" t="inlineStr">
        <is>
          <t>66477eb90000000007005d0f</t>
        </is>
      </c>
      <c r="B612" s="2" t="str">
        <f>=HYPERLINK("https://www.xiaohongshu.com/user/profile/66477eb90000000007005d0f", "https://www.xiaohongshu.com/user/profile/66477eb90000000007005d0f")</f>
        <v>https://www.xiaohongshu.com/user/profile/66477eb90000000007005d0f</v>
      </c>
      <c r="C612" s="2" t="str">
        <f>=HYPERLINK("https://pgy.xiaohongshu.com/solar/pre-trade/blogger-detail/66477eb90000000007005d0f", "https://pgy.xiaohongshu.com/solar/pre-trade/blogger-detail/66477eb90000000007005d0f")</f>
        <v>https://pgy.xiaohongshu.com/solar/pre-trade/blogger-detail/66477eb90000000007005d0f</v>
      </c>
      <c r="D612" t="inlineStr">
        <is>
          <t>女</t>
        </is>
      </c>
      <c r="E612" t="inlineStr">
        <is>
          <t>11381015378</t>
        </is>
      </c>
      <c r="F612" t="inlineStr">
        <is>
          <t>媛媛小圆</t>
        </is>
      </c>
      <c r="G612" t="inlineStr">
        <is>
          <t>广东 广州 天河区</t>
        </is>
      </c>
      <c r="H612" t="inlineStr">
        <is>
          <t>学生</t>
        </is>
      </c>
      <c r="I612" t="inlineStr">
        <is>
          <t>时尚</t>
        </is>
      </c>
      <c r="J612">
        <v>125794</v>
      </c>
      <c r="K612" t="inlineStr">
        <is>
          <t>12.6</t>
        </is>
      </c>
      <c r="L612">
        <v>289563</v>
      </c>
      <c r="M612">
        <v>97547</v>
      </c>
      <c r="N612">
        <v>16308</v>
      </c>
      <c r="O612">
        <v>19000</v>
      </c>
      <c r="P612">
        <v>0.889</v>
      </c>
      <c r="Q612">
        <v>1</v>
      </c>
      <c r="R612">
        <v>0</v>
      </c>
      <c r="S612">
        <v>0</v>
      </c>
      <c r="T612">
        <v>0</v>
      </c>
      <c r="U612">
        <v>0</v>
      </c>
      <c r="V612">
        <v>17000</v>
      </c>
      <c r="W612">
        <v>0</v>
      </c>
      <c r="X612">
        <v>0</v>
      </c>
      <c r="Y612">
        <v>0</v>
      </c>
      <c r="Z612">
        <v>0</v>
      </c>
      <c r="AA612">
        <v>289563</v>
      </c>
      <c r="AB612">
        <v>97547</v>
      </c>
      <c r="AC612">
        <v>15198</v>
      </c>
      <c r="AD612">
        <v>1.78</v>
      </c>
      <c r="AE612">
        <v>19000</v>
      </c>
      <c r="AF612">
        <v>1</v>
      </c>
      <c r="AG612">
        <v>0.889</v>
      </c>
      <c r="AH612">
        <v>0.042</v>
      </c>
      <c r="AI612">
        <v>159.02</v>
      </c>
      <c r="AJ612">
        <v>2.01</v>
      </c>
      <c r="AK612">
        <v>273403</v>
      </c>
      <c r="AL612">
        <v>32946</v>
      </c>
      <c r="AM612">
        <v>1915</v>
      </c>
      <c r="AN612">
        <v>9</v>
      </c>
      <c r="AO612">
        <v>12.75</v>
      </c>
      <c r="AP612">
        <v>0.937</v>
      </c>
      <c r="AQ612">
        <v>0.27</v>
      </c>
      <c r="AR612">
        <v>0.26</v>
      </c>
      <c r="AS612" s="3">
        <v>46107.7721875</v>
      </c>
    </row>
    <row r="613" ht="25.5" customHeight="1">
      <c r="A613" t="inlineStr">
        <is>
          <t>64fae0130000000005003431</t>
        </is>
      </c>
      <c r="B613" s="2" t="str">
        <f>=HYPERLINK("https://www.xiaohongshu.com/user/profile/64fae0130000000005003431", "https://www.xiaohongshu.com/user/profile/64fae0130000000005003431")</f>
        <v>https://www.xiaohongshu.com/user/profile/64fae0130000000005003431</v>
      </c>
      <c r="C613" s="2" t="str">
        <f>=HYPERLINK("https://pgy.xiaohongshu.com/solar/pre-trade/blogger-detail/64fae0130000000005003431", "https://pgy.xiaohongshu.com/solar/pre-trade/blogger-detail/64fae0130000000005003431")</f>
        <v>https://pgy.xiaohongshu.com/solar/pre-trade/blogger-detail/64fae0130000000005003431</v>
      </c>
      <c r="D613" t="inlineStr">
        <is>
          <t>女</t>
        </is>
      </c>
      <c r="E613" t="inlineStr">
        <is>
          <t>qq1325768893</t>
        </is>
      </c>
      <c r="F613" t="inlineStr">
        <is>
          <t>恩恩好运来</t>
        </is>
      </c>
      <c r="G613" t="inlineStr">
        <is>
          <t>安徽 合肥 蜀山区</t>
        </is>
      </c>
      <c r="H613" t="inlineStr">
        <is>
          <t>学生</t>
        </is>
      </c>
      <c r="I613" t="inlineStr">
        <is>
          <t>教育</t>
        </is>
      </c>
      <c r="J613">
        <v>3735</v>
      </c>
      <c r="K613" t="inlineStr">
        <is>
          <t>0.4</t>
        </is>
      </c>
      <c r="L613">
        <v>8027</v>
      </c>
      <c r="M613">
        <v>1718</v>
      </c>
      <c r="N613">
        <v>150</v>
      </c>
      <c r="O613">
        <v>130</v>
      </c>
      <c r="P613">
        <v>0</v>
      </c>
      <c r="Q613">
        <v>0.417</v>
      </c>
      <c r="R613">
        <v>8027</v>
      </c>
      <c r="S613">
        <v>1718</v>
      </c>
      <c r="T613">
        <v>141</v>
      </c>
      <c r="U613">
        <v>0.38</v>
      </c>
      <c r="V613">
        <v>130</v>
      </c>
      <c r="W613">
        <v>0.417</v>
      </c>
      <c r="X613">
        <v>0</v>
      </c>
      <c r="Y613">
        <v>16.54</v>
      </c>
      <c r="Z613">
        <v>0.87</v>
      </c>
      <c r="AA613">
        <v>0</v>
      </c>
      <c r="AB613">
        <v>0</v>
      </c>
      <c r="AC613">
        <v>0</v>
      </c>
      <c r="AD613">
        <v>0</v>
      </c>
      <c r="AE613">
        <v>180</v>
      </c>
      <c r="AF613">
        <v>0</v>
      </c>
      <c r="AG613">
        <v>0</v>
      </c>
      <c r="AH613">
        <v>0</v>
      </c>
      <c r="AI613">
        <v>0</v>
      </c>
      <c r="AJ613">
        <v>0</v>
      </c>
      <c r="AK613">
        <v>4040</v>
      </c>
      <c r="AL613">
        <v>820</v>
      </c>
      <c r="AM613">
        <v>69</v>
      </c>
      <c r="AN613">
        <v>0</v>
      </c>
      <c r="AO613">
        <v>0</v>
      </c>
      <c r="AP613">
        <v>0.855</v>
      </c>
      <c r="AQ613">
        <v>0.114</v>
      </c>
      <c r="AR613">
        <v>0.052</v>
      </c>
      <c r="AS613" s="3">
        <v>46107.7721875</v>
      </c>
    </row>
    <row r="614" ht="25.5" customHeight="1">
      <c r="A614" t="inlineStr">
        <is>
          <t>6337ae4d0000000018029025</t>
        </is>
      </c>
      <c r="B614" s="2" t="str">
        <f>=HYPERLINK("https://www.xiaohongshu.com/user/profile/6337ae4d0000000018029025", "https://www.xiaohongshu.com/user/profile/6337ae4d0000000018029025")</f>
        <v>https://www.xiaohongshu.com/user/profile/6337ae4d0000000018029025</v>
      </c>
      <c r="C614" s="2" t="str">
        <f>=HYPERLINK("https://pgy.xiaohongshu.com/solar/pre-trade/blogger-detail/6337ae4d0000000018029025", "https://pgy.xiaohongshu.com/solar/pre-trade/blogger-detail/6337ae4d0000000018029025")</f>
        <v>https://pgy.xiaohongshu.com/solar/pre-trade/blogger-detail/6337ae4d0000000018029025</v>
      </c>
      <c r="D614" t="inlineStr">
        <is>
          <t>男</t>
        </is>
      </c>
      <c r="E614" t="inlineStr">
        <is>
          <t>1570296970</t>
        </is>
      </c>
      <c r="F614" t="inlineStr">
        <is>
          <t>甲乙丙丁的日记</t>
        </is>
      </c>
      <c r="G614" t="inlineStr">
        <is>
          <t>北京</t>
        </is>
      </c>
      <c r="H614"/>
      <c r="I614" t="inlineStr">
        <is>
          <t>教育</t>
        </is>
      </c>
      <c r="J614">
        <v>6111</v>
      </c>
      <c r="K614" t="inlineStr">
        <is>
          <t>0.6</t>
        </is>
      </c>
      <c r="L614">
        <v>59474</v>
      </c>
      <c r="M614">
        <v>10061</v>
      </c>
      <c r="N614">
        <v>1493</v>
      </c>
      <c r="O614">
        <v>400</v>
      </c>
      <c r="P614">
        <v>0.2</v>
      </c>
      <c r="Q614">
        <v>0.8</v>
      </c>
      <c r="R614">
        <v>59474</v>
      </c>
      <c r="S614">
        <v>10061</v>
      </c>
      <c r="T614">
        <v>1278</v>
      </c>
      <c r="U614">
        <v>0.34</v>
      </c>
      <c r="V614">
        <v>400</v>
      </c>
      <c r="W614">
        <v>0.8</v>
      </c>
      <c r="X614">
        <v>0.2</v>
      </c>
      <c r="Y614">
        <v>6.73</v>
      </c>
      <c r="Z614">
        <v>0.27</v>
      </c>
      <c r="AA614">
        <v>0</v>
      </c>
      <c r="AB614">
        <v>0</v>
      </c>
      <c r="AC614">
        <v>0</v>
      </c>
      <c r="AD614">
        <v>0</v>
      </c>
      <c r="AE614">
        <v>500</v>
      </c>
      <c r="AF614">
        <v>0</v>
      </c>
      <c r="AG614">
        <v>0</v>
      </c>
      <c r="AH614">
        <v>0</v>
      </c>
      <c r="AI614">
        <v>0</v>
      </c>
      <c r="AJ614">
        <v>0</v>
      </c>
      <c r="AK614">
        <v>0</v>
      </c>
      <c r="AL614">
        <v>0</v>
      </c>
      <c r="AM614">
        <v>0</v>
      </c>
      <c r="AN614">
        <v>0</v>
      </c>
      <c r="AO614">
        <v>0</v>
      </c>
      <c r="AP614">
        <v>0.905</v>
      </c>
      <c r="AQ614">
        <v>0.135</v>
      </c>
      <c r="AR614">
        <v>0.154</v>
      </c>
      <c r="AS614" s="3">
        <v>46107.7721875</v>
      </c>
    </row>
    <row r="615" ht="25.5" customHeight="1">
      <c r="A615" t="inlineStr">
        <is>
          <t>60dab61b000000000101fe97</t>
        </is>
      </c>
      <c r="B615" s="2" t="str">
        <f>=HYPERLINK("https://www.xiaohongshu.com/user/profile/60dab61b000000000101fe97", "https://www.xiaohongshu.com/user/profile/60dab61b000000000101fe97")</f>
        <v>https://www.xiaohongshu.com/user/profile/60dab61b000000000101fe97</v>
      </c>
      <c r="C615" s="2" t="str">
        <f>=HYPERLINK("https://pgy.xiaohongshu.com/solar/pre-trade/blogger-detail/60dab61b000000000101fe97", "https://pgy.xiaohongshu.com/solar/pre-trade/blogger-detail/60dab61b000000000101fe97")</f>
        <v>https://pgy.xiaohongshu.com/solar/pre-trade/blogger-detail/60dab61b000000000101fe97</v>
      </c>
      <c r="D615" t="inlineStr">
        <is>
          <t>女</t>
        </is>
      </c>
      <c r="E615" t="inlineStr">
        <is>
          <t>9530407232</t>
        </is>
      </c>
      <c r="F615" t="inlineStr">
        <is>
          <t>lovelypanda</t>
        </is>
      </c>
      <c r="G615" t="inlineStr">
        <is>
          <t>上海</t>
        </is>
      </c>
      <c r="H615" t="inlineStr">
        <is>
          <t>考研过来人, 学生</t>
        </is>
      </c>
      <c r="I615" t="inlineStr">
        <is>
          <t>教育</t>
        </is>
      </c>
      <c r="J615">
        <v>10621</v>
      </c>
      <c r="K615" t="inlineStr">
        <is>
          <t>1.1</t>
        </is>
      </c>
      <c r="L615">
        <v>56940</v>
      </c>
      <c r="M615">
        <v>11391</v>
      </c>
      <c r="N615">
        <v>1130</v>
      </c>
      <c r="O615">
        <v>1100</v>
      </c>
      <c r="P615">
        <v>0</v>
      </c>
      <c r="Q615">
        <v>0.667</v>
      </c>
      <c r="R615">
        <v>68822</v>
      </c>
      <c r="S615">
        <v>15965</v>
      </c>
      <c r="T615">
        <v>634</v>
      </c>
      <c r="U615">
        <v>0.6</v>
      </c>
      <c r="V615">
        <v>1100</v>
      </c>
      <c r="W615">
        <v>0.5</v>
      </c>
      <c r="X615">
        <v>0</v>
      </c>
      <c r="Y615">
        <v>51.01</v>
      </c>
      <c r="Z615">
        <v>2.92</v>
      </c>
      <c r="AA615">
        <v>56940</v>
      </c>
      <c r="AB615">
        <v>11391</v>
      </c>
      <c r="AC615">
        <v>1107</v>
      </c>
      <c r="AD615">
        <v>1.72</v>
      </c>
      <c r="AE615">
        <v>2500</v>
      </c>
      <c r="AF615">
        <v>1</v>
      </c>
      <c r="AG615">
        <v>0</v>
      </c>
      <c r="AH615">
        <v>0.055</v>
      </c>
      <c r="AI615">
        <v>43.91</v>
      </c>
      <c r="AJ615">
        <v>2.21</v>
      </c>
      <c r="AK615">
        <v>22508</v>
      </c>
      <c r="AL615">
        <v>2904</v>
      </c>
      <c r="AM615">
        <v>370</v>
      </c>
      <c r="AN615">
        <v>0</v>
      </c>
      <c r="AO615">
        <v>0</v>
      </c>
      <c r="AP615">
        <v>0.924</v>
      </c>
      <c r="AQ615">
        <v>0.06</v>
      </c>
      <c r="AR615">
        <v>0.004</v>
      </c>
      <c r="AS615" s="3">
        <v>46107.7721875</v>
      </c>
    </row>
    <row r="616" ht="25.5" customHeight="1">
      <c r="A616" t="inlineStr">
        <is>
          <t>5fe1e8e2000000000100822a</t>
        </is>
      </c>
      <c r="B616" s="2" t="str">
        <f>=HYPERLINK("https://www.xiaohongshu.com/user/profile/5fe1e8e2000000000100822a", "https://www.xiaohongshu.com/user/profile/5fe1e8e2000000000100822a")</f>
        <v>https://www.xiaohongshu.com/user/profile/5fe1e8e2000000000100822a</v>
      </c>
      <c r="C616" s="2" t="str">
        <f>=HYPERLINK("https://pgy.xiaohongshu.com/solar/pre-trade/blogger-detail/5fe1e8e2000000000100822a", "https://pgy.xiaohongshu.com/solar/pre-trade/blogger-detail/5fe1e8e2000000000100822a")</f>
        <v>https://pgy.xiaohongshu.com/solar/pre-trade/blogger-detail/5fe1e8e2000000000100822a</v>
      </c>
      <c r="D616" t="inlineStr">
        <is>
          <t>女</t>
        </is>
      </c>
      <c r="E616" t="inlineStr">
        <is>
          <t>1076156070</t>
        </is>
      </c>
      <c r="F616" t="inlineStr">
        <is>
          <t>小呆最爱背单词</t>
        </is>
      </c>
      <c r="G616" t="inlineStr">
        <is>
          <t>山东 青岛 黄岛区</t>
        </is>
      </c>
      <c r="H616"/>
      <c r="I616" t="inlineStr">
        <is>
          <t>教育</t>
        </is>
      </c>
      <c r="J616">
        <v>27437</v>
      </c>
      <c r="K616" t="inlineStr">
        <is>
          <t>2.7</t>
        </is>
      </c>
      <c r="L616">
        <v>158190</v>
      </c>
      <c r="M616">
        <v>23374</v>
      </c>
      <c r="N616">
        <v>1612</v>
      </c>
      <c r="O616">
        <v>300</v>
      </c>
      <c r="P616">
        <v>0.5</v>
      </c>
      <c r="Q616">
        <v>0.9</v>
      </c>
      <c r="R616">
        <v>158190</v>
      </c>
      <c r="S616">
        <v>23374</v>
      </c>
      <c r="T616">
        <v>1337</v>
      </c>
      <c r="U616">
        <v>0</v>
      </c>
      <c r="V616">
        <v>0</v>
      </c>
      <c r="W616">
        <v>0.9</v>
      </c>
      <c r="X616">
        <v>0.5</v>
      </c>
      <c r="Y616">
        <v>0</v>
      </c>
      <c r="Z616">
        <v>0</v>
      </c>
      <c r="AA616">
        <v>0</v>
      </c>
      <c r="AB616">
        <v>0</v>
      </c>
      <c r="AC616">
        <v>0</v>
      </c>
      <c r="AD616">
        <v>0</v>
      </c>
      <c r="AE616">
        <v>300</v>
      </c>
      <c r="AF616">
        <v>0</v>
      </c>
      <c r="AG616">
        <v>0</v>
      </c>
      <c r="AH616">
        <v>0</v>
      </c>
      <c r="AI616">
        <v>0</v>
      </c>
      <c r="AJ616">
        <v>0</v>
      </c>
      <c r="AK616">
        <v>0</v>
      </c>
      <c r="AL616">
        <v>0</v>
      </c>
      <c r="AM616">
        <v>0</v>
      </c>
      <c r="AN616">
        <v>0</v>
      </c>
      <c r="AO616">
        <v>0</v>
      </c>
      <c r="AP616">
        <v>0.984</v>
      </c>
      <c r="AQ616">
        <v>0.283</v>
      </c>
      <c r="AR616">
        <v>1.885</v>
      </c>
      <c r="AS616" s="3">
        <v>46107.7721875</v>
      </c>
    </row>
    <row r="617" ht="25.5" customHeight="1">
      <c r="A617" t="inlineStr">
        <is>
          <t>6769241200000000180150ae</t>
        </is>
      </c>
      <c r="B617" s="2" t="str">
        <f>=HYPERLINK("https://www.xiaohongshu.com/user/profile/6769241200000000180150ae", "https://www.xiaohongshu.com/user/profile/6769241200000000180150ae")</f>
        <v>https://www.xiaohongshu.com/user/profile/6769241200000000180150ae</v>
      </c>
      <c r="C617" s="2" t="str">
        <f>=HYPERLINK("https://pgy.xiaohongshu.com/solar/pre-trade/blogger-detail/6769241200000000180150ae", "https://pgy.xiaohongshu.com/solar/pre-trade/blogger-detail/6769241200000000180150ae")</f>
        <v>https://pgy.xiaohongshu.com/solar/pre-trade/blogger-detail/6769241200000000180150ae</v>
      </c>
      <c r="D617" t="inlineStr">
        <is>
          <t>女</t>
        </is>
      </c>
      <c r="E617" t="inlineStr">
        <is>
          <t>95679294661</t>
        </is>
      </c>
      <c r="F617" t="inlineStr">
        <is>
          <t>芭乐撞新传</t>
        </is>
      </c>
      <c r="G617" t="inlineStr">
        <is>
          <t>重庆</t>
        </is>
      </c>
      <c r="H617"/>
      <c r="I617" t="inlineStr">
        <is>
          <t>教育</t>
        </is>
      </c>
      <c r="J617">
        <v>8853</v>
      </c>
      <c r="K617" t="inlineStr">
        <is>
          <t>0.9</t>
        </is>
      </c>
      <c r="L617">
        <v>7482</v>
      </c>
      <c r="M617">
        <v>1023</v>
      </c>
      <c r="N617">
        <v>136</v>
      </c>
      <c r="O617">
        <v>500</v>
      </c>
      <c r="P617">
        <v>0</v>
      </c>
      <c r="Q617">
        <v>0.385</v>
      </c>
      <c r="R617">
        <v>7537</v>
      </c>
      <c r="S617">
        <v>1037</v>
      </c>
      <c r="T617">
        <v>103</v>
      </c>
      <c r="U617">
        <v>0.78</v>
      </c>
      <c r="V617">
        <v>500</v>
      </c>
      <c r="W617">
        <v>0.385</v>
      </c>
      <c r="X617">
        <v>0</v>
      </c>
      <c r="Y617">
        <v>66.34</v>
      </c>
      <c r="Z617">
        <v>3.55</v>
      </c>
      <c r="AA617">
        <v>0</v>
      </c>
      <c r="AB617">
        <v>0</v>
      </c>
      <c r="AC617">
        <v>0</v>
      </c>
      <c r="AD617">
        <v>0</v>
      </c>
      <c r="AE617">
        <v>1000</v>
      </c>
      <c r="AF617">
        <v>0</v>
      </c>
      <c r="AG617">
        <v>0</v>
      </c>
      <c r="AH617">
        <v>0</v>
      </c>
      <c r="AI617">
        <v>0</v>
      </c>
      <c r="AJ617">
        <v>0</v>
      </c>
      <c r="AK617">
        <v>0</v>
      </c>
      <c r="AL617">
        <v>0</v>
      </c>
      <c r="AM617">
        <v>0</v>
      </c>
      <c r="AN617">
        <v>0</v>
      </c>
      <c r="AO617">
        <v>0</v>
      </c>
      <c r="AP617">
        <v>0.954</v>
      </c>
      <c r="AQ617">
        <v>0.111999999999999</v>
      </c>
      <c r="AR617">
        <v>0.252</v>
      </c>
      <c r="AS617" s="3">
        <v>46107.7721875</v>
      </c>
    </row>
    <row r="618" ht="25.5" customHeight="1">
      <c r="A618" t="inlineStr">
        <is>
          <t>62e9c12d000000001e01c2fb</t>
        </is>
      </c>
      <c r="B618" s="2" t="str">
        <f>=HYPERLINK("https://www.xiaohongshu.com/user/profile/62e9c12d000000001e01c2fb", "https://www.xiaohongshu.com/user/profile/62e9c12d000000001e01c2fb")</f>
        <v>https://www.xiaohongshu.com/user/profile/62e9c12d000000001e01c2fb</v>
      </c>
      <c r="C618" s="2" t="str">
        <f>=HYPERLINK("https://pgy.xiaohongshu.com/solar/pre-trade/blogger-detail/62e9c12d000000001e01c2fb", "https://pgy.xiaohongshu.com/solar/pre-trade/blogger-detail/62e9c12d000000001e01c2fb")</f>
        <v>https://pgy.xiaohongshu.com/solar/pre-trade/blogger-detail/62e9c12d000000001e01c2fb</v>
      </c>
      <c r="D618" t="inlineStr">
        <is>
          <t>女</t>
        </is>
      </c>
      <c r="E618" t="inlineStr">
        <is>
          <t>6729739347</t>
        </is>
      </c>
      <c r="F618" t="inlineStr">
        <is>
          <t>LMKBSX</t>
        </is>
      </c>
      <c r="G618" t="inlineStr">
        <is>
          <t>广东 深圳 南山区</t>
        </is>
      </c>
      <c r="H618"/>
      <c r="I618" t="inlineStr">
        <is>
          <t>教育</t>
        </is>
      </c>
      <c r="J618">
        <v>2229</v>
      </c>
      <c r="K618" t="inlineStr">
        <is>
          <t>0.2</t>
        </is>
      </c>
      <c r="L618">
        <v>13118</v>
      </c>
      <c r="M618">
        <v>3336</v>
      </c>
      <c r="N618">
        <v>314</v>
      </c>
      <c r="O618">
        <v>500</v>
      </c>
      <c r="P618">
        <v>0</v>
      </c>
      <c r="Q618">
        <v>0.667</v>
      </c>
      <c r="R618">
        <v>13118</v>
      </c>
      <c r="S618">
        <v>3336</v>
      </c>
      <c r="T618">
        <v>231</v>
      </c>
      <c r="U618">
        <v>0.45</v>
      </c>
      <c r="V618">
        <v>500</v>
      </c>
      <c r="W618">
        <v>0.667</v>
      </c>
      <c r="X618">
        <v>0</v>
      </c>
      <c r="Y618">
        <v>38.12</v>
      </c>
      <c r="Z618">
        <v>1.59</v>
      </c>
      <c r="AA618">
        <v>0</v>
      </c>
      <c r="AB618">
        <v>0</v>
      </c>
      <c r="AC618">
        <v>0</v>
      </c>
      <c r="AD618">
        <v>0</v>
      </c>
      <c r="AE618">
        <v>500</v>
      </c>
      <c r="AF618">
        <v>0</v>
      </c>
      <c r="AG618">
        <v>0</v>
      </c>
      <c r="AH618">
        <v>0</v>
      </c>
      <c r="AI618">
        <v>0</v>
      </c>
      <c r="AJ618">
        <v>0</v>
      </c>
      <c r="AK618">
        <v>0</v>
      </c>
      <c r="AL618">
        <v>0</v>
      </c>
      <c r="AM618">
        <v>0</v>
      </c>
      <c r="AN618">
        <v>0</v>
      </c>
      <c r="AO618">
        <v>0</v>
      </c>
      <c r="AP618">
        <v>0.898</v>
      </c>
      <c r="AQ618">
        <v>0.123</v>
      </c>
      <c r="AR618">
        <v>0.048</v>
      </c>
      <c r="AS618" s="3">
        <v>46107.7721875</v>
      </c>
    </row>
    <row r="619" ht="25.5" customHeight="1">
      <c r="A619" t="inlineStr">
        <is>
          <t>5980234d82ec393c71b5e77b</t>
        </is>
      </c>
      <c r="B619" s="2" t="str">
        <f>=HYPERLINK("https://www.xiaohongshu.com/user/profile/5980234d82ec393c71b5e77b", "https://www.xiaohongshu.com/user/profile/5980234d82ec393c71b5e77b")</f>
        <v>https://www.xiaohongshu.com/user/profile/5980234d82ec393c71b5e77b</v>
      </c>
      <c r="C619" s="2" t="str">
        <f>=HYPERLINK("https://pgy.xiaohongshu.com/solar/pre-trade/blogger-detail/5980234d82ec393c71b5e77b", "https://pgy.xiaohongshu.com/solar/pre-trade/blogger-detail/5980234d82ec393c71b5e77b")</f>
        <v>https://pgy.xiaohongshu.com/solar/pre-trade/blogger-detail/5980234d82ec393c71b5e77b</v>
      </c>
      <c r="D619" t="inlineStr">
        <is>
          <t>女</t>
        </is>
      </c>
      <c r="E619" t="inlineStr">
        <is>
          <t>266856456</t>
        </is>
      </c>
      <c r="F619" t="inlineStr">
        <is>
          <t>iceeeburg_</t>
        </is>
      </c>
      <c r="G619" t="inlineStr">
        <is>
          <t>马来西亚</t>
        </is>
      </c>
      <c r="H619" t="inlineStr">
        <is>
          <t>学生</t>
        </is>
      </c>
      <c r="I619" t="inlineStr">
        <is>
          <t>教育, 生活记录, 摄影</t>
        </is>
      </c>
      <c r="J619">
        <v>185809</v>
      </c>
      <c r="K619" t="inlineStr">
        <is>
          <t>18.6</t>
        </is>
      </c>
      <c r="L619">
        <v>18145</v>
      </c>
      <c r="M619">
        <v>2991</v>
      </c>
      <c r="N619">
        <v>375</v>
      </c>
      <c r="O619">
        <v>17000</v>
      </c>
      <c r="P619">
        <v>0</v>
      </c>
      <c r="Q619">
        <v>1</v>
      </c>
      <c r="R619">
        <v>0</v>
      </c>
      <c r="S619">
        <v>0</v>
      </c>
      <c r="T619">
        <v>0</v>
      </c>
      <c r="U619">
        <v>0</v>
      </c>
      <c r="V619">
        <v>17000</v>
      </c>
      <c r="W619">
        <v>0</v>
      </c>
      <c r="X619">
        <v>0</v>
      </c>
      <c r="Y619">
        <v>0</v>
      </c>
      <c r="Z619">
        <v>0</v>
      </c>
      <c r="AA619">
        <v>18145</v>
      </c>
      <c r="AB619">
        <v>2991</v>
      </c>
      <c r="AC619">
        <v>365</v>
      </c>
      <c r="AD619">
        <v>2.21</v>
      </c>
      <c r="AE619">
        <v>20000</v>
      </c>
      <c r="AF619">
        <v>1</v>
      </c>
      <c r="AG619">
        <v>0</v>
      </c>
      <c r="AH619">
        <v>0.136</v>
      </c>
      <c r="AI619">
        <v>331.71</v>
      </c>
      <c r="AJ619">
        <v>11.74</v>
      </c>
      <c r="AK619">
        <v>195628</v>
      </c>
      <c r="AL619">
        <v>35257</v>
      </c>
      <c r="AM619">
        <v>2983</v>
      </c>
      <c r="AN619">
        <v>0</v>
      </c>
      <c r="AO619">
        <v>1717.58</v>
      </c>
      <c r="AP619">
        <v>0.684</v>
      </c>
      <c r="AQ619">
        <v>0.018</v>
      </c>
      <c r="AR619">
        <v>0.005</v>
      </c>
      <c r="AS619" s="3">
        <v>46107.7721875</v>
      </c>
    </row>
    <row r="620" ht="25.5" customHeight="1">
      <c r="A620" t="inlineStr">
        <is>
          <t>5da5eab20000000001000981</t>
        </is>
      </c>
      <c r="B620" s="2" t="str">
        <f>=HYPERLINK("https://www.xiaohongshu.com/user/profile/5da5eab20000000001000981", "https://www.xiaohongshu.com/user/profile/5da5eab20000000001000981")</f>
        <v>https://www.xiaohongshu.com/user/profile/5da5eab20000000001000981</v>
      </c>
      <c r="C620" s="2" t="str">
        <f>=HYPERLINK("https://pgy.xiaohongshu.com/solar/pre-trade/blogger-detail/5da5eab20000000001000981", "https://pgy.xiaohongshu.com/solar/pre-trade/blogger-detail/5da5eab20000000001000981")</f>
        <v>https://pgy.xiaohongshu.com/solar/pre-trade/blogger-detail/5da5eab20000000001000981</v>
      </c>
      <c r="D620" t="inlineStr">
        <is>
          <t>女</t>
        </is>
      </c>
      <c r="E620" t="inlineStr">
        <is>
          <t>melodyyy963</t>
        </is>
      </c>
      <c r="F620" t="inlineStr">
        <is>
          <t>Melody CCC-SLP</t>
        </is>
      </c>
      <c r="G620" t="inlineStr">
        <is>
          <t>美国</t>
        </is>
      </c>
      <c r="H620" t="inlineStr">
        <is>
          <t>学生, 留学背景, 铲屎官, 情侣</t>
        </is>
      </c>
      <c r="I620" t="inlineStr">
        <is>
          <t>职场, 教育, 生活记录</t>
        </is>
      </c>
      <c r="J620">
        <v>14862</v>
      </c>
      <c r="K620" t="inlineStr">
        <is>
          <t>1.5</t>
        </is>
      </c>
      <c r="L620">
        <v>15673</v>
      </c>
      <c r="M620">
        <v>2762</v>
      </c>
      <c r="N620">
        <v>191</v>
      </c>
      <c r="O620">
        <v>1300</v>
      </c>
      <c r="P620">
        <v>0</v>
      </c>
      <c r="Q620">
        <v>1</v>
      </c>
      <c r="R620">
        <v>17500</v>
      </c>
      <c r="S620">
        <v>3831</v>
      </c>
      <c r="T620">
        <v>168</v>
      </c>
      <c r="U620">
        <v>0.64</v>
      </c>
      <c r="V620">
        <v>1300</v>
      </c>
      <c r="W620">
        <v>1</v>
      </c>
      <c r="X620">
        <v>0</v>
      </c>
      <c r="Y620">
        <v>74.29</v>
      </c>
      <c r="Z620">
        <v>6.91</v>
      </c>
      <c r="AA620">
        <v>13847</v>
      </c>
      <c r="AB620">
        <v>1694</v>
      </c>
      <c r="AC620">
        <v>187</v>
      </c>
      <c r="AD620">
        <v>2.98</v>
      </c>
      <c r="AE620">
        <v>2500</v>
      </c>
      <c r="AF620">
        <v>1</v>
      </c>
      <c r="AG620">
        <v>0</v>
      </c>
      <c r="AH620">
        <v>0.084</v>
      </c>
      <c r="AI620">
        <v>180.54</v>
      </c>
      <c r="AJ620">
        <v>12.89</v>
      </c>
      <c r="AK620">
        <v>0</v>
      </c>
      <c r="AL620">
        <v>0</v>
      </c>
      <c r="AM620">
        <v>0</v>
      </c>
      <c r="AN620">
        <v>0</v>
      </c>
      <c r="AO620">
        <v>0</v>
      </c>
      <c r="AP620">
        <v>0.912</v>
      </c>
      <c r="AQ620">
        <v>0.02</v>
      </c>
      <c r="AR620">
        <v>0.00699999999999999</v>
      </c>
      <c r="AS620" s="3">
        <v>46107.7721875</v>
      </c>
    </row>
    <row r="621" ht="25.5" customHeight="1">
      <c r="A621" t="inlineStr">
        <is>
          <t>689ab2cf0000000028036473</t>
        </is>
      </c>
      <c r="B621" s="2" t="str">
        <f>=HYPERLINK("https://www.xiaohongshu.com/user/profile/689ab2cf0000000028036473", "https://www.xiaohongshu.com/user/profile/689ab2cf0000000028036473")</f>
        <v>https://www.xiaohongshu.com/user/profile/689ab2cf0000000028036473</v>
      </c>
      <c r="C621" s="2" t="str">
        <f>=HYPERLINK("https://pgy.xiaohongshu.com/solar/pre-trade/blogger-detail/689ab2cf0000000028036473", "https://pgy.xiaohongshu.com/solar/pre-trade/blogger-detail/689ab2cf0000000028036473")</f>
        <v>https://pgy.xiaohongshu.com/solar/pre-trade/blogger-detail/689ab2cf0000000028036473</v>
      </c>
      <c r="D621" t="inlineStr">
        <is>
          <t>女</t>
        </is>
      </c>
      <c r="E621" t="inlineStr">
        <is>
          <t>wanzidiary05</t>
        </is>
      </c>
      <c r="F621" t="inlineStr">
        <is>
          <t>丸子的搞米日记</t>
        </is>
      </c>
      <c r="G621" t="inlineStr">
        <is>
          <t>福建 泉州 晋江市</t>
        </is>
      </c>
      <c r="H621" t="inlineStr">
        <is>
          <t>学生</t>
        </is>
      </c>
      <c r="I621" t="inlineStr">
        <is>
          <t>教育</t>
        </is>
      </c>
      <c r="J621">
        <v>2970</v>
      </c>
      <c r="K621" t="inlineStr">
        <is>
          <t>0.3</t>
        </is>
      </c>
      <c r="L621">
        <v>6191</v>
      </c>
      <c r="M621">
        <v>1328</v>
      </c>
      <c r="N621">
        <v>142</v>
      </c>
      <c r="O621">
        <v>228</v>
      </c>
      <c r="P621">
        <v>0</v>
      </c>
      <c r="Q621">
        <v>0.5</v>
      </c>
      <c r="R621">
        <v>0</v>
      </c>
      <c r="S621">
        <v>0</v>
      </c>
      <c r="T621">
        <v>0</v>
      </c>
      <c r="U621">
        <v>0</v>
      </c>
      <c r="V621">
        <v>228</v>
      </c>
      <c r="W621">
        <v>0</v>
      </c>
      <c r="X621">
        <v>0</v>
      </c>
      <c r="Y621">
        <v>0</v>
      </c>
      <c r="Z621">
        <v>0</v>
      </c>
      <c r="AA621">
        <v>6191</v>
      </c>
      <c r="AB621">
        <v>1328</v>
      </c>
      <c r="AC621">
        <v>133</v>
      </c>
      <c r="AD621">
        <v>1.8</v>
      </c>
      <c r="AE621">
        <v>380</v>
      </c>
      <c r="AF621">
        <v>0.5</v>
      </c>
      <c r="AG621">
        <v>0</v>
      </c>
      <c r="AH621">
        <v>0.05</v>
      </c>
      <c r="AI621">
        <v>94.08</v>
      </c>
      <c r="AJ621">
        <v>3.09</v>
      </c>
      <c r="AK621">
        <v>1300</v>
      </c>
      <c r="AL621">
        <v>246</v>
      </c>
      <c r="AM621">
        <v>11</v>
      </c>
      <c r="AN621">
        <v>0</v>
      </c>
      <c r="AO621">
        <v>0</v>
      </c>
      <c r="AP621">
        <v>0.925</v>
      </c>
      <c r="AQ621">
        <v>0.076</v>
      </c>
      <c r="AR621">
        <v>0.064</v>
      </c>
      <c r="AS621" s="3">
        <v>46107.77239583333</v>
      </c>
    </row>
    <row r="622" ht="25.5" customHeight="1">
      <c r="A622" t="inlineStr">
        <is>
          <t>5d9dbceb000000000100590a</t>
        </is>
      </c>
      <c r="B622" s="2" t="str">
        <f>=HYPERLINK("https://www.xiaohongshu.com/user/profile/5d9dbceb000000000100590a", "https://www.xiaohongshu.com/user/profile/5d9dbceb000000000100590a")</f>
        <v>https://www.xiaohongshu.com/user/profile/5d9dbceb000000000100590a</v>
      </c>
      <c r="C622" s="2" t="str">
        <f>=HYPERLINK("https://pgy.xiaohongshu.com/solar/pre-trade/blogger-detail/5d9dbceb000000000100590a", "https://pgy.xiaohongshu.com/solar/pre-trade/blogger-detail/5d9dbceb000000000100590a")</f>
        <v>https://pgy.xiaohongshu.com/solar/pre-trade/blogger-detail/5d9dbceb000000000100590a</v>
      </c>
      <c r="D622" t="inlineStr">
        <is>
          <t>女</t>
        </is>
      </c>
      <c r="E622" t="inlineStr">
        <is>
          <t>984811597</t>
        </is>
      </c>
      <c r="F622" t="inlineStr">
        <is>
          <t>Eunice练口语 ( Gap版 )</t>
        </is>
      </c>
      <c r="G622" t="inlineStr">
        <is>
          <t>上海</t>
        </is>
      </c>
      <c r="H622" t="inlineStr">
        <is>
          <t>翻译, HR</t>
        </is>
      </c>
      <c r="I622" t="inlineStr">
        <is>
          <t>教育</t>
        </is>
      </c>
      <c r="J622">
        <v>10760</v>
      </c>
      <c r="K622" t="inlineStr">
        <is>
          <t>1.1</t>
        </is>
      </c>
      <c r="L622">
        <v>3866</v>
      </c>
      <c r="M622">
        <v>1128</v>
      </c>
      <c r="N622">
        <v>142</v>
      </c>
      <c r="O622">
        <v>180</v>
      </c>
      <c r="P622">
        <v>0</v>
      </c>
      <c r="Q622">
        <v>0.308</v>
      </c>
      <c r="R622">
        <v>0</v>
      </c>
      <c r="S622">
        <v>0</v>
      </c>
      <c r="T622">
        <v>0</v>
      </c>
      <c r="U622">
        <v>0</v>
      </c>
      <c r="V622">
        <v>180</v>
      </c>
      <c r="W622">
        <v>0</v>
      </c>
      <c r="X622">
        <v>0</v>
      </c>
      <c r="Y622">
        <v>0</v>
      </c>
      <c r="Z622">
        <v>0</v>
      </c>
      <c r="AA622">
        <v>3866</v>
      </c>
      <c r="AB622">
        <v>1128</v>
      </c>
      <c r="AC622">
        <v>130</v>
      </c>
      <c r="AD622">
        <v>2.21</v>
      </c>
      <c r="AE622">
        <v>800</v>
      </c>
      <c r="AF622">
        <v>0.308</v>
      </c>
      <c r="AG622">
        <v>0</v>
      </c>
      <c r="AH622">
        <v>0.174</v>
      </c>
      <c r="AI622">
        <v>206.91</v>
      </c>
      <c r="AJ622">
        <v>5.63</v>
      </c>
      <c r="AK622">
        <v>0</v>
      </c>
      <c r="AL622">
        <v>0</v>
      </c>
      <c r="AM622">
        <v>0</v>
      </c>
      <c r="AN622">
        <v>0</v>
      </c>
      <c r="AO622">
        <v>0</v>
      </c>
      <c r="AP622">
        <v>0.935</v>
      </c>
      <c r="AQ622">
        <v>0.059</v>
      </c>
      <c r="AR622">
        <v>0.078</v>
      </c>
      <c r="AS622" s="3">
        <v>46107.77239583333</v>
      </c>
    </row>
    <row r="623" ht="25.5" customHeight="1">
      <c r="A623" t="inlineStr">
        <is>
          <t>611b4f15000000000101e0df</t>
        </is>
      </c>
      <c r="B623" s="2" t="str">
        <f>=HYPERLINK("https://www.xiaohongshu.com/user/profile/611b4f15000000000101e0df", "https://www.xiaohongshu.com/user/profile/611b4f15000000000101e0df")</f>
        <v>https://www.xiaohongshu.com/user/profile/611b4f15000000000101e0df</v>
      </c>
      <c r="C623" s="2" t="str">
        <f>=HYPERLINK("https://pgy.xiaohongshu.com/solar/pre-trade/blogger-detail/611b4f15000000000101e0df", "https://pgy.xiaohongshu.com/solar/pre-trade/blogger-detail/611b4f15000000000101e0df")</f>
        <v>https://pgy.xiaohongshu.com/solar/pre-trade/blogger-detail/611b4f15000000000101e0df</v>
      </c>
      <c r="D623" t="inlineStr">
        <is>
          <t>女</t>
        </is>
      </c>
      <c r="E623" t="inlineStr">
        <is>
          <t>2687300806</t>
        </is>
      </c>
      <c r="F623" t="inlineStr">
        <is>
          <t>番茄肥牛卷🍅</t>
        </is>
      </c>
      <c r="G623" t="inlineStr">
        <is>
          <t>浙江 绍兴 越城区</t>
        </is>
      </c>
      <c r="H623" t="inlineStr">
        <is>
          <t>学生</t>
        </is>
      </c>
      <c r="I623" t="inlineStr">
        <is>
          <t>教育</t>
        </is>
      </c>
      <c r="J623">
        <v>26428</v>
      </c>
      <c r="K623" t="inlineStr">
        <is>
          <t>2.6</t>
        </is>
      </c>
      <c r="L623">
        <v>10325</v>
      </c>
      <c r="M623">
        <v>2792</v>
      </c>
      <c r="N623">
        <v>441</v>
      </c>
      <c r="O623">
        <v>4500</v>
      </c>
      <c r="P623">
        <v>0</v>
      </c>
      <c r="Q623">
        <v>1</v>
      </c>
      <c r="R623">
        <v>0</v>
      </c>
      <c r="S623">
        <v>0</v>
      </c>
      <c r="T623">
        <v>0</v>
      </c>
      <c r="U623">
        <v>0</v>
      </c>
      <c r="V623">
        <v>4500</v>
      </c>
      <c r="W623">
        <v>0</v>
      </c>
      <c r="X623">
        <v>0</v>
      </c>
      <c r="Y623">
        <v>0</v>
      </c>
      <c r="Z623">
        <v>0</v>
      </c>
      <c r="AA623">
        <v>10325</v>
      </c>
      <c r="AB623">
        <v>2792</v>
      </c>
      <c r="AC623">
        <v>391</v>
      </c>
      <c r="AD623">
        <v>3.11</v>
      </c>
      <c r="AE623">
        <v>4500</v>
      </c>
      <c r="AF623">
        <v>1</v>
      </c>
      <c r="AG623">
        <v>0</v>
      </c>
      <c r="AH623">
        <v>0.118</v>
      </c>
      <c r="AI623">
        <v>435.84</v>
      </c>
      <c r="AJ623">
        <v>10.2</v>
      </c>
      <c r="AK623">
        <v>0</v>
      </c>
      <c r="AL623">
        <v>0</v>
      </c>
      <c r="AM623">
        <v>0</v>
      </c>
      <c r="AN623">
        <v>0</v>
      </c>
      <c r="AO623">
        <v>0</v>
      </c>
      <c r="AP623">
        <v>0.714</v>
      </c>
      <c r="AQ623">
        <v>0.01</v>
      </c>
      <c r="AR623">
        <v>0</v>
      </c>
      <c r="AS623" s="3">
        <v>46107.77239583333</v>
      </c>
    </row>
    <row r="624" ht="25.5" customHeight="1">
      <c r="A624" t="inlineStr">
        <is>
          <t>65d1a82b000000000401f4b3</t>
        </is>
      </c>
      <c r="B624" s="2" t="str">
        <f>=HYPERLINK("https://www.xiaohongshu.com/user/profile/65d1a82b000000000401f4b3", "https://www.xiaohongshu.com/user/profile/65d1a82b000000000401f4b3")</f>
        <v>https://www.xiaohongshu.com/user/profile/65d1a82b000000000401f4b3</v>
      </c>
      <c r="C624" s="2" t="str">
        <f>=HYPERLINK("https://pgy.xiaohongshu.com/solar/pre-trade/blogger-detail/65d1a82b000000000401f4b3", "https://pgy.xiaohongshu.com/solar/pre-trade/blogger-detail/65d1a82b000000000401f4b3")</f>
        <v>https://pgy.xiaohongshu.com/solar/pre-trade/blogger-detail/65d1a82b000000000401f4b3</v>
      </c>
      <c r="D624" t="inlineStr">
        <is>
          <t>女</t>
        </is>
      </c>
      <c r="E624" t="inlineStr">
        <is>
          <t>10885104134</t>
        </is>
      </c>
      <c r="F624" t="inlineStr">
        <is>
          <t>面包奶奶👵（学习中）</t>
        </is>
      </c>
      <c r="G624" t="inlineStr">
        <is>
          <t>陕西 咸阳 秦都区</t>
        </is>
      </c>
      <c r="H624" t="inlineStr">
        <is>
          <t>学生</t>
        </is>
      </c>
      <c r="I624" t="inlineStr">
        <is>
          <t>教育</t>
        </is>
      </c>
      <c r="J624">
        <v>1779</v>
      </c>
      <c r="K624" t="inlineStr">
        <is>
          <t>0.2</t>
        </is>
      </c>
      <c r="L624">
        <v>116107</v>
      </c>
      <c r="M624">
        <v>26061</v>
      </c>
      <c r="N624">
        <v>1091</v>
      </c>
      <c r="O624">
        <v>100</v>
      </c>
      <c r="P624">
        <v>0</v>
      </c>
      <c r="Q624">
        <v>0.6</v>
      </c>
      <c r="R624">
        <v>116107</v>
      </c>
      <c r="S624">
        <v>26061</v>
      </c>
      <c r="T624">
        <v>870</v>
      </c>
      <c r="U624">
        <v>0.3</v>
      </c>
      <c r="V624">
        <v>100</v>
      </c>
      <c r="W624">
        <v>0.6</v>
      </c>
      <c r="X624">
        <v>0</v>
      </c>
      <c r="Y624">
        <v>0.86</v>
      </c>
      <c r="Z624">
        <v>0.09</v>
      </c>
      <c r="AA624">
        <v>0</v>
      </c>
      <c r="AB624">
        <v>0</v>
      </c>
      <c r="AC624">
        <v>0</v>
      </c>
      <c r="AD624">
        <v>0</v>
      </c>
      <c r="AE624">
        <v>100</v>
      </c>
      <c r="AF624">
        <v>0</v>
      </c>
      <c r="AG624">
        <v>0</v>
      </c>
      <c r="AH624">
        <v>0</v>
      </c>
      <c r="AI624">
        <v>0</v>
      </c>
      <c r="AJ624">
        <v>0</v>
      </c>
      <c r="AK624">
        <v>0</v>
      </c>
      <c r="AL624">
        <v>0</v>
      </c>
      <c r="AM624">
        <v>0</v>
      </c>
      <c r="AN624">
        <v>0</v>
      </c>
      <c r="AO624">
        <v>0</v>
      </c>
      <c r="AP624">
        <v>0.89</v>
      </c>
      <c r="AQ624">
        <v>0.069</v>
      </c>
      <c r="AR624">
        <v>0.192</v>
      </c>
      <c r="AS624" s="3">
        <v>46107.77239583333</v>
      </c>
    </row>
    <row r="625" ht="25.5" customHeight="1">
      <c r="A625" t="inlineStr">
        <is>
          <t>675fc9440000000018014f2c</t>
        </is>
      </c>
      <c r="B625" s="2" t="str">
        <f>=HYPERLINK("https://www.xiaohongshu.com/user/profile/675fc9440000000018014f2c", "https://www.xiaohongshu.com/user/profile/675fc9440000000018014f2c")</f>
        <v>https://www.xiaohongshu.com/user/profile/675fc9440000000018014f2c</v>
      </c>
      <c r="C625" s="2" t="str">
        <f>=HYPERLINK("https://pgy.xiaohongshu.com/solar/pre-trade/blogger-detail/675fc9440000000018014f2c", "https://pgy.xiaohongshu.com/solar/pre-trade/blogger-detail/675fc9440000000018014f2c")</f>
        <v>https://pgy.xiaohongshu.com/solar/pre-trade/blogger-detail/675fc9440000000018014f2c</v>
      </c>
      <c r="D625" t="inlineStr">
        <is>
          <t>女</t>
        </is>
      </c>
      <c r="E625" t="inlineStr">
        <is>
          <t>95387441340</t>
        </is>
      </c>
      <c r="F625" t="inlineStr">
        <is>
          <t>尼克狐尼珂</t>
        </is>
      </c>
      <c r="G625" t="inlineStr">
        <is>
          <t>陕西 西安 长安区</t>
        </is>
      </c>
      <c r="H625" t="inlineStr">
        <is>
          <t>学生</t>
        </is>
      </c>
      <c r="I625" t="inlineStr">
        <is>
          <t>生活记录</t>
        </is>
      </c>
      <c r="J625">
        <v>3055</v>
      </c>
      <c r="K625" t="inlineStr">
        <is>
          <t>0.3</t>
        </is>
      </c>
      <c r="L625">
        <v>6220</v>
      </c>
      <c r="M625">
        <v>1556</v>
      </c>
      <c r="N625">
        <v>149</v>
      </c>
      <c r="O625">
        <v>230</v>
      </c>
      <c r="P625">
        <v>0</v>
      </c>
      <c r="Q625">
        <v>0.332999999999999</v>
      </c>
      <c r="R625">
        <v>0</v>
      </c>
      <c r="S625">
        <v>0</v>
      </c>
      <c r="T625">
        <v>0</v>
      </c>
      <c r="U625">
        <v>0</v>
      </c>
      <c r="V625">
        <v>264</v>
      </c>
      <c r="W625">
        <v>0</v>
      </c>
      <c r="X625">
        <v>0</v>
      </c>
      <c r="Y625">
        <v>0</v>
      </c>
      <c r="Z625">
        <v>0</v>
      </c>
      <c r="AA625">
        <v>6220</v>
      </c>
      <c r="AB625">
        <v>1556</v>
      </c>
      <c r="AC625">
        <v>120</v>
      </c>
      <c r="AD625">
        <v>1.65</v>
      </c>
      <c r="AE625">
        <v>230</v>
      </c>
      <c r="AF625">
        <v>0.332999999999999</v>
      </c>
      <c r="AG625">
        <v>0</v>
      </c>
      <c r="AH625">
        <v>0.05</v>
      </c>
      <c r="AI625">
        <v>36.98</v>
      </c>
      <c r="AJ625">
        <v>1.54</v>
      </c>
      <c r="AK625">
        <v>0</v>
      </c>
      <c r="AL625">
        <v>0</v>
      </c>
      <c r="AM625">
        <v>0</v>
      </c>
      <c r="AN625">
        <v>0</v>
      </c>
      <c r="AO625">
        <v>0</v>
      </c>
      <c r="AP625">
        <v>0.848</v>
      </c>
      <c r="AQ625">
        <v>0.044</v>
      </c>
      <c r="AR625">
        <v>0.035</v>
      </c>
      <c r="AS625" s="3">
        <v>46107.77239583333</v>
      </c>
    </row>
    <row r="626" ht="25.5" customHeight="1">
      <c r="A626" t="inlineStr">
        <is>
          <t>67cb8c360000000006013411</t>
        </is>
      </c>
      <c r="B626" s="2" t="str">
        <f>=HYPERLINK("https://www.xiaohongshu.com/user/profile/67cb8c360000000006013411", "https://www.xiaohongshu.com/user/profile/67cb8c360000000006013411")</f>
        <v>https://www.xiaohongshu.com/user/profile/67cb8c360000000006013411</v>
      </c>
      <c r="C626" s="2" t="str">
        <f>=HYPERLINK("https://pgy.xiaohongshu.com/solar/pre-trade/blogger-detail/67cb8c360000000006013411", "https://pgy.xiaohongshu.com/solar/pre-trade/blogger-detail/67cb8c360000000006013411")</f>
        <v>https://pgy.xiaohongshu.com/solar/pre-trade/blogger-detail/67cb8c360000000006013411</v>
      </c>
      <c r="D626" t="inlineStr">
        <is>
          <t>男</t>
        </is>
      </c>
      <c r="E626" t="inlineStr">
        <is>
          <t>Jnycii</t>
        </is>
      </c>
      <c r="F626" t="inlineStr">
        <is>
          <t>0F English</t>
        </is>
      </c>
      <c r="G626" t="inlineStr">
        <is>
          <t>广东 汕头 龙湖区</t>
        </is>
      </c>
      <c r="H626"/>
      <c r="I626" t="inlineStr">
        <is>
          <t>教育</t>
        </is>
      </c>
      <c r="J626">
        <v>20962</v>
      </c>
      <c r="K626" t="inlineStr">
        <is>
          <t>2.1</t>
        </is>
      </c>
      <c r="L626">
        <v>16788</v>
      </c>
      <c r="M626">
        <v>2204</v>
      </c>
      <c r="N626">
        <v>293</v>
      </c>
      <c r="O626">
        <v>246</v>
      </c>
      <c r="P626">
        <v>0</v>
      </c>
      <c r="Q626">
        <v>0.583</v>
      </c>
      <c r="R626">
        <v>3836</v>
      </c>
      <c r="S626">
        <v>195</v>
      </c>
      <c r="T626">
        <v>9</v>
      </c>
      <c r="U626">
        <v>1.56</v>
      </c>
      <c r="V626">
        <v>246</v>
      </c>
      <c r="W626">
        <v>0</v>
      </c>
      <c r="X626">
        <v>0</v>
      </c>
      <c r="Y626">
        <v>64.13</v>
      </c>
      <c r="Z626">
        <v>27.33</v>
      </c>
      <c r="AA626">
        <v>17000</v>
      </c>
      <c r="AB626">
        <v>2436</v>
      </c>
      <c r="AC626">
        <v>225</v>
      </c>
      <c r="AD626">
        <v>2.1</v>
      </c>
      <c r="AE626">
        <v>1470</v>
      </c>
      <c r="AF626">
        <v>0.636</v>
      </c>
      <c r="AG626">
        <v>0</v>
      </c>
      <c r="AH626">
        <v>0.377999999999999</v>
      </c>
      <c r="AI626">
        <v>86.47</v>
      </c>
      <c r="AJ626">
        <v>4.98</v>
      </c>
      <c r="AK626">
        <v>0</v>
      </c>
      <c r="AL626">
        <v>0</v>
      </c>
      <c r="AM626">
        <v>0</v>
      </c>
      <c r="AN626">
        <v>0</v>
      </c>
      <c r="AO626">
        <v>0</v>
      </c>
      <c r="AP626">
        <v>0.958</v>
      </c>
      <c r="AQ626">
        <v>0.053</v>
      </c>
      <c r="AR626">
        <v>0.07</v>
      </c>
      <c r="AS626" s="3">
        <v>46107.77239583333</v>
      </c>
    </row>
    <row r="627" ht="25.5" customHeight="1">
      <c r="A627" t="inlineStr">
        <is>
          <t>5d01cd1c00000000100222f5</t>
        </is>
      </c>
      <c r="B627" s="2" t="str">
        <f>=HYPERLINK("https://www.xiaohongshu.com/user/profile/5d01cd1c00000000100222f5", "https://www.xiaohongshu.com/user/profile/5d01cd1c00000000100222f5")</f>
        <v>https://www.xiaohongshu.com/user/profile/5d01cd1c00000000100222f5</v>
      </c>
      <c r="C627" s="2" t="str">
        <f>=HYPERLINK("https://pgy.xiaohongshu.com/solar/pre-trade/blogger-detail/5d01cd1c00000000100222f5", "https://pgy.xiaohongshu.com/solar/pre-trade/blogger-detail/5d01cd1c00000000100222f5")</f>
        <v>https://pgy.xiaohongshu.com/solar/pre-trade/blogger-detail/5d01cd1c00000000100222f5</v>
      </c>
      <c r="D627" t="inlineStr">
        <is>
          <t>女</t>
        </is>
      </c>
      <c r="E627" t="inlineStr">
        <is>
          <t>581356114</t>
        </is>
      </c>
      <c r="F627" t="inlineStr">
        <is>
          <t>Tiger公子</t>
        </is>
      </c>
      <c r="G627" t="inlineStr">
        <is>
          <t>北京</t>
        </is>
      </c>
      <c r="H627" t="inlineStr">
        <is>
          <t>学生</t>
        </is>
      </c>
      <c r="I627" t="inlineStr">
        <is>
          <t>生活记录, 健康养生</t>
        </is>
      </c>
      <c r="J627">
        <v>54596</v>
      </c>
      <c r="K627" t="inlineStr">
        <is>
          <t>5.5</t>
        </is>
      </c>
      <c r="L627">
        <v>36241</v>
      </c>
      <c r="M627">
        <v>7537</v>
      </c>
      <c r="N627">
        <v>733</v>
      </c>
      <c r="O627">
        <v>4000</v>
      </c>
      <c r="P627">
        <v>0.25</v>
      </c>
      <c r="Q627">
        <v>1</v>
      </c>
      <c r="R627">
        <v>23174</v>
      </c>
      <c r="S627">
        <v>5198</v>
      </c>
      <c r="T627">
        <v>407</v>
      </c>
      <c r="U627">
        <v>0.83</v>
      </c>
      <c r="V627">
        <v>4000</v>
      </c>
      <c r="W627">
        <v>1</v>
      </c>
      <c r="X627">
        <v>0</v>
      </c>
      <c r="Y627">
        <v>110.37</v>
      </c>
      <c r="Z627">
        <v>5.45</v>
      </c>
      <c r="AA627">
        <v>95457</v>
      </c>
      <c r="AB627">
        <v>21856</v>
      </c>
      <c r="AC627">
        <v>1473</v>
      </c>
      <c r="AD627">
        <v>1.73</v>
      </c>
      <c r="AE627">
        <v>5000</v>
      </c>
      <c r="AF627">
        <v>1</v>
      </c>
      <c r="AG627">
        <v>1</v>
      </c>
      <c r="AH627">
        <v>0.026</v>
      </c>
      <c r="AI627">
        <v>52.38</v>
      </c>
      <c r="AJ627">
        <v>2.59</v>
      </c>
      <c r="AK627">
        <v>505831</v>
      </c>
      <c r="AL627">
        <v>54552</v>
      </c>
      <c r="AM627">
        <v>1574</v>
      </c>
      <c r="AN627">
        <v>0</v>
      </c>
      <c r="AO627">
        <v>0</v>
      </c>
      <c r="AP627">
        <v>0.754</v>
      </c>
      <c r="AQ627">
        <v>0.0279999999999999</v>
      </c>
      <c r="AR627">
        <v>0.008</v>
      </c>
      <c r="AS627" s="3">
        <v>46107.77239583333</v>
      </c>
    </row>
    <row r="628" ht="25.5" customHeight="1">
      <c r="A628" t="inlineStr">
        <is>
          <t>68be91c2000000001900fe9d</t>
        </is>
      </c>
      <c r="B628" s="2" t="str">
        <f>=HYPERLINK("https://www.xiaohongshu.com/user/profile/68be91c2000000001900fe9d", "https://www.xiaohongshu.com/user/profile/68be91c2000000001900fe9d")</f>
        <v>https://www.xiaohongshu.com/user/profile/68be91c2000000001900fe9d</v>
      </c>
      <c r="C628" s="2" t="str">
        <f>=HYPERLINK("https://pgy.xiaohongshu.com/solar/pre-trade/blogger-detail/68be91c2000000001900fe9d", "https://pgy.xiaohongshu.com/solar/pre-trade/blogger-detail/68be91c2000000001900fe9d")</f>
        <v>https://pgy.xiaohongshu.com/solar/pre-trade/blogger-detail/68be91c2000000001900fe9d</v>
      </c>
      <c r="D628" t="inlineStr">
        <is>
          <t>男</t>
        </is>
      </c>
      <c r="E628" t="inlineStr">
        <is>
          <t>94366599121</t>
        </is>
      </c>
      <c r="F628" t="inlineStr">
        <is>
          <t>Alex在中国</t>
        </is>
      </c>
      <c r="G628" t="inlineStr">
        <is>
          <t>浙江 杭州 滨江区</t>
        </is>
      </c>
      <c r="H628"/>
      <c r="I628" t="inlineStr">
        <is>
          <t>教育, 生活记录</t>
        </is>
      </c>
      <c r="J628">
        <v>33825</v>
      </c>
      <c r="K628" t="inlineStr">
        <is>
          <t>3.4</t>
        </is>
      </c>
      <c r="L628">
        <v>2948</v>
      </c>
      <c r="M628">
        <v>1576</v>
      </c>
      <c r="N628">
        <v>121</v>
      </c>
      <c r="O628">
        <v>2500</v>
      </c>
      <c r="P628">
        <v>0.053</v>
      </c>
      <c r="Q628">
        <v>0.421</v>
      </c>
      <c r="R628">
        <v>0</v>
      </c>
      <c r="S628">
        <v>0</v>
      </c>
      <c r="T628">
        <v>0</v>
      </c>
      <c r="U628">
        <v>0</v>
      </c>
      <c r="V628">
        <v>0</v>
      </c>
      <c r="W628">
        <v>0</v>
      </c>
      <c r="X628">
        <v>0</v>
      </c>
      <c r="Y628">
        <v>0</v>
      </c>
      <c r="Z628">
        <v>0</v>
      </c>
      <c r="AA628">
        <v>2948</v>
      </c>
      <c r="AB628">
        <v>1576</v>
      </c>
      <c r="AC628">
        <v>109</v>
      </c>
      <c r="AD628">
        <v>3.09</v>
      </c>
      <c r="AE628">
        <v>2500</v>
      </c>
      <c r="AF628">
        <v>0.421</v>
      </c>
      <c r="AG628">
        <v>0.053</v>
      </c>
      <c r="AH628">
        <v>0.419</v>
      </c>
      <c r="AI628">
        <v>848.03</v>
      </c>
      <c r="AJ628">
        <v>20.66</v>
      </c>
      <c r="AK628">
        <v>0</v>
      </c>
      <c r="AL628">
        <v>0</v>
      </c>
      <c r="AM628">
        <v>0</v>
      </c>
      <c r="AN628">
        <v>0</v>
      </c>
      <c r="AO628">
        <v>0</v>
      </c>
      <c r="AP628">
        <v>0.94</v>
      </c>
      <c r="AQ628">
        <v>0.092</v>
      </c>
      <c r="AR628">
        <v>0.087</v>
      </c>
      <c r="AS628" s="3">
        <v>46107.77239583333</v>
      </c>
    </row>
    <row r="629" ht="25.5" customHeight="1">
      <c r="A629" t="inlineStr">
        <is>
          <t>601b4138000000000100777b</t>
        </is>
      </c>
      <c r="B629" s="2" t="str">
        <f>=HYPERLINK("https://www.xiaohongshu.com/user/profile/601b4138000000000100777b", "https://www.xiaohongshu.com/user/profile/601b4138000000000100777b")</f>
        <v>https://www.xiaohongshu.com/user/profile/601b4138000000000100777b</v>
      </c>
      <c r="C629" s="2" t="str">
        <f>=HYPERLINK("https://pgy.xiaohongshu.com/solar/pre-trade/blogger-detail/601b4138000000000100777b", "https://pgy.xiaohongshu.com/solar/pre-trade/blogger-detail/601b4138000000000100777b")</f>
        <v>https://pgy.xiaohongshu.com/solar/pre-trade/blogger-detail/601b4138000000000100777b</v>
      </c>
      <c r="D629" t="inlineStr">
        <is>
          <t>女</t>
        </is>
      </c>
      <c r="E629" t="inlineStr">
        <is>
          <t>psychesha520</t>
        </is>
      </c>
      <c r="F629" t="inlineStr">
        <is>
          <t>Psyche Sha</t>
        </is>
      </c>
      <c r="G629" t="inlineStr">
        <is>
          <t>浙江 宁波 鄞州区</t>
        </is>
      </c>
      <c r="H629"/>
      <c r="I629" t="inlineStr">
        <is>
          <t>教育</t>
        </is>
      </c>
      <c r="J629">
        <v>2326</v>
      </c>
      <c r="K629" t="inlineStr">
        <is>
          <t>0.2</t>
        </is>
      </c>
      <c r="L629">
        <v>28632</v>
      </c>
      <c r="M629">
        <v>4384</v>
      </c>
      <c r="N629">
        <v>932</v>
      </c>
      <c r="O629">
        <v>200</v>
      </c>
      <c r="P629">
        <v>0</v>
      </c>
      <c r="Q629">
        <v>0.8</v>
      </c>
      <c r="R629">
        <v>30250</v>
      </c>
      <c r="S629">
        <v>4394</v>
      </c>
      <c r="T629">
        <v>743</v>
      </c>
      <c r="U629">
        <v>0.35</v>
      </c>
      <c r="V629">
        <v>200</v>
      </c>
      <c r="W629">
        <v>0.75</v>
      </c>
      <c r="X629">
        <v>0</v>
      </c>
      <c r="Y629">
        <v>6.61</v>
      </c>
      <c r="Z629">
        <v>0.21</v>
      </c>
      <c r="AA629">
        <v>28632</v>
      </c>
      <c r="AB629">
        <v>4384</v>
      </c>
      <c r="AC629">
        <v>832</v>
      </c>
      <c r="AD629">
        <v>1.6</v>
      </c>
      <c r="AE629">
        <v>450</v>
      </c>
      <c r="AF629">
        <v>1</v>
      </c>
      <c r="AG629">
        <v>0</v>
      </c>
      <c r="AH629">
        <v>0.01</v>
      </c>
      <c r="AI629">
        <v>15.72</v>
      </c>
      <c r="AJ629">
        <v>0.48</v>
      </c>
      <c r="AK629">
        <v>0</v>
      </c>
      <c r="AL629">
        <v>0</v>
      </c>
      <c r="AM629">
        <v>0</v>
      </c>
      <c r="AN629">
        <v>0</v>
      </c>
      <c r="AO629">
        <v>0</v>
      </c>
      <c r="AP629">
        <v>0.979</v>
      </c>
      <c r="AQ629">
        <v>0.268999999999999</v>
      </c>
      <c r="AR629">
        <v>0.5</v>
      </c>
      <c r="AS629" s="3">
        <v>46107.77239583333</v>
      </c>
    </row>
    <row r="630" ht="25.5" customHeight="1">
      <c r="A630" t="inlineStr">
        <is>
          <t>67d36f06000000000601fac2</t>
        </is>
      </c>
      <c r="B630" s="2" t="str">
        <f>=HYPERLINK("https://www.xiaohongshu.com/user/profile/67d36f06000000000601fac2", "https://www.xiaohongshu.com/user/profile/67d36f06000000000601fac2")</f>
        <v>https://www.xiaohongshu.com/user/profile/67d36f06000000000601fac2</v>
      </c>
      <c r="C630" s="2" t="str">
        <f>=HYPERLINK("https://pgy.xiaohongshu.com/solar/pre-trade/blogger-detail/67d36f06000000000601fac2", "https://pgy.xiaohongshu.com/solar/pre-trade/blogger-detail/67d36f06000000000601fac2")</f>
        <v>https://pgy.xiaohongshu.com/solar/pre-trade/blogger-detail/67d36f06000000000601fac2</v>
      </c>
      <c r="D630" t="inlineStr">
        <is>
          <t>女</t>
        </is>
      </c>
      <c r="E630" t="inlineStr">
        <is>
          <t>94125107444</t>
        </is>
      </c>
      <c r="F630" t="inlineStr">
        <is>
          <t>Ada口语私教</t>
        </is>
      </c>
      <c r="G630" t="inlineStr">
        <is>
          <t>山东 潍坊 奎文区</t>
        </is>
      </c>
      <c r="H630"/>
      <c r="I630" t="inlineStr">
        <is>
          <t>教育</t>
        </is>
      </c>
      <c r="J630">
        <v>24153</v>
      </c>
      <c r="K630" t="inlineStr">
        <is>
          <t>2.4</t>
        </is>
      </c>
      <c r="L630">
        <v>5329</v>
      </c>
      <c r="M630">
        <v>988</v>
      </c>
      <c r="N630">
        <v>110</v>
      </c>
      <c r="O630">
        <v>300</v>
      </c>
      <c r="P630">
        <v>0.063</v>
      </c>
      <c r="Q630">
        <v>0.375</v>
      </c>
      <c r="R630">
        <v>0</v>
      </c>
      <c r="S630">
        <v>0</v>
      </c>
      <c r="T630">
        <v>0</v>
      </c>
      <c r="U630">
        <v>0</v>
      </c>
      <c r="V630">
        <v>300</v>
      </c>
      <c r="W630">
        <v>0</v>
      </c>
      <c r="X630">
        <v>0</v>
      </c>
      <c r="Y630">
        <v>0</v>
      </c>
      <c r="Z630">
        <v>0</v>
      </c>
      <c r="AA630">
        <v>5329</v>
      </c>
      <c r="AB630">
        <v>988</v>
      </c>
      <c r="AC630">
        <v>96</v>
      </c>
      <c r="AD630">
        <v>2.31</v>
      </c>
      <c r="AE630">
        <v>800</v>
      </c>
      <c r="AF630">
        <v>0.375</v>
      </c>
      <c r="AG630">
        <v>0.063</v>
      </c>
      <c r="AH630">
        <v>0.087</v>
      </c>
      <c r="AI630">
        <v>150.11</v>
      </c>
      <c r="AJ630">
        <v>7.27</v>
      </c>
      <c r="AK630">
        <v>0</v>
      </c>
      <c r="AL630">
        <v>0</v>
      </c>
      <c r="AM630">
        <v>0</v>
      </c>
      <c r="AN630">
        <v>0</v>
      </c>
      <c r="AO630">
        <v>0</v>
      </c>
      <c r="AP630">
        <v>0.957</v>
      </c>
      <c r="AQ630">
        <v>0.061</v>
      </c>
      <c r="AR630">
        <v>0.108</v>
      </c>
      <c r="AS630" s="3">
        <v>46107.77239583333</v>
      </c>
    </row>
    <row r="631" ht="25.5" customHeight="1">
      <c r="A631" t="inlineStr">
        <is>
          <t>5e64bc4800000000010043e2</t>
        </is>
      </c>
      <c r="B631" s="2" t="str">
        <f>=HYPERLINK("https://www.xiaohongshu.com/user/profile/5e64bc4800000000010043e2", "https://www.xiaohongshu.com/user/profile/5e64bc4800000000010043e2")</f>
        <v>https://www.xiaohongshu.com/user/profile/5e64bc4800000000010043e2</v>
      </c>
      <c r="C631" s="2" t="str">
        <f>=HYPERLINK("https://pgy.xiaohongshu.com/solar/pre-trade/blogger-detail/5e64bc4800000000010043e2", "https://pgy.xiaohongshu.com/solar/pre-trade/blogger-detail/5e64bc4800000000010043e2")</f>
        <v>https://pgy.xiaohongshu.com/solar/pre-trade/blogger-detail/5e64bc4800000000010043e2</v>
      </c>
      <c r="D631" t="inlineStr">
        <is>
          <t>男</t>
        </is>
      </c>
      <c r="E631" t="inlineStr">
        <is>
          <t>485976458</t>
        </is>
      </c>
      <c r="F631" t="inlineStr">
        <is>
          <t>十二叁</t>
        </is>
      </c>
      <c r="G631" t="inlineStr">
        <is>
          <t>四川 成都 双流区</t>
        </is>
      </c>
      <c r="H631" t="inlineStr">
        <is>
          <t>学生</t>
        </is>
      </c>
      <c r="I631" t="inlineStr">
        <is>
          <t>教育, 情感</t>
        </is>
      </c>
      <c r="J631">
        <v>5318</v>
      </c>
      <c r="K631" t="inlineStr">
        <is>
          <t>0.5</t>
        </is>
      </c>
      <c r="L631">
        <v>6886</v>
      </c>
      <c r="M631">
        <v>1607</v>
      </c>
      <c r="N631">
        <v>190</v>
      </c>
      <c r="O631">
        <v>200</v>
      </c>
      <c r="P631">
        <v>0.332999999999999</v>
      </c>
      <c r="Q631">
        <v>0.667</v>
      </c>
      <c r="R631">
        <v>0</v>
      </c>
      <c r="S631">
        <v>0</v>
      </c>
      <c r="T631">
        <v>0</v>
      </c>
      <c r="U631">
        <v>0</v>
      </c>
      <c r="V631">
        <v>200</v>
      </c>
      <c r="W631">
        <v>0</v>
      </c>
      <c r="X631">
        <v>0</v>
      </c>
      <c r="Y631">
        <v>0</v>
      </c>
      <c r="Z631">
        <v>0</v>
      </c>
      <c r="AA631">
        <v>6886</v>
      </c>
      <c r="AB631">
        <v>1607</v>
      </c>
      <c r="AC631">
        <v>163</v>
      </c>
      <c r="AD631">
        <v>1.94</v>
      </c>
      <c r="AE631">
        <v>700</v>
      </c>
      <c r="AF631">
        <v>0.667</v>
      </c>
      <c r="AG631">
        <v>0.332999999999999</v>
      </c>
      <c r="AH631">
        <v>0.045</v>
      </c>
      <c r="AI631">
        <v>101.66</v>
      </c>
      <c r="AJ631">
        <v>3.68</v>
      </c>
      <c r="AK631">
        <v>0</v>
      </c>
      <c r="AL631">
        <v>0</v>
      </c>
      <c r="AM631">
        <v>0</v>
      </c>
      <c r="AN631">
        <v>0</v>
      </c>
      <c r="AO631">
        <v>0</v>
      </c>
      <c r="AP631">
        <v>0.848</v>
      </c>
      <c r="AQ631">
        <v>0.038</v>
      </c>
      <c r="AR631">
        <v>0.043</v>
      </c>
      <c r="AS631" s="3">
        <v>46107.77239583333</v>
      </c>
    </row>
    <row r="632" ht="25.5" customHeight="1">
      <c r="A632" t="inlineStr">
        <is>
          <t>5ab76ca8e8ac2b4c94d11dc7</t>
        </is>
      </c>
      <c r="B632" s="2" t="str">
        <f>=HYPERLINK("https://www.xiaohongshu.com/user/profile/5ab76ca8e8ac2b4c94d11dc7", "https://www.xiaohongshu.com/user/profile/5ab76ca8e8ac2b4c94d11dc7")</f>
        <v>https://www.xiaohongshu.com/user/profile/5ab76ca8e8ac2b4c94d11dc7</v>
      </c>
      <c r="C632" s="2" t="str">
        <f>=HYPERLINK("https://pgy.xiaohongshu.com/solar/pre-trade/blogger-detail/5ab76ca8e8ac2b4c94d11dc7", "https://pgy.xiaohongshu.com/solar/pre-trade/blogger-detail/5ab76ca8e8ac2b4c94d11dc7")</f>
        <v>https://pgy.xiaohongshu.com/solar/pre-trade/blogger-detail/5ab76ca8e8ac2b4c94d11dc7</v>
      </c>
      <c r="D632" t="inlineStr">
        <is>
          <t>女</t>
        </is>
      </c>
      <c r="E632" t="inlineStr">
        <is>
          <t>snj1319</t>
        </is>
      </c>
      <c r="F632" t="inlineStr">
        <is>
          <t>孙宁伽Nicole</t>
        </is>
      </c>
      <c r="G632" t="inlineStr">
        <is>
          <t>北京</t>
        </is>
      </c>
      <c r="H632" t="inlineStr">
        <is>
          <t>学生</t>
        </is>
      </c>
      <c r="I632" t="inlineStr">
        <is>
          <t>生活记录, 搞笑</t>
        </is>
      </c>
      <c r="J632">
        <v>332572</v>
      </c>
      <c r="K632" t="inlineStr">
        <is>
          <t>33.3</t>
        </is>
      </c>
      <c r="L632">
        <v>83387</v>
      </c>
      <c r="M632">
        <v>63802</v>
      </c>
      <c r="N632">
        <v>2076</v>
      </c>
      <c r="O632">
        <v>10000</v>
      </c>
      <c r="P632">
        <v>0.625</v>
      </c>
      <c r="Q632">
        <v>1</v>
      </c>
      <c r="R632">
        <v>0</v>
      </c>
      <c r="S632">
        <v>0</v>
      </c>
      <c r="T632">
        <v>0</v>
      </c>
      <c r="U632">
        <v>0</v>
      </c>
      <c r="V632">
        <v>10000</v>
      </c>
      <c r="W632">
        <v>0</v>
      </c>
      <c r="X632">
        <v>0</v>
      </c>
      <c r="Y632">
        <v>0</v>
      </c>
      <c r="Z632">
        <v>0</v>
      </c>
      <c r="AA632">
        <v>83387</v>
      </c>
      <c r="AB632">
        <v>63802</v>
      </c>
      <c r="AC632">
        <v>1991</v>
      </c>
      <c r="AD632">
        <v>1.76</v>
      </c>
      <c r="AE632">
        <v>24000</v>
      </c>
      <c r="AF632">
        <v>1</v>
      </c>
      <c r="AG632">
        <v>0.625</v>
      </c>
      <c r="AH632">
        <v>0.387999999999999</v>
      </c>
      <c r="AI632">
        <v>526.67</v>
      </c>
      <c r="AJ632">
        <v>7.29</v>
      </c>
      <c r="AK632">
        <v>337122</v>
      </c>
      <c r="AL632">
        <v>91200</v>
      </c>
      <c r="AM632">
        <v>16384</v>
      </c>
      <c r="AN632">
        <v>0</v>
      </c>
      <c r="AO632">
        <v>0</v>
      </c>
      <c r="AP632">
        <v>0.51</v>
      </c>
      <c r="AQ632">
        <v>0.017</v>
      </c>
      <c r="AR632">
        <v>0.002</v>
      </c>
      <c r="AS632" s="3">
        <v>46107.77239583333</v>
      </c>
    </row>
    <row r="633" ht="25.5" customHeight="1">
      <c r="A633" t="inlineStr">
        <is>
          <t>639dc155000000002601006b</t>
        </is>
      </c>
      <c r="B633" s="2" t="str">
        <f>=HYPERLINK("https://www.xiaohongshu.com/user/profile/639dc155000000002601006b", "https://www.xiaohongshu.com/user/profile/639dc155000000002601006b")</f>
        <v>https://www.xiaohongshu.com/user/profile/639dc155000000002601006b</v>
      </c>
      <c r="C633" s="2" t="str">
        <f>=HYPERLINK("https://pgy.xiaohongshu.com/solar/pre-trade/blogger-detail/639dc155000000002601006b", "https://pgy.xiaohongshu.com/solar/pre-trade/blogger-detail/639dc155000000002601006b")</f>
        <v>https://pgy.xiaohongshu.com/solar/pre-trade/blogger-detail/639dc155000000002601006b</v>
      </c>
      <c r="D633" t="inlineStr">
        <is>
          <t>女</t>
        </is>
      </c>
      <c r="E633" t="inlineStr">
        <is>
          <t>6243766849</t>
        </is>
      </c>
      <c r="F633" t="inlineStr">
        <is>
          <t>大板牙儿美国历险记</t>
        </is>
      </c>
      <c r="G633" t="inlineStr">
        <is>
          <t>美国</t>
        </is>
      </c>
      <c r="H633" t="inlineStr">
        <is>
          <t>海外华人, 留学背景</t>
        </is>
      </c>
      <c r="I633" t="inlineStr">
        <is>
          <t>美食, 教育, 生活记录</t>
        </is>
      </c>
      <c r="J633">
        <v>4743</v>
      </c>
      <c r="K633" t="inlineStr">
        <is>
          <t>0.5</t>
        </is>
      </c>
      <c r="L633">
        <v>11295</v>
      </c>
      <c r="M633">
        <v>2586</v>
      </c>
      <c r="N633">
        <v>128</v>
      </c>
      <c r="O633">
        <v>800</v>
      </c>
      <c r="P633">
        <v>0</v>
      </c>
      <c r="Q633">
        <v>0.25</v>
      </c>
      <c r="R633">
        <v>0</v>
      </c>
      <c r="S633">
        <v>0</v>
      </c>
      <c r="T633">
        <v>0</v>
      </c>
      <c r="U633">
        <v>0</v>
      </c>
      <c r="V633">
        <v>800</v>
      </c>
      <c r="W633">
        <v>0</v>
      </c>
      <c r="X633">
        <v>0</v>
      </c>
      <c r="Y633">
        <v>0</v>
      </c>
      <c r="Z633">
        <v>0</v>
      </c>
      <c r="AA633">
        <v>11295</v>
      </c>
      <c r="AB633">
        <v>2586</v>
      </c>
      <c r="AC633">
        <v>117</v>
      </c>
      <c r="AD633">
        <v>1.87</v>
      </c>
      <c r="AE633">
        <v>950</v>
      </c>
      <c r="AF633">
        <v>0.25</v>
      </c>
      <c r="AG633">
        <v>0</v>
      </c>
      <c r="AH633">
        <v>0.218</v>
      </c>
      <c r="AI633">
        <v>84.11</v>
      </c>
      <c r="AJ633">
        <v>7.42</v>
      </c>
      <c r="AK633">
        <v>0</v>
      </c>
      <c r="AL633">
        <v>0</v>
      </c>
      <c r="AM633">
        <v>0</v>
      </c>
      <c r="AN633">
        <v>0</v>
      </c>
      <c r="AO633">
        <v>0</v>
      </c>
      <c r="AP633">
        <v>0.82</v>
      </c>
      <c r="AQ633">
        <v>0.035</v>
      </c>
      <c r="AR633">
        <v>0.008</v>
      </c>
      <c r="AS633" s="3">
        <v>46107.77239583333</v>
      </c>
    </row>
    <row r="634" ht="25.5" customHeight="1">
      <c r="A634" t="inlineStr">
        <is>
          <t>60cbd782000000000101c822</t>
        </is>
      </c>
      <c r="B634" s="2" t="str">
        <f>=HYPERLINK("https://www.xiaohongshu.com/user/profile/60cbd782000000000101c822", "https://www.xiaohongshu.com/user/profile/60cbd782000000000101c822")</f>
        <v>https://www.xiaohongshu.com/user/profile/60cbd782000000000101c822</v>
      </c>
      <c r="C634" s="2" t="str">
        <f>=HYPERLINK("https://pgy.xiaohongshu.com/solar/pre-trade/blogger-detail/60cbd782000000000101c822", "https://pgy.xiaohongshu.com/solar/pre-trade/blogger-detail/60cbd782000000000101c822")</f>
        <v>https://pgy.xiaohongshu.com/solar/pre-trade/blogger-detail/60cbd782000000000101c822</v>
      </c>
      <c r="D634" t="inlineStr">
        <is>
          <t>女</t>
        </is>
      </c>
      <c r="E634" t="inlineStr">
        <is>
          <t>9543655823</t>
        </is>
      </c>
      <c r="F634" t="inlineStr">
        <is>
          <t>Comet彗星</t>
        </is>
      </c>
      <c r="G634" t="inlineStr">
        <is>
          <t>广东 深圳 南山区</t>
        </is>
      </c>
      <c r="H634"/>
      <c r="I634" t="inlineStr">
        <is>
          <t>教育</t>
        </is>
      </c>
      <c r="J634">
        <v>5203</v>
      </c>
      <c r="K634" t="inlineStr">
        <is>
          <t>0.5</t>
        </is>
      </c>
      <c r="L634">
        <v>3572</v>
      </c>
      <c r="M634">
        <v>1174</v>
      </c>
      <c r="N634">
        <v>187</v>
      </c>
      <c r="O634">
        <v>250</v>
      </c>
      <c r="P634">
        <v>0</v>
      </c>
      <c r="Q634">
        <v>0.6</v>
      </c>
      <c r="R634">
        <v>3512</v>
      </c>
      <c r="S634">
        <v>498</v>
      </c>
      <c r="T634">
        <v>27</v>
      </c>
      <c r="U634">
        <v>0.69</v>
      </c>
      <c r="V634">
        <v>250</v>
      </c>
      <c r="W634">
        <v>0</v>
      </c>
      <c r="X634">
        <v>0</v>
      </c>
      <c r="Y634">
        <v>60.11</v>
      </c>
      <c r="Z634">
        <v>4.13</v>
      </c>
      <c r="AA634">
        <v>3723</v>
      </c>
      <c r="AB634">
        <v>1610</v>
      </c>
      <c r="AC634">
        <v>256</v>
      </c>
      <c r="AD634">
        <v>1.87</v>
      </c>
      <c r="AE634">
        <v>600</v>
      </c>
      <c r="AF634">
        <v>1</v>
      </c>
      <c r="AG634">
        <v>0</v>
      </c>
      <c r="AH634">
        <v>0.018</v>
      </c>
      <c r="AI634">
        <v>161.16</v>
      </c>
      <c r="AJ634">
        <v>2.14</v>
      </c>
      <c r="AK634">
        <v>14092</v>
      </c>
      <c r="AL634">
        <v>2475</v>
      </c>
      <c r="AM634">
        <v>690</v>
      </c>
      <c r="AN634">
        <v>25</v>
      </c>
      <c r="AO634">
        <v>11.07</v>
      </c>
      <c r="AP634">
        <v>0.867</v>
      </c>
      <c r="AQ634">
        <v>0.092</v>
      </c>
      <c r="AR634">
        <v>0.047</v>
      </c>
      <c r="AS634" s="3">
        <v>46107.77239583333</v>
      </c>
    </row>
    <row r="635" ht="25.5" customHeight="1">
      <c r="A635" t="inlineStr">
        <is>
          <t>5dfb3a8d00000000010096bb</t>
        </is>
      </c>
      <c r="B635" s="2" t="str">
        <f>=HYPERLINK("https://www.xiaohongshu.com/user/profile/5dfb3a8d00000000010096bb", "https://www.xiaohongshu.com/user/profile/5dfb3a8d00000000010096bb")</f>
        <v>https://www.xiaohongshu.com/user/profile/5dfb3a8d00000000010096bb</v>
      </c>
      <c r="C635" s="2" t="str">
        <f>=HYPERLINK("https://pgy.xiaohongshu.com/solar/pre-trade/blogger-detail/5dfb3a8d00000000010096bb", "https://pgy.xiaohongshu.com/solar/pre-trade/blogger-detail/5dfb3a8d00000000010096bb")</f>
        <v>https://pgy.xiaohongshu.com/solar/pre-trade/blogger-detail/5dfb3a8d00000000010096bb</v>
      </c>
      <c r="D635" t="inlineStr">
        <is>
          <t>女</t>
        </is>
      </c>
      <c r="E635" t="inlineStr">
        <is>
          <t>915571641</t>
        </is>
      </c>
      <c r="F635" t="inlineStr">
        <is>
          <t>小懒上树</t>
        </is>
      </c>
      <c r="G635" t="inlineStr">
        <is>
          <t>北京</t>
        </is>
      </c>
      <c r="H635" t="inlineStr">
        <is>
          <t>户外爱好者, 学生</t>
        </is>
      </c>
      <c r="I635" t="inlineStr">
        <is>
          <t>生活记录</t>
        </is>
      </c>
      <c r="J635">
        <v>16236</v>
      </c>
      <c r="K635" t="inlineStr">
        <is>
          <t>1.6</t>
        </is>
      </c>
      <c r="L635">
        <v>10269</v>
      </c>
      <c r="M635">
        <v>1290</v>
      </c>
      <c r="N635">
        <v>343</v>
      </c>
      <c r="O635">
        <v>3500</v>
      </c>
      <c r="P635">
        <v>0</v>
      </c>
      <c r="Q635">
        <v>1</v>
      </c>
      <c r="R635">
        <v>10269</v>
      </c>
      <c r="S635">
        <v>1290</v>
      </c>
      <c r="T635">
        <v>307</v>
      </c>
      <c r="U635">
        <v>2.79</v>
      </c>
      <c r="V635">
        <v>3500</v>
      </c>
      <c r="W635">
        <v>1</v>
      </c>
      <c r="X635">
        <v>0</v>
      </c>
      <c r="Y635">
        <v>298.84</v>
      </c>
      <c r="Z635">
        <v>10.2</v>
      </c>
      <c r="AA635">
        <v>28260</v>
      </c>
      <c r="AB635">
        <v>4101</v>
      </c>
      <c r="AC635">
        <v>359</v>
      </c>
      <c r="AD635">
        <v>2.22</v>
      </c>
      <c r="AE635">
        <v>4500</v>
      </c>
      <c r="AF635">
        <v>1</v>
      </c>
      <c r="AG635">
        <v>0</v>
      </c>
      <c r="AH635">
        <v>0.17</v>
      </c>
      <c r="AI635">
        <v>104.89</v>
      </c>
      <c r="AJ635">
        <v>7.46</v>
      </c>
      <c r="AK635">
        <v>40096</v>
      </c>
      <c r="AL635">
        <v>5488</v>
      </c>
      <c r="AM635">
        <v>766</v>
      </c>
      <c r="AN635">
        <v>0</v>
      </c>
      <c r="AO635">
        <v>119.87</v>
      </c>
      <c r="AP635">
        <v>0.854</v>
      </c>
      <c r="AQ635">
        <v>0.053</v>
      </c>
      <c r="AR635">
        <v>0.053</v>
      </c>
      <c r="AS635" s="3">
        <v>46107.77239583333</v>
      </c>
    </row>
    <row r="636" ht="25.5" customHeight="1">
      <c r="A636" t="inlineStr">
        <is>
          <t>64bff451000000001403e704</t>
        </is>
      </c>
      <c r="B636" s="2" t="str">
        <f>=HYPERLINK("https://www.xiaohongshu.com/user/profile/64bff451000000001403e704", "https://www.xiaohongshu.com/user/profile/64bff451000000001403e704")</f>
        <v>https://www.xiaohongshu.com/user/profile/64bff451000000001403e704</v>
      </c>
      <c r="C636" s="2" t="str">
        <f>=HYPERLINK("https://pgy.xiaohongshu.com/solar/pre-trade/blogger-detail/64bff451000000001403e704", "https://pgy.xiaohongshu.com/solar/pre-trade/blogger-detail/64bff451000000001403e704")</f>
        <v>https://pgy.xiaohongshu.com/solar/pre-trade/blogger-detail/64bff451000000001403e704</v>
      </c>
      <c r="D636" t="inlineStr">
        <is>
          <t>女</t>
        </is>
      </c>
      <c r="E636" t="inlineStr">
        <is>
          <t>7486216705</t>
        </is>
      </c>
      <c r="F636" t="inlineStr">
        <is>
          <t>迷迷糊糊的江江</t>
        </is>
      </c>
      <c r="G636" t="inlineStr">
        <is>
          <t>新疆 阿拉尔 阿拉尔市</t>
        </is>
      </c>
      <c r="H636" t="inlineStr">
        <is>
          <t>学生</t>
        </is>
      </c>
      <c r="I636" t="inlineStr">
        <is>
          <t>生活记录</t>
        </is>
      </c>
      <c r="J636">
        <v>3125</v>
      </c>
      <c r="K636" t="inlineStr">
        <is>
          <t>0.3</t>
        </is>
      </c>
      <c r="L636">
        <v>1345</v>
      </c>
      <c r="M636">
        <v>181</v>
      </c>
      <c r="N636">
        <v>206</v>
      </c>
      <c r="O636">
        <v>100</v>
      </c>
      <c r="P636">
        <v>0</v>
      </c>
      <c r="Q636">
        <v>0.143</v>
      </c>
      <c r="R636">
        <v>1698</v>
      </c>
      <c r="S636">
        <v>171</v>
      </c>
      <c r="T636">
        <v>209</v>
      </c>
      <c r="U636">
        <v>0.8</v>
      </c>
      <c r="V636">
        <v>110</v>
      </c>
      <c r="W636">
        <v>0.25</v>
      </c>
      <c r="X636">
        <v>0</v>
      </c>
      <c r="Y636">
        <v>52.77</v>
      </c>
      <c r="Z636">
        <v>0.52</v>
      </c>
      <c r="AA636">
        <v>844</v>
      </c>
      <c r="AB636">
        <v>200</v>
      </c>
      <c r="AC636">
        <v>83</v>
      </c>
      <c r="AD636">
        <v>2</v>
      </c>
      <c r="AE636">
        <v>100</v>
      </c>
      <c r="AF636">
        <v>0</v>
      </c>
      <c r="AG636">
        <v>0</v>
      </c>
      <c r="AH636">
        <v>0.152</v>
      </c>
      <c r="AI636">
        <v>118.48</v>
      </c>
      <c r="AJ636">
        <v>1.18</v>
      </c>
      <c r="AK636">
        <v>7489</v>
      </c>
      <c r="AL636">
        <v>1526</v>
      </c>
      <c r="AM636">
        <v>195</v>
      </c>
      <c r="AN636">
        <v>72</v>
      </c>
      <c r="AO636">
        <v>1</v>
      </c>
      <c r="AP636">
        <v>0.74</v>
      </c>
      <c r="AQ636">
        <v>0.131</v>
      </c>
      <c r="AR636">
        <v>0.15</v>
      </c>
      <c r="AS636" s="3">
        <v>46107.77239583333</v>
      </c>
    </row>
    <row r="637" ht="25.5" customHeight="1">
      <c r="A637" t="inlineStr">
        <is>
          <t>5e4fa29a00000000010036dd</t>
        </is>
      </c>
      <c r="B637" s="2" t="str">
        <f>=HYPERLINK("https://www.xiaohongshu.com/user/profile/5e4fa29a00000000010036dd", "https://www.xiaohongshu.com/user/profile/5e4fa29a00000000010036dd")</f>
        <v>https://www.xiaohongshu.com/user/profile/5e4fa29a00000000010036dd</v>
      </c>
      <c r="C637" s="2" t="str">
        <f>=HYPERLINK("https://pgy.xiaohongshu.com/solar/pre-trade/blogger-detail/5e4fa29a00000000010036dd", "https://pgy.xiaohongshu.com/solar/pre-trade/blogger-detail/5e4fa29a00000000010036dd")</f>
        <v>https://pgy.xiaohongshu.com/solar/pre-trade/blogger-detail/5e4fa29a00000000010036dd</v>
      </c>
      <c r="D637" t="inlineStr">
        <is>
          <t>女</t>
        </is>
      </c>
      <c r="E637" t="inlineStr">
        <is>
          <t>571394742</t>
        </is>
      </c>
      <c r="F637" t="inlineStr">
        <is>
          <t>一只小列</t>
        </is>
      </c>
      <c r="G637" t="inlineStr">
        <is>
          <t>上海</t>
        </is>
      </c>
      <c r="H637" t="inlineStr">
        <is>
          <t>考研过来人, 学生</t>
        </is>
      </c>
      <c r="I637" t="inlineStr">
        <is>
          <t>教育</t>
        </is>
      </c>
      <c r="J637">
        <v>6394</v>
      </c>
      <c r="K637" t="inlineStr">
        <is>
          <t>0.6</t>
        </is>
      </c>
      <c r="L637">
        <v>91554</v>
      </c>
      <c r="M637">
        <v>29559</v>
      </c>
      <c r="N637">
        <v>6237</v>
      </c>
      <c r="O637">
        <v>150</v>
      </c>
      <c r="P637">
        <v>0.5</v>
      </c>
      <c r="Q637">
        <v>1</v>
      </c>
      <c r="R637">
        <v>0</v>
      </c>
      <c r="S637">
        <v>0</v>
      </c>
      <c r="T637">
        <v>0</v>
      </c>
      <c r="U637">
        <v>0</v>
      </c>
      <c r="V637">
        <v>150</v>
      </c>
      <c r="W637">
        <v>0</v>
      </c>
      <c r="X637">
        <v>0</v>
      </c>
      <c r="Y637">
        <v>0</v>
      </c>
      <c r="Z637">
        <v>0</v>
      </c>
      <c r="AA637">
        <v>91554</v>
      </c>
      <c r="AB637">
        <v>29559</v>
      </c>
      <c r="AC637">
        <v>5338</v>
      </c>
      <c r="AD637">
        <v>1.52</v>
      </c>
      <c r="AE637">
        <v>300</v>
      </c>
      <c r="AF637">
        <v>1</v>
      </c>
      <c r="AG637">
        <v>0.5</v>
      </c>
      <c r="AH637">
        <v>0.069</v>
      </c>
      <c r="AI637">
        <v>6.81</v>
      </c>
      <c r="AJ637">
        <v>0.1</v>
      </c>
      <c r="AK637">
        <v>49846</v>
      </c>
      <c r="AL637">
        <v>5803</v>
      </c>
      <c r="AM637">
        <v>1188</v>
      </c>
      <c r="AN637">
        <v>0</v>
      </c>
      <c r="AO637">
        <v>0</v>
      </c>
      <c r="AP637">
        <v>0.985</v>
      </c>
      <c r="AQ637">
        <v>0.514</v>
      </c>
      <c r="AR637">
        <v>0</v>
      </c>
      <c r="AS637" s="3">
        <v>46107.77239583333</v>
      </c>
    </row>
    <row r="638" ht="25.5" customHeight="1">
      <c r="A638" t="inlineStr">
        <is>
          <t>550e574da46e965b4f68e667</t>
        </is>
      </c>
      <c r="B638" s="2" t="str">
        <f>=HYPERLINK("https://www.xiaohongshu.com/user/profile/550e574da46e965b4f68e667", "https://www.xiaohongshu.com/user/profile/550e574da46e965b4f68e667")</f>
        <v>https://www.xiaohongshu.com/user/profile/550e574da46e965b4f68e667</v>
      </c>
      <c r="C638" s="2" t="str">
        <f>=HYPERLINK("https://pgy.xiaohongshu.com/solar/pre-trade/blogger-detail/550e574da46e965b4f68e667", "https://pgy.xiaohongshu.com/solar/pre-trade/blogger-detail/550e574da46e965b4f68e667")</f>
        <v>https://pgy.xiaohongshu.com/solar/pre-trade/blogger-detail/550e574da46e965b4f68e667</v>
      </c>
      <c r="D638" t="inlineStr">
        <is>
          <t>女</t>
        </is>
      </c>
      <c r="E638" t="inlineStr">
        <is>
          <t>271111882</t>
        </is>
      </c>
      <c r="F638" t="inlineStr">
        <is>
          <t>雪梨酱🍐</t>
        </is>
      </c>
      <c r="G638" t="inlineStr">
        <is>
          <t>澳大利亚</t>
        </is>
      </c>
      <c r="H638" t="inlineStr">
        <is>
          <t>留学背景, 海外华人</t>
        </is>
      </c>
      <c r="I638" t="inlineStr">
        <is>
          <t>职场</t>
        </is>
      </c>
      <c r="J638">
        <v>9128</v>
      </c>
      <c r="K638" t="inlineStr">
        <is>
          <t>0.9</t>
        </is>
      </c>
      <c r="L638">
        <v>8856</v>
      </c>
      <c r="M638">
        <v>1964</v>
      </c>
      <c r="N638">
        <v>197</v>
      </c>
      <c r="O638">
        <v>1500</v>
      </c>
      <c r="P638">
        <v>0</v>
      </c>
      <c r="Q638">
        <v>0.3</v>
      </c>
      <c r="R638">
        <v>16135</v>
      </c>
      <c r="S638">
        <v>2894</v>
      </c>
      <c r="T638">
        <v>136</v>
      </c>
      <c r="U638">
        <v>0.82</v>
      </c>
      <c r="V638">
        <v>1500</v>
      </c>
      <c r="W638">
        <v>0.332999999999999</v>
      </c>
      <c r="X638">
        <v>0</v>
      </c>
      <c r="Y638">
        <v>92.97</v>
      </c>
      <c r="Z638">
        <v>8.85</v>
      </c>
      <c r="AA638">
        <v>8856</v>
      </c>
      <c r="AB638">
        <v>1964</v>
      </c>
      <c r="AC638">
        <v>158</v>
      </c>
      <c r="AD638">
        <v>2.42</v>
      </c>
      <c r="AE638">
        <v>1800</v>
      </c>
      <c r="AF638">
        <v>0.25</v>
      </c>
      <c r="AG638">
        <v>0</v>
      </c>
      <c r="AH638">
        <v>0.136</v>
      </c>
      <c r="AI638">
        <v>203.25</v>
      </c>
      <c r="AJ638">
        <v>9.14</v>
      </c>
      <c r="AK638">
        <v>0</v>
      </c>
      <c r="AL638">
        <v>0</v>
      </c>
      <c r="AM638">
        <v>0</v>
      </c>
      <c r="AN638">
        <v>0</v>
      </c>
      <c r="AO638">
        <v>0</v>
      </c>
      <c r="AP638">
        <v>0.899</v>
      </c>
      <c r="AQ638">
        <v>0.089</v>
      </c>
      <c r="AR638">
        <v>0.024</v>
      </c>
      <c r="AS638" s="3">
        <v>46107.77239583333</v>
      </c>
    </row>
    <row r="639" ht="25.5" customHeight="1">
      <c r="A639" t="inlineStr">
        <is>
          <t>61f5fe0e00000000210227ab</t>
        </is>
      </c>
      <c r="B639" s="2" t="str">
        <f>=HYPERLINK("https://www.xiaohongshu.com/user/profile/61f5fe0e00000000210227ab", "https://www.xiaohongshu.com/user/profile/61f5fe0e00000000210227ab")</f>
        <v>https://www.xiaohongshu.com/user/profile/61f5fe0e00000000210227ab</v>
      </c>
      <c r="C639" s="2" t="str">
        <f>=HYPERLINK("https://pgy.xiaohongshu.com/solar/pre-trade/blogger-detail/61f5fe0e00000000210227ab", "https://pgy.xiaohongshu.com/solar/pre-trade/blogger-detail/61f5fe0e00000000210227ab")</f>
        <v>https://pgy.xiaohongshu.com/solar/pre-trade/blogger-detail/61f5fe0e00000000210227ab</v>
      </c>
      <c r="D639" t="inlineStr">
        <is>
          <t>女</t>
        </is>
      </c>
      <c r="E639" t="inlineStr">
        <is>
          <t>1610062259</t>
        </is>
      </c>
      <c r="F639" t="inlineStr">
        <is>
          <t>momo（每天按800遍CtrlS）</t>
        </is>
      </c>
      <c r="G639" t="inlineStr">
        <is>
          <t>中国 香港</t>
        </is>
      </c>
      <c r="H639" t="inlineStr">
        <is>
          <t>学生</t>
        </is>
      </c>
      <c r="I639" t="inlineStr">
        <is>
          <t>音乐</t>
        </is>
      </c>
      <c r="J639">
        <v>2738</v>
      </c>
      <c r="K639" t="inlineStr">
        <is>
          <t>0.3</t>
        </is>
      </c>
      <c r="L639">
        <v>10859</v>
      </c>
      <c r="M639">
        <v>1726</v>
      </c>
      <c r="N639">
        <v>182</v>
      </c>
      <c r="O639">
        <v>188</v>
      </c>
      <c r="P639">
        <v>0</v>
      </c>
      <c r="Q639">
        <v>0.5</v>
      </c>
      <c r="R639">
        <v>17203</v>
      </c>
      <c r="S639">
        <v>2795</v>
      </c>
      <c r="T639">
        <v>212</v>
      </c>
      <c r="U639">
        <v>0.43</v>
      </c>
      <c r="V639">
        <v>188</v>
      </c>
      <c r="W639">
        <v>0.6</v>
      </c>
      <c r="X639">
        <v>0</v>
      </c>
      <c r="Y639">
        <v>19.09</v>
      </c>
      <c r="Z639">
        <v>0.84</v>
      </c>
      <c r="AA639">
        <v>4516</v>
      </c>
      <c r="AB639">
        <v>658</v>
      </c>
      <c r="AC639">
        <v>86</v>
      </c>
      <c r="AD639">
        <v>1.8</v>
      </c>
      <c r="AE639">
        <v>200</v>
      </c>
      <c r="AF639">
        <v>0.332999999999999</v>
      </c>
      <c r="AG639">
        <v>0</v>
      </c>
      <c r="AH639">
        <v>0.024</v>
      </c>
      <c r="AI639">
        <v>44.29</v>
      </c>
      <c r="AJ639">
        <v>2.2</v>
      </c>
      <c r="AK639">
        <v>2490</v>
      </c>
      <c r="AL639">
        <v>190</v>
      </c>
      <c r="AM639">
        <v>1</v>
      </c>
      <c r="AN639">
        <v>0</v>
      </c>
      <c r="AO639">
        <v>0</v>
      </c>
      <c r="AP639">
        <v>0.833</v>
      </c>
      <c r="AQ639">
        <v>0.033</v>
      </c>
      <c r="AR639">
        <v>0.009</v>
      </c>
      <c r="AS639" s="3">
        <v>46107.77239583333</v>
      </c>
    </row>
    <row r="640" ht="25.5" customHeight="1">
      <c r="A640" t="inlineStr">
        <is>
          <t>6944c8a600000000030123fe</t>
        </is>
      </c>
      <c r="B640" s="2" t="str">
        <f>=HYPERLINK("https://www.xiaohongshu.com/user/profile/6944c8a600000000030123fe", "https://www.xiaohongshu.com/user/profile/6944c8a600000000030123fe")</f>
        <v>https://www.xiaohongshu.com/user/profile/6944c8a600000000030123fe</v>
      </c>
      <c r="C640" s="2" t="str">
        <f>=HYPERLINK("https://pgy.xiaohongshu.com/solar/pre-trade/blogger-detail/6944c8a600000000030123fe", "https://pgy.xiaohongshu.com/solar/pre-trade/blogger-detail/6944c8a600000000030123fe")</f>
        <v>https://pgy.xiaohongshu.com/solar/pre-trade/blogger-detail/6944c8a600000000030123fe</v>
      </c>
      <c r="D640" t="inlineStr">
        <is>
          <t>女</t>
        </is>
      </c>
      <c r="E640" t="inlineStr">
        <is>
          <t>18631952544</t>
        </is>
      </c>
      <c r="F640" t="inlineStr">
        <is>
          <t>小羊测评日记</t>
        </is>
      </c>
      <c r="G640" t="inlineStr">
        <is>
          <t>安徽 阜阳 阜南县</t>
        </is>
      </c>
      <c r="H640"/>
      <c r="I640" t="inlineStr">
        <is>
          <t>科技数码</t>
        </is>
      </c>
      <c r="J640">
        <v>10925</v>
      </c>
      <c r="K640" t="inlineStr">
        <is>
          <t>1.1</t>
        </is>
      </c>
      <c r="L640">
        <v>3971</v>
      </c>
      <c r="M640">
        <v>1824</v>
      </c>
      <c r="N640">
        <v>215</v>
      </c>
      <c r="O640">
        <v>800</v>
      </c>
      <c r="P640">
        <v>0.053</v>
      </c>
      <c r="Q640">
        <v>0.737</v>
      </c>
      <c r="R640">
        <v>0</v>
      </c>
      <c r="S640">
        <v>0</v>
      </c>
      <c r="T640">
        <v>0</v>
      </c>
      <c r="U640">
        <v>0</v>
      </c>
      <c r="V640">
        <v>800</v>
      </c>
      <c r="W640">
        <v>0</v>
      </c>
      <c r="X640">
        <v>0</v>
      </c>
      <c r="Y640">
        <v>0</v>
      </c>
      <c r="Z640">
        <v>0</v>
      </c>
      <c r="AA640">
        <v>3971</v>
      </c>
      <c r="AB640">
        <v>1824</v>
      </c>
      <c r="AC640">
        <v>194</v>
      </c>
      <c r="AD640">
        <v>2.05</v>
      </c>
      <c r="AE640">
        <v>1000</v>
      </c>
      <c r="AF640">
        <v>0.737</v>
      </c>
      <c r="AG640">
        <v>0.053</v>
      </c>
      <c r="AH640">
        <v>0.149</v>
      </c>
      <c r="AI640">
        <v>251.83</v>
      </c>
      <c r="AJ640">
        <v>4.65</v>
      </c>
      <c r="AK640">
        <v>0</v>
      </c>
      <c r="AL640">
        <v>0</v>
      </c>
      <c r="AM640">
        <v>0</v>
      </c>
      <c r="AN640">
        <v>0</v>
      </c>
      <c r="AO640">
        <v>0</v>
      </c>
      <c r="AP640">
        <v>0.985</v>
      </c>
      <c r="AQ640">
        <v>0.156</v>
      </c>
      <c r="AR640">
        <v>0.198999999999999</v>
      </c>
      <c r="AS640" s="3">
        <v>46107.77239583333</v>
      </c>
    </row>
    <row r="641" ht="25.5" customHeight="1">
      <c r="A641" t="inlineStr">
        <is>
          <t>5bf2af50c451410001c7e51c</t>
        </is>
      </c>
      <c r="B641" s="2" t="str">
        <f>=HYPERLINK("https://www.xiaohongshu.com/user/profile/5bf2af50c451410001c7e51c", "https://www.xiaohongshu.com/user/profile/5bf2af50c451410001c7e51c")</f>
        <v>https://www.xiaohongshu.com/user/profile/5bf2af50c451410001c7e51c</v>
      </c>
      <c r="C641" s="2" t="str">
        <f>=HYPERLINK("https://pgy.xiaohongshu.com/solar/pre-trade/blogger-detail/5bf2af50c451410001c7e51c", "https://pgy.xiaohongshu.com/solar/pre-trade/blogger-detail/5bf2af50c451410001c7e51c")</f>
        <v>https://pgy.xiaohongshu.com/solar/pre-trade/blogger-detail/5bf2af50c451410001c7e51c</v>
      </c>
      <c r="D641" t="inlineStr">
        <is>
          <t>女</t>
        </is>
      </c>
      <c r="E641" t="inlineStr">
        <is>
          <t>159164953</t>
        </is>
      </c>
      <c r="F641" t="inlineStr">
        <is>
          <t>曼迪</t>
        </is>
      </c>
      <c r="G641" t="inlineStr">
        <is>
          <t>上海</t>
        </is>
      </c>
      <c r="H641" t="inlineStr">
        <is>
          <t>留学背景, 外国人</t>
        </is>
      </c>
      <c r="I641" t="inlineStr">
        <is>
          <t>教育</t>
        </is>
      </c>
      <c r="J641">
        <v>8509</v>
      </c>
      <c r="K641" t="inlineStr">
        <is>
          <t>0.9</t>
        </is>
      </c>
      <c r="L641">
        <v>17962</v>
      </c>
      <c r="M641">
        <v>3054</v>
      </c>
      <c r="N641">
        <v>370</v>
      </c>
      <c r="O641">
        <v>450</v>
      </c>
      <c r="P641">
        <v>0</v>
      </c>
      <c r="Q641">
        <v>0.8</v>
      </c>
      <c r="R641">
        <v>0</v>
      </c>
      <c r="S641">
        <v>0</v>
      </c>
      <c r="T641">
        <v>0</v>
      </c>
      <c r="U641">
        <v>0</v>
      </c>
      <c r="V641">
        <v>450</v>
      </c>
      <c r="W641">
        <v>0</v>
      </c>
      <c r="X641">
        <v>0</v>
      </c>
      <c r="Y641">
        <v>0</v>
      </c>
      <c r="Z641">
        <v>0</v>
      </c>
      <c r="AA641">
        <v>17962</v>
      </c>
      <c r="AB641">
        <v>3054</v>
      </c>
      <c r="AC641">
        <v>325</v>
      </c>
      <c r="AD641">
        <v>1.72</v>
      </c>
      <c r="AE641">
        <v>600</v>
      </c>
      <c r="AF641">
        <v>0.8</v>
      </c>
      <c r="AG641">
        <v>0</v>
      </c>
      <c r="AH641">
        <v>0.163999999999999</v>
      </c>
      <c r="AI641">
        <v>36.46</v>
      </c>
      <c r="AJ641">
        <v>1.64</v>
      </c>
      <c r="AK641">
        <v>994</v>
      </c>
      <c r="AL641">
        <v>233</v>
      </c>
      <c r="AM641">
        <v>19</v>
      </c>
      <c r="AN641">
        <v>0</v>
      </c>
      <c r="AO641">
        <v>0</v>
      </c>
      <c r="AP641">
        <v>0.902</v>
      </c>
      <c r="AQ641">
        <v>0.075</v>
      </c>
      <c r="AR641">
        <v>0.067</v>
      </c>
      <c r="AS641" s="3">
        <v>46107.77260416667</v>
      </c>
    </row>
    <row r="642" ht="25.5" customHeight="1">
      <c r="A642" t="inlineStr">
        <is>
          <t>67e3bb19000000000d0083cc</t>
        </is>
      </c>
      <c r="B642" s="2" t="str">
        <f>=HYPERLINK("https://www.xiaohongshu.com/user/profile/67e3bb19000000000d0083cc", "https://www.xiaohongshu.com/user/profile/67e3bb19000000000d0083cc")</f>
        <v>https://www.xiaohongshu.com/user/profile/67e3bb19000000000d0083cc</v>
      </c>
      <c r="C642" s="2" t="str">
        <f>=HYPERLINK("https://pgy.xiaohongshu.com/solar/pre-trade/blogger-detail/67e3bb19000000000d0083cc", "https://pgy.xiaohongshu.com/solar/pre-trade/blogger-detail/67e3bb19000000000d0083cc")</f>
        <v>https://pgy.xiaohongshu.com/solar/pre-trade/blogger-detail/67e3bb19000000000d0083cc</v>
      </c>
      <c r="D642" t="inlineStr">
        <is>
          <t>男</t>
        </is>
      </c>
      <c r="E642" t="inlineStr">
        <is>
          <t>Alexi_f_r</t>
        </is>
      </c>
      <c r="F642" t="inlineStr">
        <is>
          <t>加希说法语</t>
        </is>
      </c>
      <c r="G642" t="inlineStr">
        <is>
          <t>四川 德阳 旌阳区</t>
        </is>
      </c>
      <c r="H642" t="inlineStr">
        <is>
          <t>留学背景</t>
        </is>
      </c>
      <c r="I642" t="inlineStr">
        <is>
          <t>教育</t>
        </is>
      </c>
      <c r="J642">
        <v>22593</v>
      </c>
      <c r="K642" t="inlineStr">
        <is>
          <t>2.3</t>
        </is>
      </c>
      <c r="L642">
        <v>31100</v>
      </c>
      <c r="M642">
        <v>3695</v>
      </c>
      <c r="N642">
        <v>403</v>
      </c>
      <c r="O642">
        <v>248</v>
      </c>
      <c r="P642">
        <v>0.2</v>
      </c>
      <c r="Q642">
        <v>0.6</v>
      </c>
      <c r="R642">
        <v>0</v>
      </c>
      <c r="S642">
        <v>0</v>
      </c>
      <c r="T642">
        <v>0</v>
      </c>
      <c r="U642">
        <v>0</v>
      </c>
      <c r="V642">
        <v>248</v>
      </c>
      <c r="W642">
        <v>0</v>
      </c>
      <c r="X642">
        <v>0</v>
      </c>
      <c r="Y642">
        <v>0</v>
      </c>
      <c r="Z642">
        <v>0</v>
      </c>
      <c r="AA642">
        <v>31100</v>
      </c>
      <c r="AB642">
        <v>3695</v>
      </c>
      <c r="AC642">
        <v>301</v>
      </c>
      <c r="AD642">
        <v>2.09</v>
      </c>
      <c r="AE642">
        <v>2188</v>
      </c>
      <c r="AF642">
        <v>0.6</v>
      </c>
      <c r="AG642">
        <v>0.2</v>
      </c>
      <c r="AH642">
        <v>0.154</v>
      </c>
      <c r="AI642">
        <v>70.35</v>
      </c>
      <c r="AJ642">
        <v>5.43</v>
      </c>
      <c r="AK642">
        <v>0</v>
      </c>
      <c r="AL642">
        <v>0</v>
      </c>
      <c r="AM642">
        <v>0</v>
      </c>
      <c r="AN642">
        <v>0</v>
      </c>
      <c r="AO642">
        <v>0</v>
      </c>
      <c r="AP642">
        <v>0.929</v>
      </c>
      <c r="AQ642">
        <v>0.047</v>
      </c>
      <c r="AR642">
        <v>0.055</v>
      </c>
      <c r="AS642" s="3">
        <v>46107.77260416667</v>
      </c>
    </row>
    <row r="643" ht="25.5" customHeight="1">
      <c r="A643" t="inlineStr">
        <is>
          <t>5f31d988000000000101d706</t>
        </is>
      </c>
      <c r="B643" s="2" t="str">
        <f>=HYPERLINK("https://www.xiaohongshu.com/user/profile/5f31d988000000000101d706", "https://www.xiaohongshu.com/user/profile/5f31d988000000000101d706")</f>
        <v>https://www.xiaohongshu.com/user/profile/5f31d988000000000101d706</v>
      </c>
      <c r="C643" s="2" t="str">
        <f>=HYPERLINK("https://pgy.xiaohongshu.com/solar/pre-trade/blogger-detail/5f31d988000000000101d706", "https://pgy.xiaohongshu.com/solar/pre-trade/blogger-detail/5f31d988000000000101d706")</f>
        <v>https://pgy.xiaohongshu.com/solar/pre-trade/blogger-detail/5f31d988000000000101d706</v>
      </c>
      <c r="D643" t="inlineStr">
        <is>
          <t>女</t>
        </is>
      </c>
      <c r="E643" t="inlineStr">
        <is>
          <t>854365445</t>
        </is>
      </c>
      <c r="F643" t="inlineStr">
        <is>
          <t>vv是薇薇</t>
        </is>
      </c>
      <c r="G643" t="inlineStr">
        <is>
          <t>河北 唐山 路南区</t>
        </is>
      </c>
      <c r="H643" t="inlineStr">
        <is>
          <t>学生</t>
        </is>
      </c>
      <c r="I643" t="inlineStr">
        <is>
          <t>教育</t>
        </is>
      </c>
      <c r="J643">
        <v>2583</v>
      </c>
      <c r="K643" t="inlineStr">
        <is>
          <t>0.3</t>
        </is>
      </c>
      <c r="L643">
        <v>4039</v>
      </c>
      <c r="M643">
        <v>2842</v>
      </c>
      <c r="N643">
        <v>499</v>
      </c>
      <c r="O643">
        <v>170</v>
      </c>
      <c r="P643">
        <v>0.125</v>
      </c>
      <c r="Q643">
        <v>0.625</v>
      </c>
      <c r="R643">
        <v>0</v>
      </c>
      <c r="S643">
        <v>0</v>
      </c>
      <c r="T643">
        <v>0</v>
      </c>
      <c r="U643">
        <v>0</v>
      </c>
      <c r="V643">
        <v>170</v>
      </c>
      <c r="W643">
        <v>0</v>
      </c>
      <c r="X643">
        <v>0</v>
      </c>
      <c r="Y643">
        <v>0</v>
      </c>
      <c r="Z643">
        <v>0</v>
      </c>
      <c r="AA643">
        <v>4039</v>
      </c>
      <c r="AB643">
        <v>2842</v>
      </c>
      <c r="AC643">
        <v>468</v>
      </c>
      <c r="AD643">
        <v>1.68</v>
      </c>
      <c r="AE643">
        <v>300</v>
      </c>
      <c r="AF643">
        <v>0.625</v>
      </c>
      <c r="AG643">
        <v>0.125</v>
      </c>
      <c r="AH643">
        <v>0.034</v>
      </c>
      <c r="AI643">
        <v>103.95</v>
      </c>
      <c r="AJ643">
        <v>0.78</v>
      </c>
      <c r="AK643">
        <v>1213</v>
      </c>
      <c r="AL643">
        <v>125</v>
      </c>
      <c r="AM643">
        <v>21</v>
      </c>
      <c r="AN643">
        <v>0</v>
      </c>
      <c r="AO643">
        <v>0</v>
      </c>
      <c r="AP643">
        <v>0.904</v>
      </c>
      <c r="AQ643">
        <v>0.23</v>
      </c>
      <c r="AR643">
        <v>0</v>
      </c>
      <c r="AS643" s="3">
        <v>46107.77260416667</v>
      </c>
    </row>
    <row r="644" ht="25.5" customHeight="1">
      <c r="A644" t="inlineStr">
        <is>
          <t>5f78360f00000000010022cb</t>
        </is>
      </c>
      <c r="B644" s="2" t="str">
        <f>=HYPERLINK("https://www.xiaohongshu.com/user/profile/5f78360f00000000010022cb", "https://www.xiaohongshu.com/user/profile/5f78360f00000000010022cb")</f>
        <v>https://www.xiaohongshu.com/user/profile/5f78360f00000000010022cb</v>
      </c>
      <c r="C644" s="2" t="str">
        <f>=HYPERLINK("https://pgy.xiaohongshu.com/solar/pre-trade/blogger-detail/5f78360f00000000010022cb", "https://pgy.xiaohongshu.com/solar/pre-trade/blogger-detail/5f78360f00000000010022cb")</f>
        <v>https://pgy.xiaohongshu.com/solar/pre-trade/blogger-detail/5f78360f00000000010022cb</v>
      </c>
      <c r="D644" t="inlineStr">
        <is>
          <t>女</t>
        </is>
      </c>
      <c r="E644" t="inlineStr">
        <is>
          <t>732419990</t>
        </is>
      </c>
      <c r="F644" t="inlineStr">
        <is>
          <t>招牌蓝莓奶茶</t>
        </is>
      </c>
      <c r="G644" t="inlineStr">
        <is>
          <t>广东 广州 白云区</t>
        </is>
      </c>
      <c r="H644" t="inlineStr">
        <is>
          <t>考研过来人, 学生</t>
        </is>
      </c>
      <c r="I644" t="inlineStr">
        <is>
          <t>教育</t>
        </is>
      </c>
      <c r="J644">
        <v>4193</v>
      </c>
      <c r="K644" t="inlineStr">
        <is>
          <t>0.4</t>
        </is>
      </c>
      <c r="L644">
        <v>5573</v>
      </c>
      <c r="M644">
        <v>739</v>
      </c>
      <c r="N644">
        <v>151</v>
      </c>
      <c r="O644">
        <v>200</v>
      </c>
      <c r="P644">
        <v>0</v>
      </c>
      <c r="Q644">
        <v>0.5</v>
      </c>
      <c r="R644">
        <v>5573</v>
      </c>
      <c r="S644">
        <v>739</v>
      </c>
      <c r="T644">
        <v>128</v>
      </c>
      <c r="U644">
        <v>0.9</v>
      </c>
      <c r="V644">
        <v>200</v>
      </c>
      <c r="W644">
        <v>0.5</v>
      </c>
      <c r="X644">
        <v>0</v>
      </c>
      <c r="Y644">
        <v>41.45</v>
      </c>
      <c r="Z644">
        <v>10.53</v>
      </c>
      <c r="AA644">
        <v>0</v>
      </c>
      <c r="AB644">
        <v>0</v>
      </c>
      <c r="AC644">
        <v>0</v>
      </c>
      <c r="AD644">
        <v>0</v>
      </c>
      <c r="AE644">
        <v>298</v>
      </c>
      <c r="AF644">
        <v>0</v>
      </c>
      <c r="AG644">
        <v>0</v>
      </c>
      <c r="AH644">
        <v>0</v>
      </c>
      <c r="AI644">
        <v>0</v>
      </c>
      <c r="AJ644">
        <v>0</v>
      </c>
      <c r="AK644">
        <v>4825</v>
      </c>
      <c r="AL644">
        <v>181</v>
      </c>
      <c r="AM644">
        <v>7</v>
      </c>
      <c r="AN644">
        <v>0</v>
      </c>
      <c r="AO644">
        <v>5.45</v>
      </c>
      <c r="AP644">
        <v>0.851</v>
      </c>
      <c r="AQ644">
        <v>0.057</v>
      </c>
      <c r="AR644">
        <v>0.048</v>
      </c>
      <c r="AS644" s="3">
        <v>46107.77260416667</v>
      </c>
    </row>
    <row r="645" ht="25.5" customHeight="1">
      <c r="A645" t="inlineStr">
        <is>
          <t>61d6eebe000000001000da39</t>
        </is>
      </c>
      <c r="B645" s="2" t="str">
        <f>=HYPERLINK("https://www.xiaohongshu.com/user/profile/61d6eebe000000001000da39", "https://www.xiaohongshu.com/user/profile/61d6eebe000000001000da39")</f>
        <v>https://www.xiaohongshu.com/user/profile/61d6eebe000000001000da39</v>
      </c>
      <c r="C645" s="2" t="str">
        <f>=HYPERLINK("https://pgy.xiaohongshu.com/solar/pre-trade/blogger-detail/61d6eebe000000001000da39", "https://pgy.xiaohongshu.com/solar/pre-trade/blogger-detail/61d6eebe000000001000da39")</f>
        <v>https://pgy.xiaohongshu.com/solar/pre-trade/blogger-detail/61d6eebe000000001000da39</v>
      </c>
      <c r="D645" t="inlineStr">
        <is>
          <t>女</t>
        </is>
      </c>
      <c r="E645" t="inlineStr">
        <is>
          <t>1475030409</t>
        </is>
      </c>
      <c r="F645" t="inlineStr">
        <is>
          <t>考拉不吃桉树叶🐨</t>
        </is>
      </c>
      <c r="G645" t="inlineStr">
        <is>
          <t>北京</t>
        </is>
      </c>
      <c r="H645"/>
      <c r="I645" t="inlineStr">
        <is>
          <t>职场, 教育</t>
        </is>
      </c>
      <c r="J645">
        <v>3810</v>
      </c>
      <c r="K645" t="inlineStr">
        <is>
          <t>0.4</t>
        </is>
      </c>
      <c r="L645">
        <v>54514</v>
      </c>
      <c r="M645">
        <v>7191</v>
      </c>
      <c r="N645">
        <v>2453</v>
      </c>
      <c r="O645">
        <v>500</v>
      </c>
      <c r="P645">
        <v>0.5</v>
      </c>
      <c r="Q645">
        <v>0.5</v>
      </c>
      <c r="R645">
        <v>54514</v>
      </c>
      <c r="S645">
        <v>7191</v>
      </c>
      <c r="T645">
        <v>2383</v>
      </c>
      <c r="U645">
        <v>1.77</v>
      </c>
      <c r="V645">
        <v>500</v>
      </c>
      <c r="W645">
        <v>0.5</v>
      </c>
      <c r="X645">
        <v>0.5</v>
      </c>
      <c r="Y645">
        <v>156.2</v>
      </c>
      <c r="Z645">
        <v>9.43</v>
      </c>
      <c r="AA645">
        <v>0</v>
      </c>
      <c r="AB645">
        <v>0</v>
      </c>
      <c r="AC645">
        <v>0</v>
      </c>
      <c r="AD645">
        <v>0</v>
      </c>
      <c r="AE645">
        <v>700</v>
      </c>
      <c r="AF645">
        <v>0</v>
      </c>
      <c r="AG645">
        <v>0</v>
      </c>
      <c r="AH645">
        <v>0</v>
      </c>
      <c r="AI645">
        <v>0</v>
      </c>
      <c r="AJ645">
        <v>0</v>
      </c>
      <c r="AK645">
        <v>3201</v>
      </c>
      <c r="AL645">
        <v>340</v>
      </c>
      <c r="AM645">
        <v>46</v>
      </c>
      <c r="AN645">
        <v>0</v>
      </c>
      <c r="AO645">
        <v>0</v>
      </c>
      <c r="AP645">
        <v>0.914</v>
      </c>
      <c r="AQ645">
        <v>0.044</v>
      </c>
      <c r="AR645">
        <v>0.05</v>
      </c>
      <c r="AS645" s="3">
        <v>46107.77260416667</v>
      </c>
    </row>
    <row r="646" ht="25.5" customHeight="1">
      <c r="A646" t="inlineStr">
        <is>
          <t>5b22571711be102c418de5dd</t>
        </is>
      </c>
      <c r="B646" s="2" t="str">
        <f>=HYPERLINK("https://www.xiaohongshu.com/user/profile/5b22571711be102c418de5dd", "https://www.xiaohongshu.com/user/profile/5b22571711be102c418de5dd")</f>
        <v>https://www.xiaohongshu.com/user/profile/5b22571711be102c418de5dd</v>
      </c>
      <c r="C646" s="2" t="str">
        <f>=HYPERLINK("https://pgy.xiaohongshu.com/solar/pre-trade/blogger-detail/5b22571711be102c418de5dd", "https://pgy.xiaohongshu.com/solar/pre-trade/blogger-detail/5b22571711be102c418de5dd")</f>
        <v>https://pgy.xiaohongshu.com/solar/pre-trade/blogger-detail/5b22571711be102c418de5dd</v>
      </c>
      <c r="D646" t="inlineStr">
        <is>
          <t>男</t>
        </is>
      </c>
      <c r="E646" t="inlineStr">
        <is>
          <t>javivi</t>
        </is>
      </c>
      <c r="F646" t="inlineStr">
        <is>
          <t>我是Javi</t>
        </is>
      </c>
      <c r="G646" t="inlineStr">
        <is>
          <t>浙江 杭州 余杭区</t>
        </is>
      </c>
      <c r="H646" t="inlineStr">
        <is>
          <t>留学背景, 翻译</t>
        </is>
      </c>
      <c r="I646" t="inlineStr">
        <is>
          <t>教育</t>
        </is>
      </c>
      <c r="J646">
        <v>16154</v>
      </c>
      <c r="K646" t="inlineStr">
        <is>
          <t>1.6</t>
        </is>
      </c>
      <c r="L646">
        <v>14400</v>
      </c>
      <c r="M646">
        <v>2315</v>
      </c>
      <c r="N646">
        <v>242</v>
      </c>
      <c r="O646">
        <v>500</v>
      </c>
      <c r="P646">
        <v>0</v>
      </c>
      <c r="Q646">
        <v>0.6</v>
      </c>
      <c r="R646">
        <v>0</v>
      </c>
      <c r="S646">
        <v>0</v>
      </c>
      <c r="T646">
        <v>0</v>
      </c>
      <c r="U646">
        <v>0</v>
      </c>
      <c r="V646">
        <v>500</v>
      </c>
      <c r="W646">
        <v>0</v>
      </c>
      <c r="X646">
        <v>0</v>
      </c>
      <c r="Y646">
        <v>0</v>
      </c>
      <c r="Z646">
        <v>0</v>
      </c>
      <c r="AA646">
        <v>14400</v>
      </c>
      <c r="AB646">
        <v>2315</v>
      </c>
      <c r="AC646">
        <v>164</v>
      </c>
      <c r="AD646">
        <v>2.05</v>
      </c>
      <c r="AE646">
        <v>1272</v>
      </c>
      <c r="AF646">
        <v>0.6</v>
      </c>
      <c r="AG646">
        <v>0</v>
      </c>
      <c r="AH646">
        <v>0.242</v>
      </c>
      <c r="AI646">
        <v>88.33</v>
      </c>
      <c r="AJ646">
        <v>5.26</v>
      </c>
      <c r="AK646">
        <v>0</v>
      </c>
      <c r="AL646">
        <v>0</v>
      </c>
      <c r="AM646">
        <v>0</v>
      </c>
      <c r="AN646">
        <v>0</v>
      </c>
      <c r="AO646">
        <v>0</v>
      </c>
      <c r="AP646">
        <v>0.818</v>
      </c>
      <c r="AQ646">
        <v>0.018</v>
      </c>
      <c r="AR646">
        <v>0.013</v>
      </c>
      <c r="AS646" s="3">
        <v>46107.77260416667</v>
      </c>
    </row>
    <row r="647" ht="25.5" customHeight="1">
      <c r="A647" t="inlineStr">
        <is>
          <t>63c8e6e5000000002702bec9</t>
        </is>
      </c>
      <c r="B647" s="2" t="str">
        <f>=HYPERLINK("https://www.xiaohongshu.com/user/profile/63c8e6e5000000002702bec9", "https://www.xiaohongshu.com/user/profile/63c8e6e5000000002702bec9")</f>
        <v>https://www.xiaohongshu.com/user/profile/63c8e6e5000000002702bec9</v>
      </c>
      <c r="C647" s="2" t="str">
        <f>=HYPERLINK("https://pgy.xiaohongshu.com/solar/pre-trade/blogger-detail/63c8e6e5000000002702bec9", "https://pgy.xiaohongshu.com/solar/pre-trade/blogger-detail/63c8e6e5000000002702bec9")</f>
        <v>https://pgy.xiaohongshu.com/solar/pre-trade/blogger-detail/63c8e6e5000000002702bec9</v>
      </c>
      <c r="D647" t="inlineStr">
        <is>
          <t>女</t>
        </is>
      </c>
      <c r="E647" t="inlineStr">
        <is>
          <t>5018895896</t>
        </is>
      </c>
      <c r="F647" t="inlineStr">
        <is>
          <t>Schnee</t>
        </is>
      </c>
      <c r="G647" t="inlineStr">
        <is>
          <t>江苏 南京 秦淮区</t>
        </is>
      </c>
      <c r="H647" t="inlineStr">
        <is>
          <t>考研过来人, 学生</t>
        </is>
      </c>
      <c r="I647" t="inlineStr">
        <is>
          <t>教育</t>
        </is>
      </c>
      <c r="J647">
        <v>1359</v>
      </c>
      <c r="K647" t="inlineStr">
        <is>
          <t>0.1</t>
        </is>
      </c>
      <c r="L647">
        <v>49128</v>
      </c>
      <c r="M647">
        <v>9371</v>
      </c>
      <c r="N647">
        <v>1485</v>
      </c>
      <c r="O647">
        <v>100</v>
      </c>
      <c r="P647">
        <v>0.308</v>
      </c>
      <c r="Q647">
        <v>0.922999999999999</v>
      </c>
      <c r="R647">
        <v>49128</v>
      </c>
      <c r="S647">
        <v>9371</v>
      </c>
      <c r="T647">
        <v>1289</v>
      </c>
      <c r="U647">
        <v>0.31</v>
      </c>
      <c r="V647">
        <v>100</v>
      </c>
      <c r="W647">
        <v>0.922999999999999</v>
      </c>
      <c r="X647">
        <v>0.308</v>
      </c>
      <c r="Y647">
        <v>2.24</v>
      </c>
      <c r="Z647">
        <v>0.07</v>
      </c>
      <c r="AA647">
        <v>0</v>
      </c>
      <c r="AB647">
        <v>0</v>
      </c>
      <c r="AC647">
        <v>0</v>
      </c>
      <c r="AD647">
        <v>0</v>
      </c>
      <c r="AE647">
        <v>400</v>
      </c>
      <c r="AF647">
        <v>0</v>
      </c>
      <c r="AG647">
        <v>0</v>
      </c>
      <c r="AH647">
        <v>0</v>
      </c>
      <c r="AI647">
        <v>0</v>
      </c>
      <c r="AJ647">
        <v>0</v>
      </c>
      <c r="AK647">
        <v>1032</v>
      </c>
      <c r="AL647">
        <v>66</v>
      </c>
      <c r="AM647">
        <v>5</v>
      </c>
      <c r="AN647">
        <v>0</v>
      </c>
      <c r="AO647">
        <v>0</v>
      </c>
      <c r="AP647">
        <v>0.973</v>
      </c>
      <c r="AQ647">
        <v>0.754</v>
      </c>
      <c r="AR647">
        <v>0</v>
      </c>
      <c r="AS647" s="3">
        <v>46107.77260416667</v>
      </c>
    </row>
    <row r="648" ht="25.5" customHeight="1">
      <c r="A648" t="inlineStr">
        <is>
          <t>6932a0e200000000370095db</t>
        </is>
      </c>
      <c r="B648" s="2" t="str">
        <f>=HYPERLINK("https://www.xiaohongshu.com/user/profile/6932a0e200000000370095db", "https://www.xiaohongshu.com/user/profile/6932a0e200000000370095db")</f>
        <v>https://www.xiaohongshu.com/user/profile/6932a0e200000000370095db</v>
      </c>
      <c r="C648" s="2" t="str">
        <f>=HYPERLINK("https://pgy.xiaohongshu.com/solar/pre-trade/blogger-detail/6932a0e200000000370095db", "https://pgy.xiaohongshu.com/solar/pre-trade/blogger-detail/6932a0e200000000370095db")</f>
        <v>https://pgy.xiaohongshu.com/solar/pre-trade/blogger-detail/6932a0e200000000370095db</v>
      </c>
      <c r="D648" t="inlineStr">
        <is>
          <t>男</t>
        </is>
      </c>
      <c r="E648" t="inlineStr">
        <is>
          <t>95109030108</t>
        </is>
      </c>
      <c r="F648" t="inlineStr">
        <is>
          <t>xp轻松英语小课堂</t>
        </is>
      </c>
      <c r="G648" t="inlineStr">
        <is>
          <t>广东 广州 天河区</t>
        </is>
      </c>
      <c r="H648"/>
      <c r="I648" t="inlineStr">
        <is>
          <t>教育</t>
        </is>
      </c>
      <c r="J648">
        <v>17262</v>
      </c>
      <c r="K648" t="inlineStr">
        <is>
          <t>1.7</t>
        </is>
      </c>
      <c r="L648">
        <v>3792</v>
      </c>
      <c r="M648">
        <v>1974</v>
      </c>
      <c r="N648">
        <v>119</v>
      </c>
      <c r="O648">
        <v>225</v>
      </c>
      <c r="P648">
        <v>0.017</v>
      </c>
      <c r="Q648">
        <v>0.136</v>
      </c>
      <c r="R648">
        <v>0</v>
      </c>
      <c r="S648">
        <v>0</v>
      </c>
      <c r="T648">
        <v>0</v>
      </c>
      <c r="U648">
        <v>0</v>
      </c>
      <c r="V648">
        <v>225</v>
      </c>
      <c r="W648">
        <v>0</v>
      </c>
      <c r="X648">
        <v>0</v>
      </c>
      <c r="Y648">
        <v>0</v>
      </c>
      <c r="Z648">
        <v>0</v>
      </c>
      <c r="AA648">
        <v>3792</v>
      </c>
      <c r="AB648">
        <v>1974</v>
      </c>
      <c r="AC648">
        <v>104</v>
      </c>
      <c r="AD648">
        <v>2.6</v>
      </c>
      <c r="AE648">
        <v>2167</v>
      </c>
      <c r="AF648">
        <v>0.136</v>
      </c>
      <c r="AG648">
        <v>0.017</v>
      </c>
      <c r="AH648">
        <v>0.163</v>
      </c>
      <c r="AI648">
        <v>571.47</v>
      </c>
      <c r="AJ648">
        <v>18.21</v>
      </c>
      <c r="AK648">
        <v>0</v>
      </c>
      <c r="AL648">
        <v>0</v>
      </c>
      <c r="AM648">
        <v>0</v>
      </c>
      <c r="AN648">
        <v>0</v>
      </c>
      <c r="AO648">
        <v>0</v>
      </c>
      <c r="AP648">
        <v>0.986</v>
      </c>
      <c r="AQ648">
        <v>0.074</v>
      </c>
      <c r="AR648">
        <v>0.168</v>
      </c>
      <c r="AS648" s="3">
        <v>46107.77260416667</v>
      </c>
    </row>
    <row r="649" ht="25.5" customHeight="1">
      <c r="A649" t="inlineStr">
        <is>
          <t>5f49a4190000000001004f89</t>
        </is>
      </c>
      <c r="B649" s="2" t="str">
        <f>=HYPERLINK("https://www.xiaohongshu.com/user/profile/5f49a4190000000001004f89", "https://www.xiaohongshu.com/user/profile/5f49a4190000000001004f89")</f>
        <v>https://www.xiaohongshu.com/user/profile/5f49a4190000000001004f89</v>
      </c>
      <c r="C649" s="2" t="str">
        <f>=HYPERLINK("https://pgy.xiaohongshu.com/solar/pre-trade/blogger-detail/5f49a4190000000001004f89", "https://pgy.xiaohongshu.com/solar/pre-trade/blogger-detail/5f49a4190000000001004f89")</f>
        <v>https://pgy.xiaohongshu.com/solar/pre-trade/blogger-detail/5f49a4190000000001004f89</v>
      </c>
      <c r="D649" t="inlineStr">
        <is>
          <t>男</t>
        </is>
      </c>
      <c r="E649" t="inlineStr">
        <is>
          <t>858285279</t>
        </is>
      </c>
      <c r="F649" t="inlineStr">
        <is>
          <t>木川</t>
        </is>
      </c>
      <c r="G649" t="inlineStr">
        <is>
          <t>浙江 宁波 鄞州区</t>
        </is>
      </c>
      <c r="H649" t="inlineStr">
        <is>
          <t>学生</t>
        </is>
      </c>
      <c r="I649" t="inlineStr">
        <is>
          <t>美食</t>
        </is>
      </c>
      <c r="J649">
        <v>3136</v>
      </c>
      <c r="K649" t="inlineStr">
        <is>
          <t>0.3</t>
        </is>
      </c>
      <c r="L649">
        <v>4994</v>
      </c>
      <c r="M649">
        <v>923</v>
      </c>
      <c r="N649">
        <v>101</v>
      </c>
      <c r="O649">
        <v>300</v>
      </c>
      <c r="P649">
        <v>0</v>
      </c>
      <c r="Q649">
        <v>0</v>
      </c>
      <c r="R649">
        <v>4994</v>
      </c>
      <c r="S649">
        <v>923</v>
      </c>
      <c r="T649">
        <v>80</v>
      </c>
      <c r="U649">
        <v>0.67</v>
      </c>
      <c r="V649">
        <v>345</v>
      </c>
      <c r="W649">
        <v>0</v>
      </c>
      <c r="X649">
        <v>0</v>
      </c>
      <c r="Y649">
        <v>71.12</v>
      </c>
      <c r="Z649">
        <v>3.52</v>
      </c>
      <c r="AA649">
        <v>0</v>
      </c>
      <c r="AB649">
        <v>0</v>
      </c>
      <c r="AC649">
        <v>0</v>
      </c>
      <c r="AD649">
        <v>0</v>
      </c>
      <c r="AE649">
        <v>300</v>
      </c>
      <c r="AF649">
        <v>0</v>
      </c>
      <c r="AG649">
        <v>0</v>
      </c>
      <c r="AH649">
        <v>0</v>
      </c>
      <c r="AI649">
        <v>0</v>
      </c>
      <c r="AJ649">
        <v>0</v>
      </c>
      <c r="AK649">
        <v>2653</v>
      </c>
      <c r="AL649">
        <v>361</v>
      </c>
      <c r="AM649">
        <v>26</v>
      </c>
      <c r="AN649">
        <v>0</v>
      </c>
      <c r="AO649">
        <v>0</v>
      </c>
      <c r="AP649">
        <v>0.750999999999999</v>
      </c>
      <c r="AQ649">
        <v>0.0559999999999999</v>
      </c>
      <c r="AR649">
        <v>0.003</v>
      </c>
      <c r="AS649" s="3">
        <v>46107.77260416667</v>
      </c>
    </row>
    <row r="650" ht="25.5" customHeight="1">
      <c r="A650" t="inlineStr">
        <is>
          <t>5c9b69aa000000001103ffec</t>
        </is>
      </c>
      <c r="B650" s="2" t="str">
        <f>=HYPERLINK("https://www.xiaohongshu.com/user/profile/5c9b69aa000000001103ffec", "https://www.xiaohongshu.com/user/profile/5c9b69aa000000001103ffec")</f>
        <v>https://www.xiaohongshu.com/user/profile/5c9b69aa000000001103ffec</v>
      </c>
      <c r="C650" s="2" t="str">
        <f>=HYPERLINK("https://pgy.xiaohongshu.com/solar/pre-trade/blogger-detail/5c9b69aa000000001103ffec", "https://pgy.xiaohongshu.com/solar/pre-trade/blogger-detail/5c9b69aa000000001103ffec")</f>
        <v>https://pgy.xiaohongshu.com/solar/pre-trade/blogger-detail/5c9b69aa000000001103ffec</v>
      </c>
      <c r="D650" t="inlineStr">
        <is>
          <t>男</t>
        </is>
      </c>
      <c r="E650" t="inlineStr">
        <is>
          <t>617442854</t>
        </is>
      </c>
      <c r="F650" t="inlineStr">
        <is>
          <t>刘兑</t>
        </is>
      </c>
      <c r="G650" t="inlineStr">
        <is>
          <t>英国</t>
        </is>
      </c>
      <c r="H650" t="inlineStr">
        <is>
          <t>户外爱好者, 数码爱好者, 学生, 独居人群, 留学背景</t>
        </is>
      </c>
      <c r="I650" t="inlineStr">
        <is>
          <t>教育</t>
        </is>
      </c>
      <c r="J650">
        <v>124550</v>
      </c>
      <c r="K650" t="inlineStr">
        <is>
          <t>12.5</t>
        </is>
      </c>
      <c r="L650">
        <v>233358</v>
      </c>
      <c r="M650">
        <v>42767</v>
      </c>
      <c r="N650">
        <v>4599</v>
      </c>
      <c r="O650">
        <v>20000</v>
      </c>
      <c r="P650">
        <v>1</v>
      </c>
      <c r="Q650">
        <v>1</v>
      </c>
      <c r="R650">
        <v>0</v>
      </c>
      <c r="S650">
        <v>0</v>
      </c>
      <c r="T650">
        <v>0</v>
      </c>
      <c r="U650">
        <v>0</v>
      </c>
      <c r="V650">
        <v>20000</v>
      </c>
      <c r="W650">
        <v>0</v>
      </c>
      <c r="X650">
        <v>0</v>
      </c>
      <c r="Y650">
        <v>0</v>
      </c>
      <c r="Z650">
        <v>0</v>
      </c>
      <c r="AA650">
        <v>233358</v>
      </c>
      <c r="AB650">
        <v>42767</v>
      </c>
      <c r="AC650">
        <v>4175</v>
      </c>
      <c r="AD650">
        <v>2.2</v>
      </c>
      <c r="AE650">
        <v>30000</v>
      </c>
      <c r="AF650">
        <v>1</v>
      </c>
      <c r="AG650">
        <v>1</v>
      </c>
      <c r="AH650">
        <v>0.063</v>
      </c>
      <c r="AI650">
        <v>128.56</v>
      </c>
      <c r="AJ650">
        <v>6.52</v>
      </c>
      <c r="AK650">
        <v>0</v>
      </c>
      <c r="AL650">
        <v>0</v>
      </c>
      <c r="AM650">
        <v>0</v>
      </c>
      <c r="AN650">
        <v>0</v>
      </c>
      <c r="AO650">
        <v>0</v>
      </c>
      <c r="AP650">
        <v>0.827</v>
      </c>
      <c r="AQ650">
        <v>0.064</v>
      </c>
      <c r="AR650">
        <v>0.054</v>
      </c>
      <c r="AS650" s="3">
        <v>46107.77260416667</v>
      </c>
    </row>
    <row r="651" ht="25.5" customHeight="1">
      <c r="A651" t="inlineStr">
        <is>
          <t>5f31e8330000000001004d95</t>
        </is>
      </c>
      <c r="B651" s="2" t="str">
        <f>=HYPERLINK("https://www.xiaohongshu.com/user/profile/5f31e8330000000001004d95", "https://www.xiaohongshu.com/user/profile/5f31e8330000000001004d95")</f>
        <v>https://www.xiaohongshu.com/user/profile/5f31e8330000000001004d95</v>
      </c>
      <c r="C651" s="2" t="str">
        <f>=HYPERLINK("https://pgy.xiaohongshu.com/solar/pre-trade/blogger-detail/5f31e8330000000001004d95", "https://pgy.xiaohongshu.com/solar/pre-trade/blogger-detail/5f31e8330000000001004d95")</f>
        <v>https://pgy.xiaohongshu.com/solar/pre-trade/blogger-detail/5f31e8330000000001004d95</v>
      </c>
      <c r="D651" t="inlineStr">
        <is>
          <t>女</t>
        </is>
      </c>
      <c r="E651" t="inlineStr">
        <is>
          <t>856877572</t>
        </is>
      </c>
      <c r="F651" t="inlineStr">
        <is>
          <t>羊驼小奶</t>
        </is>
      </c>
      <c r="G651" t="inlineStr">
        <is>
          <t>吉林 通化 东昌区</t>
        </is>
      </c>
      <c r="H651" t="inlineStr">
        <is>
          <t>学生</t>
        </is>
      </c>
      <c r="I651" t="inlineStr">
        <is>
          <t>教育</t>
        </is>
      </c>
      <c r="J651">
        <v>1567</v>
      </c>
      <c r="K651" t="inlineStr">
        <is>
          <t>0.2</t>
        </is>
      </c>
      <c r="L651">
        <v>24181</v>
      </c>
      <c r="M651">
        <v>4621</v>
      </c>
      <c r="N651">
        <v>397</v>
      </c>
      <c r="O651">
        <v>171</v>
      </c>
      <c r="P651">
        <v>0.25</v>
      </c>
      <c r="Q651">
        <v>0.625</v>
      </c>
      <c r="R651">
        <v>0</v>
      </c>
      <c r="S651">
        <v>0</v>
      </c>
      <c r="T651">
        <v>0</v>
      </c>
      <c r="U651">
        <v>0</v>
      </c>
      <c r="V651">
        <v>171</v>
      </c>
      <c r="W651">
        <v>0</v>
      </c>
      <c r="X651">
        <v>0</v>
      </c>
      <c r="Y651">
        <v>0</v>
      </c>
      <c r="Z651">
        <v>0</v>
      </c>
      <c r="AA651">
        <v>24181</v>
      </c>
      <c r="AB651">
        <v>4621</v>
      </c>
      <c r="AC651">
        <v>362</v>
      </c>
      <c r="AD651">
        <v>1.56</v>
      </c>
      <c r="AE651">
        <v>300</v>
      </c>
      <c r="AF651">
        <v>0.625</v>
      </c>
      <c r="AG651">
        <v>0.25</v>
      </c>
      <c r="AH651">
        <v>0.085</v>
      </c>
      <c r="AI651">
        <v>12.41</v>
      </c>
      <c r="AJ651">
        <v>0.75</v>
      </c>
      <c r="AK651">
        <v>0</v>
      </c>
      <c r="AL651">
        <v>0</v>
      </c>
      <c r="AM651">
        <v>0</v>
      </c>
      <c r="AN651">
        <v>0</v>
      </c>
      <c r="AO651">
        <v>0</v>
      </c>
      <c r="AP651">
        <v>0.969</v>
      </c>
      <c r="AQ651">
        <v>0.592</v>
      </c>
      <c r="AR651">
        <v>0</v>
      </c>
      <c r="AS651" s="3">
        <v>46107.77260416667</v>
      </c>
    </row>
    <row r="652" ht="25.5" customHeight="1">
      <c r="A652" t="inlineStr">
        <is>
          <t>63cd473600000000260119b5</t>
        </is>
      </c>
      <c r="B652" s="2" t="str">
        <f>=HYPERLINK("https://www.xiaohongshu.com/user/profile/63cd473600000000260119b5", "https://www.xiaohongshu.com/user/profile/63cd473600000000260119b5")</f>
        <v>https://www.xiaohongshu.com/user/profile/63cd473600000000260119b5</v>
      </c>
      <c r="C652" s="2" t="str">
        <f>=HYPERLINK("https://pgy.xiaohongshu.com/solar/pre-trade/blogger-detail/63cd473600000000260119b5", "https://pgy.xiaohongshu.com/solar/pre-trade/blogger-detail/63cd473600000000260119b5")</f>
        <v>https://pgy.xiaohongshu.com/solar/pre-trade/blogger-detail/63cd473600000000260119b5</v>
      </c>
      <c r="D652" t="inlineStr">
        <is>
          <t>女</t>
        </is>
      </c>
      <c r="E652" t="inlineStr">
        <is>
          <t>5041869940</t>
        </is>
      </c>
      <c r="F652" t="inlineStr">
        <is>
          <t>喜欢土豆</t>
        </is>
      </c>
      <c r="G652" t="inlineStr">
        <is>
          <t>四川 成都 青羊区</t>
        </is>
      </c>
      <c r="H652" t="inlineStr">
        <is>
          <t>学生</t>
        </is>
      </c>
      <c r="I652" t="inlineStr">
        <is>
          <t>教育</t>
        </is>
      </c>
      <c r="J652">
        <v>3608</v>
      </c>
      <c r="K652" t="inlineStr">
        <is>
          <t>0.4</t>
        </is>
      </c>
      <c r="L652">
        <v>12447</v>
      </c>
      <c r="M652">
        <v>3331</v>
      </c>
      <c r="N652">
        <v>368</v>
      </c>
      <c r="O652">
        <v>333</v>
      </c>
      <c r="P652">
        <v>0</v>
      </c>
      <c r="Q652">
        <v>1</v>
      </c>
      <c r="R652">
        <v>12447</v>
      </c>
      <c r="S652">
        <v>3331</v>
      </c>
      <c r="T652">
        <v>308</v>
      </c>
      <c r="U652">
        <v>0.4</v>
      </c>
      <c r="V652">
        <v>333</v>
      </c>
      <c r="W652">
        <v>1</v>
      </c>
      <c r="X652">
        <v>0</v>
      </c>
      <c r="Y652">
        <v>26.75</v>
      </c>
      <c r="Z652">
        <v>0.9</v>
      </c>
      <c r="AA652">
        <v>0</v>
      </c>
      <c r="AB652">
        <v>0</v>
      </c>
      <c r="AC652">
        <v>0</v>
      </c>
      <c r="AD652">
        <v>0</v>
      </c>
      <c r="AE652">
        <v>432</v>
      </c>
      <c r="AF652">
        <v>0</v>
      </c>
      <c r="AG652">
        <v>0</v>
      </c>
      <c r="AH652">
        <v>0</v>
      </c>
      <c r="AI652">
        <v>0</v>
      </c>
      <c r="AJ652">
        <v>0</v>
      </c>
      <c r="AK652">
        <v>0</v>
      </c>
      <c r="AL652">
        <v>0</v>
      </c>
      <c r="AM652">
        <v>0</v>
      </c>
      <c r="AN652">
        <v>0</v>
      </c>
      <c r="AO652">
        <v>0</v>
      </c>
      <c r="AP652">
        <v>0.938</v>
      </c>
      <c r="AQ652">
        <v>0.042</v>
      </c>
      <c r="AR652">
        <v>0.026</v>
      </c>
      <c r="AS652" s="3">
        <v>46107.77260416667</v>
      </c>
    </row>
    <row r="653" ht="25.5" customHeight="1">
      <c r="A653" t="inlineStr">
        <is>
          <t>65e8854e000000000500efee</t>
        </is>
      </c>
      <c r="B653" s="2" t="str">
        <f>=HYPERLINK("https://www.xiaohongshu.com/user/profile/65e8854e000000000500efee", "https://www.xiaohongshu.com/user/profile/65e8854e000000000500efee")</f>
        <v>https://www.xiaohongshu.com/user/profile/65e8854e000000000500efee</v>
      </c>
      <c r="C653" s="2" t="str">
        <f>=HYPERLINK("https://pgy.xiaohongshu.com/solar/pre-trade/blogger-detail/65e8854e000000000500efee", "https://pgy.xiaohongshu.com/solar/pre-trade/blogger-detail/65e8854e000000000500efee")</f>
        <v>https://pgy.xiaohongshu.com/solar/pre-trade/blogger-detail/65e8854e000000000500efee</v>
      </c>
      <c r="D653" t="inlineStr">
        <is>
          <t>女</t>
        </is>
      </c>
      <c r="E653" t="inlineStr">
        <is>
          <t>42703670585</t>
        </is>
      </c>
      <c r="F653" t="inlineStr">
        <is>
          <t>小瓜</t>
        </is>
      </c>
      <c r="G653" t="inlineStr">
        <is>
          <t>河南 南阳 卧龙区</t>
        </is>
      </c>
      <c r="H653" t="inlineStr">
        <is>
          <t>学生</t>
        </is>
      </c>
      <c r="I653" t="inlineStr">
        <is>
          <t>生活记录, 科技数码</t>
        </is>
      </c>
      <c r="J653">
        <v>9132</v>
      </c>
      <c r="K653" t="inlineStr">
        <is>
          <t>0.9</t>
        </is>
      </c>
      <c r="L653">
        <v>2438</v>
      </c>
      <c r="M653">
        <v>706</v>
      </c>
      <c r="N653">
        <v>232</v>
      </c>
      <c r="O653">
        <v>800</v>
      </c>
      <c r="P653">
        <v>0</v>
      </c>
      <c r="Q653">
        <v>0.9</v>
      </c>
      <c r="R653">
        <v>4483</v>
      </c>
      <c r="S653">
        <v>732</v>
      </c>
      <c r="T653">
        <v>237</v>
      </c>
      <c r="U653">
        <v>1.02</v>
      </c>
      <c r="V653">
        <v>800</v>
      </c>
      <c r="W653">
        <v>1</v>
      </c>
      <c r="X653">
        <v>0</v>
      </c>
      <c r="Y653">
        <v>113.17</v>
      </c>
      <c r="Z653">
        <v>3.42</v>
      </c>
      <c r="AA653">
        <v>2438</v>
      </c>
      <c r="AB653">
        <v>706</v>
      </c>
      <c r="AC653">
        <v>231</v>
      </c>
      <c r="AD653">
        <v>2.51</v>
      </c>
      <c r="AE653">
        <v>800</v>
      </c>
      <c r="AF653">
        <v>0.875</v>
      </c>
      <c r="AG653">
        <v>0</v>
      </c>
      <c r="AH653">
        <v>0.304</v>
      </c>
      <c r="AI653">
        <v>321.93</v>
      </c>
      <c r="AJ653">
        <v>3.54</v>
      </c>
      <c r="AK653">
        <v>11265</v>
      </c>
      <c r="AL653">
        <v>2411</v>
      </c>
      <c r="AM653">
        <v>125</v>
      </c>
      <c r="AN653">
        <v>1</v>
      </c>
      <c r="AO653">
        <v>896.07</v>
      </c>
      <c r="AP653">
        <v>0.633</v>
      </c>
      <c r="AQ653">
        <v>0.034</v>
      </c>
      <c r="AR653">
        <v>0.06</v>
      </c>
      <c r="AS653" s="3">
        <v>46107.77260416667</v>
      </c>
    </row>
    <row r="654" ht="25.5" customHeight="1">
      <c r="A654" t="inlineStr">
        <is>
          <t>636ae860000000001f01eb01</t>
        </is>
      </c>
      <c r="B654" s="2" t="str">
        <f>=HYPERLINK("https://www.xiaohongshu.com/user/profile/636ae860000000001f01eb01", "https://www.xiaohongshu.com/user/profile/636ae860000000001f01eb01")</f>
        <v>https://www.xiaohongshu.com/user/profile/636ae860000000001f01eb01</v>
      </c>
      <c r="C654" s="2" t="str">
        <f>=HYPERLINK("https://pgy.xiaohongshu.com/solar/pre-trade/blogger-detail/636ae860000000001f01eb01", "https://pgy.xiaohongshu.com/solar/pre-trade/blogger-detail/636ae860000000001f01eb01")</f>
        <v>https://pgy.xiaohongshu.com/solar/pre-trade/blogger-detail/636ae860000000001f01eb01</v>
      </c>
      <c r="D654" t="inlineStr">
        <is>
          <t>女</t>
        </is>
      </c>
      <c r="E654" t="inlineStr">
        <is>
          <t>5339649031</t>
        </is>
      </c>
      <c r="F654" t="inlineStr">
        <is>
          <t>科研卡拉米</t>
        </is>
      </c>
      <c r="G654" t="inlineStr">
        <is>
          <t>辽宁 沈阳 沈北新区</t>
        </is>
      </c>
      <c r="H654" t="inlineStr">
        <is>
          <t>学生, 情侣</t>
        </is>
      </c>
      <c r="I654" t="inlineStr">
        <is>
          <t>教育</t>
        </is>
      </c>
      <c r="J654">
        <v>5424</v>
      </c>
      <c r="K654" t="inlineStr">
        <is>
          <t>0.5</t>
        </is>
      </c>
      <c r="L654">
        <v>7510</v>
      </c>
      <c r="M654">
        <v>2121</v>
      </c>
      <c r="N654">
        <v>159</v>
      </c>
      <c r="O654">
        <v>1500</v>
      </c>
      <c r="P654">
        <v>0</v>
      </c>
      <c r="Q654">
        <v>0.166999999999999</v>
      </c>
      <c r="R654">
        <v>0</v>
      </c>
      <c r="S654">
        <v>0</v>
      </c>
      <c r="T654">
        <v>0</v>
      </c>
      <c r="U654">
        <v>0</v>
      </c>
      <c r="V654">
        <v>0</v>
      </c>
      <c r="W654">
        <v>0</v>
      </c>
      <c r="X654">
        <v>0</v>
      </c>
      <c r="Y654">
        <v>0</v>
      </c>
      <c r="Z654">
        <v>0</v>
      </c>
      <c r="AA654">
        <v>7510</v>
      </c>
      <c r="AB654">
        <v>2121</v>
      </c>
      <c r="AC654">
        <v>136</v>
      </c>
      <c r="AD654">
        <v>2.37</v>
      </c>
      <c r="AE654">
        <v>1500</v>
      </c>
      <c r="AF654">
        <v>0.166999999999999</v>
      </c>
      <c r="AG654">
        <v>0</v>
      </c>
      <c r="AH654">
        <v>0.168999999999999</v>
      </c>
      <c r="AI654">
        <v>167.26</v>
      </c>
      <c r="AJ654">
        <v>9.2</v>
      </c>
      <c r="AK654">
        <v>13179</v>
      </c>
      <c r="AL654">
        <v>1506</v>
      </c>
      <c r="AM654">
        <v>510</v>
      </c>
      <c r="AN654">
        <v>0</v>
      </c>
      <c r="AO654">
        <v>0</v>
      </c>
      <c r="AP654">
        <v>0.961</v>
      </c>
      <c r="AQ654">
        <v>0.0409999999999999</v>
      </c>
      <c r="AR654">
        <v>0.021</v>
      </c>
      <c r="AS654" s="3">
        <v>46107.77260416667</v>
      </c>
    </row>
    <row r="655" ht="25.5" customHeight="1">
      <c r="A655" t="inlineStr">
        <is>
          <t>61dfad030000000021027719</t>
        </is>
      </c>
      <c r="B655" s="2" t="str">
        <f>=HYPERLINK("https://www.xiaohongshu.com/user/profile/61dfad030000000021027719", "https://www.xiaohongshu.com/user/profile/61dfad030000000021027719")</f>
        <v>https://www.xiaohongshu.com/user/profile/61dfad030000000021027719</v>
      </c>
      <c r="C655" s="2" t="str">
        <f>=HYPERLINK("https://pgy.xiaohongshu.com/solar/pre-trade/blogger-detail/61dfad030000000021027719", "https://pgy.xiaohongshu.com/solar/pre-trade/blogger-detail/61dfad030000000021027719")</f>
        <v>https://pgy.xiaohongshu.com/solar/pre-trade/blogger-detail/61dfad030000000021027719</v>
      </c>
      <c r="D655" t="inlineStr">
        <is>
          <t>男</t>
        </is>
      </c>
      <c r="E655" t="inlineStr">
        <is>
          <t>1410942566</t>
        </is>
      </c>
      <c r="F655" t="inlineStr">
        <is>
          <t>孙一玮也ok</t>
        </is>
      </c>
      <c r="G655" t="inlineStr">
        <is>
          <t>江苏 南京 建邺区</t>
        </is>
      </c>
      <c r="H655" t="inlineStr">
        <is>
          <t>学生</t>
        </is>
      </c>
      <c r="I655" t="inlineStr">
        <is>
          <t>教育, 出行旅游</t>
        </is>
      </c>
      <c r="J655">
        <v>6609</v>
      </c>
      <c r="K655" t="inlineStr">
        <is>
          <t>0.7</t>
        </is>
      </c>
      <c r="L655">
        <v>46080</v>
      </c>
      <c r="M655">
        <v>6780</v>
      </c>
      <c r="N655">
        <v>426</v>
      </c>
      <c r="O655">
        <v>1500</v>
      </c>
      <c r="P655">
        <v>0.111</v>
      </c>
      <c r="Q655">
        <v>0.667</v>
      </c>
      <c r="R655">
        <v>8042</v>
      </c>
      <c r="S655">
        <v>1605</v>
      </c>
      <c r="T655">
        <v>68</v>
      </c>
      <c r="U655">
        <v>1.23</v>
      </c>
      <c r="V655">
        <v>1500</v>
      </c>
      <c r="W655">
        <v>0.4</v>
      </c>
      <c r="X655">
        <v>0</v>
      </c>
      <c r="Y655">
        <v>186.52</v>
      </c>
      <c r="Z655">
        <v>19.74</v>
      </c>
      <c r="AA655">
        <v>94449</v>
      </c>
      <c r="AB655">
        <v>10789</v>
      </c>
      <c r="AC655">
        <v>399</v>
      </c>
      <c r="AD655">
        <v>1.69</v>
      </c>
      <c r="AE655">
        <v>2000</v>
      </c>
      <c r="AF655">
        <v>1</v>
      </c>
      <c r="AG655">
        <v>0.25</v>
      </c>
      <c r="AH655">
        <v>0.122</v>
      </c>
      <c r="AI655">
        <v>21.18</v>
      </c>
      <c r="AJ655">
        <v>3.37</v>
      </c>
      <c r="AK655">
        <v>0</v>
      </c>
      <c r="AL655">
        <v>0</v>
      </c>
      <c r="AM655">
        <v>0</v>
      </c>
      <c r="AN655">
        <v>0</v>
      </c>
      <c r="AO655">
        <v>0</v>
      </c>
      <c r="AP655">
        <v>0.834</v>
      </c>
      <c r="AQ655">
        <v>0.074</v>
      </c>
      <c r="AR655">
        <v>0.105</v>
      </c>
      <c r="AS655" s="3">
        <v>46107.77260416667</v>
      </c>
    </row>
    <row r="656" ht="25.5" customHeight="1">
      <c r="A656" t="inlineStr">
        <is>
          <t>5511870fb4c4d61b00054950</t>
        </is>
      </c>
      <c r="B656" s="2" t="str">
        <f>=HYPERLINK("https://www.xiaohongshu.com/user/profile/5511870fb4c4d61b00054950", "https://www.xiaohongshu.com/user/profile/5511870fb4c4d61b00054950")</f>
        <v>https://www.xiaohongshu.com/user/profile/5511870fb4c4d61b00054950</v>
      </c>
      <c r="C656" s="2" t="str">
        <f>=HYPERLINK("https://pgy.xiaohongshu.com/solar/pre-trade/blogger-detail/5511870fb4c4d61b00054950", "https://pgy.xiaohongshu.com/solar/pre-trade/blogger-detail/5511870fb4c4d61b00054950")</f>
        <v>https://pgy.xiaohongshu.com/solar/pre-trade/blogger-detail/5511870fb4c4d61b00054950</v>
      </c>
      <c r="D656" t="inlineStr">
        <is>
          <t>女</t>
        </is>
      </c>
      <c r="E656" t="inlineStr">
        <is>
          <t>951877336</t>
        </is>
      </c>
      <c r="F656" t="inlineStr">
        <is>
          <t>China Culture Land</t>
        </is>
      </c>
      <c r="G656" t="inlineStr">
        <is>
          <t>上海</t>
        </is>
      </c>
      <c r="H656"/>
      <c r="I656" t="inlineStr">
        <is>
          <t>教育, 生活记录</t>
        </is>
      </c>
      <c r="J656">
        <v>10085</v>
      </c>
      <c r="K656" t="inlineStr">
        <is>
          <t>1.0</t>
        </is>
      </c>
      <c r="L656">
        <v>2849</v>
      </c>
      <c r="M656">
        <v>1457</v>
      </c>
      <c r="N656">
        <v>163</v>
      </c>
      <c r="O656">
        <v>500</v>
      </c>
      <c r="P656">
        <v>0.111</v>
      </c>
      <c r="Q656">
        <v>0.778</v>
      </c>
      <c r="R656">
        <v>0</v>
      </c>
      <c r="S656">
        <v>0</v>
      </c>
      <c r="T656">
        <v>0</v>
      </c>
      <c r="U656">
        <v>0</v>
      </c>
      <c r="V656">
        <v>500</v>
      </c>
      <c r="W656">
        <v>0</v>
      </c>
      <c r="X656">
        <v>0</v>
      </c>
      <c r="Y656">
        <v>0</v>
      </c>
      <c r="Z656">
        <v>0</v>
      </c>
      <c r="AA656">
        <v>2849</v>
      </c>
      <c r="AB656">
        <v>1457</v>
      </c>
      <c r="AC656">
        <v>141</v>
      </c>
      <c r="AD656">
        <v>2.09</v>
      </c>
      <c r="AE656">
        <v>800</v>
      </c>
      <c r="AF656">
        <v>0.778</v>
      </c>
      <c r="AG656">
        <v>0.111</v>
      </c>
      <c r="AH656">
        <v>0.171</v>
      </c>
      <c r="AI656">
        <v>306.34</v>
      </c>
      <c r="AJ656">
        <v>5.02</v>
      </c>
      <c r="AK656">
        <v>396</v>
      </c>
      <c r="AL656">
        <v>115</v>
      </c>
      <c r="AM656">
        <v>15</v>
      </c>
      <c r="AN656">
        <v>0</v>
      </c>
      <c r="AO656">
        <v>0</v>
      </c>
      <c r="AP656">
        <v>0.708</v>
      </c>
      <c r="AQ656">
        <v>0.083</v>
      </c>
      <c r="AR656">
        <v>0.0819999999999999</v>
      </c>
      <c r="AS656" s="3">
        <v>46107.77260416667</v>
      </c>
    </row>
    <row r="657" ht="25.5" customHeight="1">
      <c r="A657" t="inlineStr">
        <is>
          <t>5dc4f08e0000000001002a55</t>
        </is>
      </c>
      <c r="B657" s="2" t="str">
        <f>=HYPERLINK("https://www.xiaohongshu.com/user/profile/5dc4f08e0000000001002a55", "https://www.xiaohongshu.com/user/profile/5dc4f08e0000000001002a55")</f>
        <v>https://www.xiaohongshu.com/user/profile/5dc4f08e0000000001002a55</v>
      </c>
      <c r="C657" s="2" t="str">
        <f>=HYPERLINK("https://pgy.xiaohongshu.com/solar/pre-trade/blogger-detail/5dc4f08e0000000001002a55", "https://pgy.xiaohongshu.com/solar/pre-trade/blogger-detail/5dc4f08e0000000001002a55")</f>
        <v>https://pgy.xiaohongshu.com/solar/pre-trade/blogger-detail/5dc4f08e0000000001002a55</v>
      </c>
      <c r="D657" t="inlineStr">
        <is>
          <t>女</t>
        </is>
      </c>
      <c r="E657" t="inlineStr">
        <is>
          <t>2z0z0z1</t>
        </is>
      </c>
      <c r="F657" t="inlineStr">
        <is>
          <t>草莓妞妞</t>
        </is>
      </c>
      <c r="G657" t="inlineStr">
        <is>
          <t>美国</t>
        </is>
      </c>
      <c r="H657" t="inlineStr">
        <is>
          <t>学生, 留学背景, 海外华人</t>
        </is>
      </c>
      <c r="I657" t="inlineStr">
        <is>
          <t>出行旅游, 教育</t>
        </is>
      </c>
      <c r="J657">
        <v>5121</v>
      </c>
      <c r="K657" t="inlineStr">
        <is>
          <t>0.5</t>
        </is>
      </c>
      <c r="L657">
        <v>10541</v>
      </c>
      <c r="M657">
        <v>1735</v>
      </c>
      <c r="N657">
        <v>114</v>
      </c>
      <c r="O657">
        <v>350</v>
      </c>
      <c r="P657">
        <v>0</v>
      </c>
      <c r="Q657">
        <v>0.4</v>
      </c>
      <c r="R657">
        <v>10541</v>
      </c>
      <c r="S657">
        <v>1735</v>
      </c>
      <c r="T657">
        <v>79</v>
      </c>
      <c r="U657">
        <v>0.5</v>
      </c>
      <c r="V657">
        <v>350</v>
      </c>
      <c r="W657">
        <v>0.4</v>
      </c>
      <c r="X657">
        <v>0</v>
      </c>
      <c r="Y657">
        <v>33.2</v>
      </c>
      <c r="Z657">
        <v>3.07</v>
      </c>
      <c r="AA657">
        <v>0</v>
      </c>
      <c r="AB657">
        <v>0</v>
      </c>
      <c r="AC657">
        <v>0</v>
      </c>
      <c r="AD657">
        <v>0</v>
      </c>
      <c r="AE657">
        <v>500</v>
      </c>
      <c r="AF657">
        <v>0</v>
      </c>
      <c r="AG657">
        <v>0</v>
      </c>
      <c r="AH657">
        <v>0</v>
      </c>
      <c r="AI657">
        <v>0</v>
      </c>
      <c r="AJ657">
        <v>0</v>
      </c>
      <c r="AK657">
        <v>10265</v>
      </c>
      <c r="AL657">
        <v>1899</v>
      </c>
      <c r="AM657">
        <v>112</v>
      </c>
      <c r="AN657">
        <v>0</v>
      </c>
      <c r="AO657">
        <v>0</v>
      </c>
      <c r="AP657">
        <v>0.717</v>
      </c>
      <c r="AQ657">
        <v>0.044</v>
      </c>
      <c r="AR657">
        <v>0.083</v>
      </c>
      <c r="AS657" s="3">
        <v>46107.77260416667</v>
      </c>
    </row>
    <row r="658" ht="25.5" customHeight="1">
      <c r="A658" t="inlineStr">
        <is>
          <t>5decfbf70000000001004080</t>
        </is>
      </c>
      <c r="B658" s="2" t="str">
        <f>=HYPERLINK("https://www.xiaohongshu.com/user/profile/5decfbf70000000001004080", "https://www.xiaohongshu.com/user/profile/5decfbf70000000001004080")</f>
        <v>https://www.xiaohongshu.com/user/profile/5decfbf70000000001004080</v>
      </c>
      <c r="C658" s="2" t="str">
        <f>=HYPERLINK("https://pgy.xiaohongshu.com/solar/pre-trade/blogger-detail/5decfbf70000000001004080", "https://pgy.xiaohongshu.com/solar/pre-trade/blogger-detail/5decfbf70000000001004080")</f>
        <v>https://pgy.xiaohongshu.com/solar/pre-trade/blogger-detail/5decfbf70000000001004080</v>
      </c>
      <c r="D658" t="inlineStr">
        <is>
          <t>女</t>
        </is>
      </c>
      <c r="E658" t="inlineStr">
        <is>
          <t>447735602</t>
        </is>
      </c>
      <c r="F658" t="inlineStr">
        <is>
          <t>不长蛀牙_</t>
        </is>
      </c>
      <c r="G658" t="inlineStr">
        <is>
          <t>英国</t>
        </is>
      </c>
      <c r="H658" t="inlineStr">
        <is>
          <t>学生, 留学背景, 海外华人</t>
        </is>
      </c>
      <c r="I658" t="inlineStr">
        <is>
          <t>美食, 生活记录</t>
        </is>
      </c>
      <c r="J658">
        <v>5640</v>
      </c>
      <c r="K658" t="inlineStr">
        <is>
          <t>0.6</t>
        </is>
      </c>
      <c r="L658">
        <v>5019</v>
      </c>
      <c r="M658">
        <v>807</v>
      </c>
      <c r="N658">
        <v>100</v>
      </c>
      <c r="O658">
        <v>500</v>
      </c>
      <c r="P658">
        <v>0</v>
      </c>
      <c r="Q658">
        <v>0.25</v>
      </c>
      <c r="R658">
        <v>0</v>
      </c>
      <c r="S658">
        <v>0</v>
      </c>
      <c r="T658">
        <v>0</v>
      </c>
      <c r="U658">
        <v>0</v>
      </c>
      <c r="V658">
        <v>500</v>
      </c>
      <c r="W658">
        <v>0</v>
      </c>
      <c r="X658">
        <v>0</v>
      </c>
      <c r="Y658">
        <v>0</v>
      </c>
      <c r="Z658">
        <v>0</v>
      </c>
      <c r="AA658">
        <v>5019</v>
      </c>
      <c r="AB658">
        <v>807</v>
      </c>
      <c r="AC658">
        <v>93</v>
      </c>
      <c r="AD658">
        <v>2.49</v>
      </c>
      <c r="AE658">
        <v>800</v>
      </c>
      <c r="AF658">
        <v>0.25</v>
      </c>
      <c r="AG658">
        <v>0</v>
      </c>
      <c r="AH658">
        <v>0.035</v>
      </c>
      <c r="AI658">
        <v>159.39</v>
      </c>
      <c r="AJ658">
        <v>8</v>
      </c>
      <c r="AK658">
        <v>0</v>
      </c>
      <c r="AL658">
        <v>0</v>
      </c>
      <c r="AM658">
        <v>0</v>
      </c>
      <c r="AN658">
        <v>0</v>
      </c>
      <c r="AO658">
        <v>0</v>
      </c>
      <c r="AP658">
        <v>0.546</v>
      </c>
      <c r="AQ658">
        <v>0.0139999999999999</v>
      </c>
      <c r="AR658">
        <v>0.015</v>
      </c>
      <c r="AS658" s="3">
        <v>46107.77260416667</v>
      </c>
    </row>
    <row r="659" ht="25.5" customHeight="1">
      <c r="A659" t="inlineStr">
        <is>
          <t>5c4f314a000000001001bf57</t>
        </is>
      </c>
      <c r="B659" s="2" t="str">
        <f>=HYPERLINK("https://www.xiaohongshu.com/user/profile/5c4f314a000000001001bf57", "https://www.xiaohongshu.com/user/profile/5c4f314a000000001001bf57")</f>
        <v>https://www.xiaohongshu.com/user/profile/5c4f314a000000001001bf57</v>
      </c>
      <c r="C659" s="2" t="str">
        <f>=HYPERLINK("https://pgy.xiaohongshu.com/solar/pre-trade/blogger-detail/5c4f314a000000001001bf57", "https://pgy.xiaohongshu.com/solar/pre-trade/blogger-detail/5c4f314a000000001001bf57")</f>
        <v>https://pgy.xiaohongshu.com/solar/pre-trade/blogger-detail/5c4f314a000000001001bf57</v>
      </c>
      <c r="D659" t="inlineStr">
        <is>
          <t>女</t>
        </is>
      </c>
      <c r="E659" t="inlineStr">
        <is>
          <t>552689557</t>
        </is>
      </c>
      <c r="F659" t="inlineStr">
        <is>
          <t>芋米米医路生花</t>
        </is>
      </c>
      <c r="G659" t="inlineStr">
        <is>
          <t>湖北 武汉 东西湖区</t>
        </is>
      </c>
      <c r="H659" t="inlineStr">
        <is>
          <t>考研过来人, 学生</t>
        </is>
      </c>
      <c r="I659" t="inlineStr">
        <is>
          <t>教育, 健康养生</t>
        </is>
      </c>
      <c r="J659">
        <v>3676</v>
      </c>
      <c r="K659" t="inlineStr">
        <is>
          <t>0.4</t>
        </is>
      </c>
      <c r="L659">
        <v>6468</v>
      </c>
      <c r="M659">
        <v>990</v>
      </c>
      <c r="N659">
        <v>158</v>
      </c>
      <c r="O659">
        <v>350</v>
      </c>
      <c r="P659">
        <v>0</v>
      </c>
      <c r="Q659">
        <v>0.5</v>
      </c>
      <c r="R659">
        <v>6468</v>
      </c>
      <c r="S659">
        <v>990</v>
      </c>
      <c r="T659">
        <v>132</v>
      </c>
      <c r="U659">
        <v>0.65</v>
      </c>
      <c r="V659">
        <v>350</v>
      </c>
      <c r="W659">
        <v>0.5</v>
      </c>
      <c r="X659">
        <v>0</v>
      </c>
      <c r="Y659">
        <v>54.11</v>
      </c>
      <c r="Z659">
        <v>2.21</v>
      </c>
      <c r="AA659">
        <v>0</v>
      </c>
      <c r="AB659">
        <v>0</v>
      </c>
      <c r="AC659">
        <v>0</v>
      </c>
      <c r="AD659">
        <v>0</v>
      </c>
      <c r="AE659">
        <v>420</v>
      </c>
      <c r="AF659">
        <v>0</v>
      </c>
      <c r="AG659">
        <v>0</v>
      </c>
      <c r="AH659">
        <v>0</v>
      </c>
      <c r="AI659">
        <v>0</v>
      </c>
      <c r="AJ659">
        <v>0</v>
      </c>
      <c r="AK659">
        <v>0</v>
      </c>
      <c r="AL659">
        <v>0</v>
      </c>
      <c r="AM659">
        <v>0</v>
      </c>
      <c r="AN659">
        <v>0</v>
      </c>
      <c r="AO659">
        <v>0</v>
      </c>
      <c r="AP659">
        <v>0.869</v>
      </c>
      <c r="AQ659">
        <v>0.0289999999999999</v>
      </c>
      <c r="AR659">
        <v>0.0139999999999999</v>
      </c>
      <c r="AS659" s="3">
        <v>46107.77260416667</v>
      </c>
    </row>
    <row r="660" ht="25.5" customHeight="1">
      <c r="A660" t="inlineStr">
        <is>
          <t>6290e94d0000000021021aa0</t>
        </is>
      </c>
      <c r="B660" s="2" t="str">
        <f>=HYPERLINK("https://www.xiaohongshu.com/user/profile/6290e94d0000000021021aa0", "https://www.xiaohongshu.com/user/profile/6290e94d0000000021021aa0")</f>
        <v>https://www.xiaohongshu.com/user/profile/6290e94d0000000021021aa0</v>
      </c>
      <c r="C660" s="2" t="str">
        <f>=HYPERLINK("https://pgy.xiaohongshu.com/solar/pre-trade/blogger-detail/6290e94d0000000021021aa0", "https://pgy.xiaohongshu.com/solar/pre-trade/blogger-detail/6290e94d0000000021021aa0")</f>
        <v>https://pgy.xiaohongshu.com/solar/pre-trade/blogger-detail/6290e94d0000000021021aa0</v>
      </c>
      <c r="D660" t="inlineStr">
        <is>
          <t>女</t>
        </is>
      </c>
      <c r="E660" t="inlineStr">
        <is>
          <t>5475660457</t>
        </is>
      </c>
      <c r="F660" t="inlineStr">
        <is>
          <t>OKIcan（一起怒学版）</t>
        </is>
      </c>
      <c r="G660" t="inlineStr">
        <is>
          <t>四川 成都 郫都区</t>
        </is>
      </c>
      <c r="H660" t="inlineStr">
        <is>
          <t>学生</t>
        </is>
      </c>
      <c r="I660" t="inlineStr">
        <is>
          <t>教育, 生活记录</t>
        </is>
      </c>
      <c r="J660">
        <v>19549</v>
      </c>
      <c r="K660" t="inlineStr">
        <is>
          <t>2.0</t>
        </is>
      </c>
      <c r="L660">
        <v>10185</v>
      </c>
      <c r="M660">
        <v>1513</v>
      </c>
      <c r="N660">
        <v>124</v>
      </c>
      <c r="O660">
        <v>1200</v>
      </c>
      <c r="P660">
        <v>0</v>
      </c>
      <c r="Q660">
        <v>0.308</v>
      </c>
      <c r="R660">
        <v>10185</v>
      </c>
      <c r="S660">
        <v>1424</v>
      </c>
      <c r="T660">
        <v>109</v>
      </c>
      <c r="U660">
        <v>1.14</v>
      </c>
      <c r="V660">
        <v>1200</v>
      </c>
      <c r="W660">
        <v>0.273</v>
      </c>
      <c r="X660">
        <v>0</v>
      </c>
      <c r="Y660">
        <v>117.82</v>
      </c>
      <c r="Z660">
        <v>9.68</v>
      </c>
      <c r="AA660">
        <v>91585</v>
      </c>
      <c r="AB660">
        <v>6745</v>
      </c>
      <c r="AC660">
        <v>159</v>
      </c>
      <c r="AD660">
        <v>1.74</v>
      </c>
      <c r="AE660">
        <v>1600</v>
      </c>
      <c r="AF660">
        <v>0.5</v>
      </c>
      <c r="AG660">
        <v>0</v>
      </c>
      <c r="AH660">
        <v>0.009</v>
      </c>
      <c r="AI660">
        <v>17.47</v>
      </c>
      <c r="AJ660">
        <v>9.09</v>
      </c>
      <c r="AK660">
        <v>0</v>
      </c>
      <c r="AL660">
        <v>0</v>
      </c>
      <c r="AM660">
        <v>0</v>
      </c>
      <c r="AN660">
        <v>0</v>
      </c>
      <c r="AO660">
        <v>0</v>
      </c>
      <c r="AP660">
        <v>0.823</v>
      </c>
      <c r="AQ660">
        <v>0.025</v>
      </c>
      <c r="AR660">
        <v>-0.001</v>
      </c>
      <c r="AS660" s="3">
        <v>46107.77260416667</v>
      </c>
    </row>
    <row r="661" ht="25.5" customHeight="1">
      <c r="A661" t="inlineStr">
        <is>
          <t>608b9ad6000000000101e5a4</t>
        </is>
      </c>
      <c r="B661" s="2" t="str">
        <f>=HYPERLINK("https://www.xiaohongshu.com/user/profile/608b9ad6000000000101e5a4", "https://www.xiaohongshu.com/user/profile/608b9ad6000000000101e5a4")</f>
        <v>https://www.xiaohongshu.com/user/profile/608b9ad6000000000101e5a4</v>
      </c>
      <c r="C661" s="2" t="str">
        <f>=HYPERLINK("https://pgy.xiaohongshu.com/solar/pre-trade/blogger-detail/608b9ad6000000000101e5a4", "https://pgy.xiaohongshu.com/solar/pre-trade/blogger-detail/608b9ad6000000000101e5a4")</f>
        <v>https://pgy.xiaohongshu.com/solar/pre-trade/blogger-detail/608b9ad6000000000101e5a4</v>
      </c>
      <c r="D661" t="inlineStr">
        <is>
          <t>女</t>
        </is>
      </c>
      <c r="E661" t="inlineStr">
        <is>
          <t>qm0204</t>
        </is>
      </c>
      <c r="F661" t="inlineStr">
        <is>
          <t>琼木-</t>
        </is>
      </c>
      <c r="G661" t="inlineStr">
        <is>
          <t>韩国</t>
        </is>
      </c>
      <c r="H661" t="inlineStr">
        <is>
          <t>创业者, 留学背景, 学生</t>
        </is>
      </c>
      <c r="I661" t="inlineStr">
        <is>
          <t>出行旅游, 生活记录</t>
        </is>
      </c>
      <c r="J661">
        <v>42122</v>
      </c>
      <c r="K661" t="inlineStr">
        <is>
          <t>4.2</t>
        </is>
      </c>
      <c r="L661">
        <v>16931</v>
      </c>
      <c r="M661">
        <v>2758</v>
      </c>
      <c r="N661">
        <v>189</v>
      </c>
      <c r="O661">
        <v>4800</v>
      </c>
      <c r="P661">
        <v>0</v>
      </c>
      <c r="Q661">
        <v>0.769</v>
      </c>
      <c r="R661">
        <v>40540</v>
      </c>
      <c r="S661">
        <v>7311</v>
      </c>
      <c r="T661">
        <v>566</v>
      </c>
      <c r="U661">
        <v>0.96</v>
      </c>
      <c r="V661">
        <v>4800</v>
      </c>
      <c r="W661">
        <v>1</v>
      </c>
      <c r="X661">
        <v>0</v>
      </c>
      <c r="Y661">
        <v>118.4</v>
      </c>
      <c r="Z661">
        <v>7.72</v>
      </c>
      <c r="AA661">
        <v>15693</v>
      </c>
      <c r="AB661">
        <v>2410</v>
      </c>
      <c r="AC661">
        <v>166</v>
      </c>
      <c r="AD661">
        <v>5.03</v>
      </c>
      <c r="AE661">
        <v>8500</v>
      </c>
      <c r="AF661">
        <v>0.727</v>
      </c>
      <c r="AG661">
        <v>0</v>
      </c>
      <c r="AH661">
        <v>0.144</v>
      </c>
      <c r="AI661">
        <v>541.64</v>
      </c>
      <c r="AJ661">
        <v>54.49</v>
      </c>
      <c r="AK661">
        <v>0</v>
      </c>
      <c r="AL661">
        <v>0</v>
      </c>
      <c r="AM661">
        <v>0</v>
      </c>
      <c r="AN661">
        <v>0</v>
      </c>
      <c r="AO661">
        <v>0</v>
      </c>
      <c r="AP661">
        <v>0.775</v>
      </c>
      <c r="AQ661">
        <v>0.032</v>
      </c>
      <c r="AR661">
        <v>-0.004</v>
      </c>
      <c r="AS661" s="3">
        <v>46107.772835648146</v>
      </c>
    </row>
    <row r="662" ht="25.5" customHeight="1">
      <c r="A662" t="inlineStr">
        <is>
          <t>5bf1c744bb61f0000153201d</t>
        </is>
      </c>
      <c r="B662" s="2" t="str">
        <f>=HYPERLINK("https://www.xiaohongshu.com/user/profile/5bf1c744bb61f0000153201d", "https://www.xiaohongshu.com/user/profile/5bf1c744bb61f0000153201d")</f>
        <v>https://www.xiaohongshu.com/user/profile/5bf1c744bb61f0000153201d</v>
      </c>
      <c r="C662" s="2" t="str">
        <f>=HYPERLINK("https://pgy.xiaohongshu.com/solar/pre-trade/blogger-detail/5bf1c744bb61f0000153201d", "https://pgy.xiaohongshu.com/solar/pre-trade/blogger-detail/5bf1c744bb61f0000153201d")</f>
        <v>https://pgy.xiaohongshu.com/solar/pre-trade/blogger-detail/5bf1c744bb61f0000153201d</v>
      </c>
      <c r="D662" t="inlineStr">
        <is>
          <t>男</t>
        </is>
      </c>
      <c r="E662" t="inlineStr">
        <is>
          <t>159231271</t>
        </is>
      </c>
      <c r="F662" t="inlineStr">
        <is>
          <t>saulgoodman</t>
        </is>
      </c>
      <c r="G662" t="inlineStr">
        <is>
          <t>浙江 杭州 上城区</t>
        </is>
      </c>
      <c r="H662"/>
      <c r="I662" t="inlineStr">
        <is>
          <t>教育</t>
        </is>
      </c>
      <c r="J662">
        <v>7123</v>
      </c>
      <c r="K662" t="inlineStr">
        <is>
          <t>0.7</t>
        </is>
      </c>
      <c r="L662">
        <v>25097</v>
      </c>
      <c r="M662">
        <v>2763</v>
      </c>
      <c r="N662">
        <v>467</v>
      </c>
      <c r="O662">
        <v>900</v>
      </c>
      <c r="P662">
        <v>0</v>
      </c>
      <c r="Q662">
        <v>1</v>
      </c>
      <c r="R662">
        <v>0</v>
      </c>
      <c r="S662">
        <v>0</v>
      </c>
      <c r="T662">
        <v>0</v>
      </c>
      <c r="U662">
        <v>0</v>
      </c>
      <c r="V662">
        <v>900</v>
      </c>
      <c r="W662">
        <v>0</v>
      </c>
      <c r="X662">
        <v>0</v>
      </c>
      <c r="Y662">
        <v>0</v>
      </c>
      <c r="Z662">
        <v>0</v>
      </c>
      <c r="AA662">
        <v>25097</v>
      </c>
      <c r="AB662">
        <v>2763</v>
      </c>
      <c r="AC662">
        <v>336</v>
      </c>
      <c r="AD662">
        <v>2.04</v>
      </c>
      <c r="AE662">
        <v>1500</v>
      </c>
      <c r="AF662">
        <v>1</v>
      </c>
      <c r="AG662">
        <v>0</v>
      </c>
      <c r="AH662">
        <v>0.062</v>
      </c>
      <c r="AI662">
        <v>59.77</v>
      </c>
      <c r="AJ662">
        <v>3.21</v>
      </c>
      <c r="AK662">
        <v>0</v>
      </c>
      <c r="AL662">
        <v>0</v>
      </c>
      <c r="AM662">
        <v>0</v>
      </c>
      <c r="AN662">
        <v>0</v>
      </c>
      <c r="AO662">
        <v>0</v>
      </c>
      <c r="AP662">
        <v>0.951</v>
      </c>
      <c r="AQ662">
        <v>0.033</v>
      </c>
      <c r="AR662">
        <v>0.044</v>
      </c>
      <c r="AS662" s="3">
        <v>46107.772835648146</v>
      </c>
    </row>
    <row r="663" ht="25.5" customHeight="1">
      <c r="A663" t="inlineStr">
        <is>
          <t>66054b0a000000000600dd67</t>
        </is>
      </c>
      <c r="B663" s="2" t="str">
        <f>=HYPERLINK("https://www.xiaohongshu.com/user/profile/66054b0a000000000600dd67", "https://www.xiaohongshu.com/user/profile/66054b0a000000000600dd67")</f>
        <v>https://www.xiaohongshu.com/user/profile/66054b0a000000000600dd67</v>
      </c>
      <c r="C663" s="2" t="str">
        <f>=HYPERLINK("https://pgy.xiaohongshu.com/solar/pre-trade/blogger-detail/66054b0a000000000600dd67", "https://pgy.xiaohongshu.com/solar/pre-trade/blogger-detail/66054b0a000000000600dd67")</f>
        <v>https://pgy.xiaohongshu.com/solar/pre-trade/blogger-detail/66054b0a000000000600dd67</v>
      </c>
      <c r="D663" t="inlineStr">
        <is>
          <t>女</t>
        </is>
      </c>
      <c r="E663" t="inlineStr">
        <is>
          <t>datouboshierji</t>
        </is>
      </c>
      <c r="F663" t="inlineStr">
        <is>
          <t>大头博士计算机二级</t>
        </is>
      </c>
      <c r="G663" t="inlineStr">
        <is>
          <t>北京</t>
        </is>
      </c>
      <c r="H663"/>
      <c r="I663" t="inlineStr">
        <is>
          <t>教育</t>
        </is>
      </c>
      <c r="J663">
        <v>60983</v>
      </c>
      <c r="K663" t="inlineStr">
        <is>
          <t>6.1</t>
        </is>
      </c>
      <c r="L663">
        <v>252155</v>
      </c>
      <c r="M663">
        <v>63197</v>
      </c>
      <c r="N663">
        <v>7929</v>
      </c>
      <c r="O663">
        <v>986</v>
      </c>
      <c r="P663">
        <v>0.778</v>
      </c>
      <c r="Q663">
        <v>1</v>
      </c>
      <c r="R663">
        <v>252155</v>
      </c>
      <c r="S663">
        <v>63197</v>
      </c>
      <c r="T663">
        <v>5173</v>
      </c>
      <c r="U663">
        <v>0.32</v>
      </c>
      <c r="V663">
        <v>986</v>
      </c>
      <c r="W663">
        <v>1</v>
      </c>
      <c r="X663">
        <v>0.778</v>
      </c>
      <c r="Y663">
        <v>3.91</v>
      </c>
      <c r="Z663">
        <v>0.12</v>
      </c>
      <c r="AA663">
        <v>0</v>
      </c>
      <c r="AB663">
        <v>0</v>
      </c>
      <c r="AC663">
        <v>0</v>
      </c>
      <c r="AD663">
        <v>0</v>
      </c>
      <c r="AE663">
        <v>2467</v>
      </c>
      <c r="AF663">
        <v>0</v>
      </c>
      <c r="AG663">
        <v>0</v>
      </c>
      <c r="AH663">
        <v>0</v>
      </c>
      <c r="AI663">
        <v>0</v>
      </c>
      <c r="AJ663">
        <v>0</v>
      </c>
      <c r="AK663">
        <v>0</v>
      </c>
      <c r="AL663">
        <v>0</v>
      </c>
      <c r="AM663">
        <v>0</v>
      </c>
      <c r="AN663">
        <v>0</v>
      </c>
      <c r="AO663">
        <v>0</v>
      </c>
      <c r="AP663">
        <v>0.978</v>
      </c>
      <c r="AQ663">
        <v>0.52</v>
      </c>
      <c r="AR663">
        <v>2.151</v>
      </c>
      <c r="AS663" s="3">
        <v>46107.772835648146</v>
      </c>
    </row>
    <row r="664" ht="25.5" customHeight="1">
      <c r="A664" t="inlineStr">
        <is>
          <t>61dc56e9000000002102b214</t>
        </is>
      </c>
      <c r="B664" s="2" t="str">
        <f>=HYPERLINK("https://www.xiaohongshu.com/user/profile/61dc56e9000000002102b214", "https://www.xiaohongshu.com/user/profile/61dc56e9000000002102b214")</f>
        <v>https://www.xiaohongshu.com/user/profile/61dc56e9000000002102b214</v>
      </c>
      <c r="C664" s="2" t="str">
        <f>=HYPERLINK("https://pgy.xiaohongshu.com/solar/pre-trade/blogger-detail/61dc56e9000000002102b214", "https://pgy.xiaohongshu.com/solar/pre-trade/blogger-detail/61dc56e9000000002102b214")</f>
        <v>https://pgy.xiaohongshu.com/solar/pre-trade/blogger-detail/61dc56e9000000002102b214</v>
      </c>
      <c r="D664" t="inlineStr">
        <is>
          <t>女</t>
        </is>
      </c>
      <c r="E664" t="inlineStr">
        <is>
          <t>2137973838</t>
        </is>
      </c>
      <c r="F664" t="inlineStr">
        <is>
          <t>Koo小舟🥥</t>
        </is>
      </c>
      <c r="G664" t="inlineStr">
        <is>
          <t>山西 吕梁 汾阳市</t>
        </is>
      </c>
      <c r="H664"/>
      <c r="I664" t="inlineStr">
        <is>
          <t>教育</t>
        </is>
      </c>
      <c r="J664">
        <v>11417</v>
      </c>
      <c r="K664" t="inlineStr">
        <is>
          <t>1.1</t>
        </is>
      </c>
      <c r="L664">
        <v>20296</v>
      </c>
      <c r="M664">
        <v>4370</v>
      </c>
      <c r="N664">
        <v>226</v>
      </c>
      <c r="O664">
        <v>600</v>
      </c>
      <c r="P664">
        <v>0</v>
      </c>
      <c r="Q664">
        <v>0.5</v>
      </c>
      <c r="R664">
        <v>20296</v>
      </c>
      <c r="S664">
        <v>4370</v>
      </c>
      <c r="T664">
        <v>162</v>
      </c>
      <c r="U664">
        <v>0.44</v>
      </c>
      <c r="V664">
        <v>600</v>
      </c>
      <c r="W664">
        <v>0.5</v>
      </c>
      <c r="X664">
        <v>0</v>
      </c>
      <c r="Y664">
        <v>29.56</v>
      </c>
      <c r="Z664">
        <v>2.65</v>
      </c>
      <c r="AA664">
        <v>0</v>
      </c>
      <c r="AB664">
        <v>0</v>
      </c>
      <c r="AC664">
        <v>0</v>
      </c>
      <c r="AD664">
        <v>0</v>
      </c>
      <c r="AE664">
        <v>900</v>
      </c>
      <c r="AF664">
        <v>0</v>
      </c>
      <c r="AG664">
        <v>0</v>
      </c>
      <c r="AH664">
        <v>0</v>
      </c>
      <c r="AI664">
        <v>0</v>
      </c>
      <c r="AJ664">
        <v>0</v>
      </c>
      <c r="AK664">
        <v>0</v>
      </c>
      <c r="AL664">
        <v>0</v>
      </c>
      <c r="AM664">
        <v>0</v>
      </c>
      <c r="AN664">
        <v>0</v>
      </c>
      <c r="AO664">
        <v>0</v>
      </c>
      <c r="AP664">
        <v>0.834</v>
      </c>
      <c r="AQ664">
        <v>0.0139999999999999</v>
      </c>
      <c r="AR664">
        <v>0.004</v>
      </c>
      <c r="AS664" s="3">
        <v>46107.772835648146</v>
      </c>
    </row>
    <row r="665" ht="25.5" customHeight="1">
      <c r="A665" t="inlineStr">
        <is>
          <t>5e36733c00000000010092c8</t>
        </is>
      </c>
      <c r="B665" s="2" t="str">
        <f>=HYPERLINK("https://www.xiaohongshu.com/user/profile/5e36733c00000000010092c8", "https://www.xiaohongshu.com/user/profile/5e36733c00000000010092c8")</f>
        <v>https://www.xiaohongshu.com/user/profile/5e36733c00000000010092c8</v>
      </c>
      <c r="C665" s="2" t="str">
        <f>=HYPERLINK("https://pgy.xiaohongshu.com/solar/pre-trade/blogger-detail/5e36733c00000000010092c8", "https://pgy.xiaohongshu.com/solar/pre-trade/blogger-detail/5e36733c00000000010092c8")</f>
        <v>https://pgy.xiaohongshu.com/solar/pre-trade/blogger-detail/5e36733c00000000010092c8</v>
      </c>
      <c r="D665" t="inlineStr">
        <is>
          <t>男</t>
        </is>
      </c>
      <c r="E665" t="inlineStr">
        <is>
          <t>445720569</t>
        </is>
      </c>
      <c r="F665" t="inlineStr">
        <is>
          <t>姚弋</t>
        </is>
      </c>
      <c r="G665" t="inlineStr">
        <is>
          <t>英国</t>
        </is>
      </c>
      <c r="H665" t="inlineStr">
        <is>
          <t>留学背景, 学生, 模特</t>
        </is>
      </c>
      <c r="I665" t="inlineStr">
        <is>
          <t>出行旅游, 教育</t>
        </is>
      </c>
      <c r="J665">
        <v>16544</v>
      </c>
      <c r="K665" t="inlineStr">
        <is>
          <t>1.7</t>
        </is>
      </c>
      <c r="L665">
        <v>16737</v>
      </c>
      <c r="M665">
        <v>4813</v>
      </c>
      <c r="N665">
        <v>660</v>
      </c>
      <c r="O665">
        <v>1500</v>
      </c>
      <c r="P665">
        <v>0</v>
      </c>
      <c r="Q665">
        <v>1</v>
      </c>
      <c r="R665">
        <v>16692</v>
      </c>
      <c r="S665">
        <v>3150</v>
      </c>
      <c r="T665">
        <v>389</v>
      </c>
      <c r="U665">
        <v>0.78</v>
      </c>
      <c r="V665">
        <v>1500</v>
      </c>
      <c r="W665">
        <v>1</v>
      </c>
      <c r="X665">
        <v>0</v>
      </c>
      <c r="Y665">
        <v>89.86</v>
      </c>
      <c r="Z665">
        <v>3.46</v>
      </c>
      <c r="AA665">
        <v>16782</v>
      </c>
      <c r="AB665">
        <v>6477</v>
      </c>
      <c r="AC665">
        <v>620</v>
      </c>
      <c r="AD665">
        <v>1.89</v>
      </c>
      <c r="AE665">
        <v>2500</v>
      </c>
      <c r="AF665">
        <v>1</v>
      </c>
      <c r="AG665">
        <v>0</v>
      </c>
      <c r="AH665">
        <v>0.076</v>
      </c>
      <c r="AI665">
        <v>148.97</v>
      </c>
      <c r="AJ665">
        <v>2.82</v>
      </c>
      <c r="AK665">
        <v>0</v>
      </c>
      <c r="AL665">
        <v>0</v>
      </c>
      <c r="AM665">
        <v>0</v>
      </c>
      <c r="AN665">
        <v>0</v>
      </c>
      <c r="AO665">
        <v>0</v>
      </c>
      <c r="AP665">
        <v>0.848</v>
      </c>
      <c r="AQ665">
        <v>0.035</v>
      </c>
      <c r="AR665">
        <v>0.025</v>
      </c>
      <c r="AS665" s="3">
        <v>46107.772835648146</v>
      </c>
    </row>
    <row r="666" ht="25.5" customHeight="1">
      <c r="A666" t="inlineStr">
        <is>
          <t>6909d445000000003202830e</t>
        </is>
      </c>
      <c r="B666" s="2" t="str">
        <f>=HYPERLINK("https://www.xiaohongshu.com/user/profile/6909d445000000003202830e", "https://www.xiaohongshu.com/user/profile/6909d445000000003202830e")</f>
        <v>https://www.xiaohongshu.com/user/profile/6909d445000000003202830e</v>
      </c>
      <c r="C666" s="2" t="str">
        <f>=HYPERLINK("https://pgy.xiaohongshu.com/solar/pre-trade/blogger-detail/6909d445000000003202830e", "https://pgy.xiaohongshu.com/solar/pre-trade/blogger-detail/6909d445000000003202830e")</f>
        <v>https://pgy.xiaohongshu.com/solar/pre-trade/blogger-detail/6909d445000000003202830e</v>
      </c>
      <c r="D666" t="inlineStr">
        <is>
          <t>女</t>
        </is>
      </c>
      <c r="E666" t="inlineStr">
        <is>
          <t>49768172300</t>
        </is>
      </c>
      <c r="F666" t="inlineStr">
        <is>
          <t>地高辛的考研笔记</t>
        </is>
      </c>
      <c r="G666" t="inlineStr">
        <is>
          <t>山东 滨州 滨城区</t>
        </is>
      </c>
      <c r="H666" t="inlineStr">
        <is>
          <t>学生</t>
        </is>
      </c>
      <c r="I666" t="inlineStr">
        <is>
          <t>教育</t>
        </is>
      </c>
      <c r="J666">
        <v>2863</v>
      </c>
      <c r="K666" t="inlineStr">
        <is>
          <t>0.3</t>
        </is>
      </c>
      <c r="L666">
        <v>20275</v>
      </c>
      <c r="M666">
        <v>4061</v>
      </c>
      <c r="N666">
        <v>233</v>
      </c>
      <c r="O666">
        <v>100</v>
      </c>
      <c r="P666">
        <v>0.05</v>
      </c>
      <c r="Q666">
        <v>0.5</v>
      </c>
      <c r="R666">
        <v>20275</v>
      </c>
      <c r="S666">
        <v>4061</v>
      </c>
      <c r="T666">
        <v>177</v>
      </c>
      <c r="U666">
        <v>0.32</v>
      </c>
      <c r="V666">
        <v>100</v>
      </c>
      <c r="W666">
        <v>0.5</v>
      </c>
      <c r="X666">
        <v>0.05</v>
      </c>
      <c r="Y666">
        <v>4.93</v>
      </c>
      <c r="Z666">
        <v>0.43</v>
      </c>
      <c r="AA666">
        <v>0</v>
      </c>
      <c r="AB666">
        <v>0</v>
      </c>
      <c r="AC666">
        <v>0</v>
      </c>
      <c r="AD666">
        <v>0</v>
      </c>
      <c r="AE666">
        <v>413</v>
      </c>
      <c r="AF666">
        <v>0</v>
      </c>
      <c r="AG666">
        <v>0</v>
      </c>
      <c r="AH666">
        <v>0</v>
      </c>
      <c r="AI666">
        <v>0</v>
      </c>
      <c r="AJ666">
        <v>0</v>
      </c>
      <c r="AK666">
        <v>0</v>
      </c>
      <c r="AL666">
        <v>0</v>
      </c>
      <c r="AM666">
        <v>0</v>
      </c>
      <c r="AN666">
        <v>0</v>
      </c>
      <c r="AO666">
        <v>0</v>
      </c>
      <c r="AP666">
        <v>1</v>
      </c>
      <c r="AQ666">
        <v>0.421</v>
      </c>
      <c r="AR666">
        <v>0</v>
      </c>
      <c r="AS666" s="3">
        <v>46107.772835648146</v>
      </c>
    </row>
    <row r="667" ht="25.5" customHeight="1">
      <c r="A667" t="inlineStr">
        <is>
          <t>5f53bc1f0000000001004eda</t>
        </is>
      </c>
      <c r="B667" s="2" t="str">
        <f>=HYPERLINK("https://www.xiaohongshu.com/user/profile/5f53bc1f0000000001004eda", "https://www.xiaohongshu.com/user/profile/5f53bc1f0000000001004eda")</f>
        <v>https://www.xiaohongshu.com/user/profile/5f53bc1f0000000001004eda</v>
      </c>
      <c r="C667" s="2" t="str">
        <f>=HYPERLINK("https://pgy.xiaohongshu.com/solar/pre-trade/blogger-detail/5f53bc1f0000000001004eda", "https://pgy.xiaohongshu.com/solar/pre-trade/blogger-detail/5f53bc1f0000000001004eda")</f>
        <v>https://pgy.xiaohongshu.com/solar/pre-trade/blogger-detail/5f53bc1f0000000001004eda</v>
      </c>
      <c r="D667" t="inlineStr">
        <is>
          <t>女</t>
        </is>
      </c>
      <c r="E667" t="inlineStr">
        <is>
          <t>suesayshello</t>
        </is>
      </c>
      <c r="F667" t="inlineStr">
        <is>
          <t>Suesays</t>
        </is>
      </c>
      <c r="G667" t="inlineStr">
        <is>
          <t>湖北 武汉 东西湖区</t>
        </is>
      </c>
      <c r="H667" t="inlineStr">
        <is>
          <t>翻译</t>
        </is>
      </c>
      <c r="I667" t="inlineStr">
        <is>
          <t>教育</t>
        </is>
      </c>
      <c r="J667">
        <v>10264</v>
      </c>
      <c r="K667" t="inlineStr">
        <is>
          <t>1.0</t>
        </is>
      </c>
      <c r="L667">
        <v>62190</v>
      </c>
      <c r="M667">
        <v>8668</v>
      </c>
      <c r="N667">
        <v>243</v>
      </c>
      <c r="O667">
        <v>1000</v>
      </c>
      <c r="P667">
        <v>0.2</v>
      </c>
      <c r="Q667">
        <v>0.8</v>
      </c>
      <c r="R667">
        <v>62190</v>
      </c>
      <c r="S667">
        <v>8668</v>
      </c>
      <c r="T667">
        <v>196</v>
      </c>
      <c r="U667">
        <v>0.42</v>
      </c>
      <c r="V667">
        <v>1000</v>
      </c>
      <c r="W667">
        <v>0.8</v>
      </c>
      <c r="X667">
        <v>0.2</v>
      </c>
      <c r="Y667">
        <v>16.08</v>
      </c>
      <c r="Z667">
        <v>4.11</v>
      </c>
      <c r="AA667">
        <v>0</v>
      </c>
      <c r="AB667">
        <v>0</v>
      </c>
      <c r="AC667">
        <v>0</v>
      </c>
      <c r="AD667">
        <v>0</v>
      </c>
      <c r="AE667">
        <v>2000</v>
      </c>
      <c r="AF667">
        <v>0</v>
      </c>
      <c r="AG667">
        <v>0</v>
      </c>
      <c r="AH667">
        <v>0</v>
      </c>
      <c r="AI667">
        <v>0</v>
      </c>
      <c r="AJ667">
        <v>0</v>
      </c>
      <c r="AK667">
        <v>0</v>
      </c>
      <c r="AL667">
        <v>0</v>
      </c>
      <c r="AM667">
        <v>0</v>
      </c>
      <c r="AN667">
        <v>0</v>
      </c>
      <c r="AO667">
        <v>0</v>
      </c>
      <c r="AP667">
        <v>0.795999999999999</v>
      </c>
      <c r="AQ667">
        <v>0.043</v>
      </c>
      <c r="AR667">
        <v>0.005</v>
      </c>
      <c r="AS667" s="3">
        <v>46107.772835648146</v>
      </c>
    </row>
    <row r="668" ht="25.5" customHeight="1">
      <c r="A668" t="inlineStr">
        <is>
          <t>5d15f5950000000012039cd9</t>
        </is>
      </c>
      <c r="B668" s="2" t="str">
        <f>=HYPERLINK("https://www.xiaohongshu.com/user/profile/5d15f5950000000012039cd9", "https://www.xiaohongshu.com/user/profile/5d15f5950000000012039cd9")</f>
        <v>https://www.xiaohongshu.com/user/profile/5d15f5950000000012039cd9</v>
      </c>
      <c r="C668" s="2" t="str">
        <f>=HYPERLINK("https://pgy.xiaohongshu.com/solar/pre-trade/blogger-detail/5d15f5950000000012039cd9", "https://pgy.xiaohongshu.com/solar/pre-trade/blogger-detail/5d15f5950000000012039cd9")</f>
        <v>https://pgy.xiaohongshu.com/solar/pre-trade/blogger-detail/5d15f5950000000012039cd9</v>
      </c>
      <c r="D668" t="inlineStr">
        <is>
          <t>女</t>
        </is>
      </c>
      <c r="E668" t="inlineStr">
        <is>
          <t>517826643</t>
        </is>
      </c>
      <c r="F668" t="inlineStr">
        <is>
          <t>赛赛不摆烂</t>
        </is>
      </c>
      <c r="G668" t="inlineStr">
        <is>
          <t>江苏 南京 鼓楼区</t>
        </is>
      </c>
      <c r="H668" t="inlineStr">
        <is>
          <t>留学背景, 学生</t>
        </is>
      </c>
      <c r="I668" t="inlineStr">
        <is>
          <t>教育</t>
        </is>
      </c>
      <c r="J668">
        <v>1480</v>
      </c>
      <c r="K668" t="inlineStr">
        <is>
          <t>0.1</t>
        </is>
      </c>
      <c r="L668">
        <v>24634</v>
      </c>
      <c r="M668">
        <v>8723</v>
      </c>
      <c r="N668">
        <v>1677</v>
      </c>
      <c r="O668">
        <v>200</v>
      </c>
      <c r="P668">
        <v>0.143</v>
      </c>
      <c r="Q668">
        <v>0.714</v>
      </c>
      <c r="R668">
        <v>893</v>
      </c>
      <c r="S668">
        <v>214</v>
      </c>
      <c r="T668">
        <v>11</v>
      </c>
      <c r="U668">
        <v>1.23</v>
      </c>
      <c r="V668">
        <v>200</v>
      </c>
      <c r="W668">
        <v>0</v>
      </c>
      <c r="X668">
        <v>0</v>
      </c>
      <c r="Y668">
        <v>223.96</v>
      </c>
      <c r="Z668">
        <v>11.11</v>
      </c>
      <c r="AA668">
        <v>24976</v>
      </c>
      <c r="AB668">
        <v>9181</v>
      </c>
      <c r="AC668">
        <v>1722</v>
      </c>
      <c r="AD668">
        <v>1.53</v>
      </c>
      <c r="AE668">
        <v>300</v>
      </c>
      <c r="AF668">
        <v>0.833</v>
      </c>
      <c r="AG668">
        <v>0.166999999999999</v>
      </c>
      <c r="AH668">
        <v>0.054</v>
      </c>
      <c r="AI668">
        <v>12.01</v>
      </c>
      <c r="AJ668">
        <v>0.17</v>
      </c>
      <c r="AK668">
        <v>0</v>
      </c>
      <c r="AL668">
        <v>0</v>
      </c>
      <c r="AM668">
        <v>0</v>
      </c>
      <c r="AN668">
        <v>0</v>
      </c>
      <c r="AO668">
        <v>0</v>
      </c>
      <c r="AP668">
        <v>0.890999999999999</v>
      </c>
      <c r="AQ668">
        <v>0.206</v>
      </c>
      <c r="AR668">
        <v>0.341</v>
      </c>
      <c r="AS668" s="3">
        <v>46107.772835648146</v>
      </c>
    </row>
    <row r="669" ht="25.5" customHeight="1">
      <c r="A669" t="inlineStr">
        <is>
          <t>5fd605a10000000001000302</t>
        </is>
      </c>
      <c r="B669" s="2" t="str">
        <f>=HYPERLINK("https://www.xiaohongshu.com/user/profile/5fd605a10000000001000302", "https://www.xiaohongshu.com/user/profile/5fd605a10000000001000302")</f>
        <v>https://www.xiaohongshu.com/user/profile/5fd605a10000000001000302</v>
      </c>
      <c r="C669" s="2" t="str">
        <f>=HYPERLINK("https://pgy.xiaohongshu.com/solar/pre-trade/blogger-detail/5fd605a10000000001000302", "https://pgy.xiaohongshu.com/solar/pre-trade/blogger-detail/5fd605a10000000001000302")</f>
        <v>https://pgy.xiaohongshu.com/solar/pre-trade/blogger-detail/5fd605a10000000001000302</v>
      </c>
      <c r="D669" t="inlineStr">
        <is>
          <t>女</t>
        </is>
      </c>
      <c r="E669" t="inlineStr">
        <is>
          <t>1078942883</t>
        </is>
      </c>
      <c r="F669" t="inlineStr">
        <is>
          <t>烤柿鱼块🍅</t>
        </is>
      </c>
      <c r="G669" t="inlineStr">
        <is>
          <t>湖南 长沙 岳麓区</t>
        </is>
      </c>
      <c r="H669" t="inlineStr">
        <is>
          <t>学生</t>
        </is>
      </c>
      <c r="I669" t="inlineStr">
        <is>
          <t>教育</t>
        </is>
      </c>
      <c r="J669">
        <v>6219</v>
      </c>
      <c r="K669" t="inlineStr">
        <is>
          <t>0.6</t>
        </is>
      </c>
      <c r="L669">
        <v>16683</v>
      </c>
      <c r="M669">
        <v>2480</v>
      </c>
      <c r="N669">
        <v>134</v>
      </c>
      <c r="O669">
        <v>140</v>
      </c>
      <c r="P669">
        <v>0.059</v>
      </c>
      <c r="Q669">
        <v>0.471</v>
      </c>
      <c r="R669">
        <v>16683</v>
      </c>
      <c r="S669">
        <v>2480</v>
      </c>
      <c r="T669">
        <v>118</v>
      </c>
      <c r="U669">
        <v>0.37</v>
      </c>
      <c r="V669">
        <v>140</v>
      </c>
      <c r="W669">
        <v>0.471</v>
      </c>
      <c r="X669">
        <v>0.059</v>
      </c>
      <c r="Y669">
        <v>10.94</v>
      </c>
      <c r="Z669">
        <v>1.28</v>
      </c>
      <c r="AA669">
        <v>0</v>
      </c>
      <c r="AB669">
        <v>0</v>
      </c>
      <c r="AC669">
        <v>0</v>
      </c>
      <c r="AD669">
        <v>0</v>
      </c>
      <c r="AE669">
        <v>300</v>
      </c>
      <c r="AF669">
        <v>0</v>
      </c>
      <c r="AG669">
        <v>0</v>
      </c>
      <c r="AH669">
        <v>0</v>
      </c>
      <c r="AI669">
        <v>0</v>
      </c>
      <c r="AJ669">
        <v>0</v>
      </c>
      <c r="AK669">
        <v>3614</v>
      </c>
      <c r="AL669">
        <v>215</v>
      </c>
      <c r="AM669">
        <v>11</v>
      </c>
      <c r="AN669">
        <v>36</v>
      </c>
      <c r="AO669">
        <v>4.95</v>
      </c>
      <c r="AP669">
        <v>0.875</v>
      </c>
      <c r="AQ669">
        <v>0.07</v>
      </c>
      <c r="AR669">
        <v>0.139</v>
      </c>
      <c r="AS669" s="3">
        <v>46107.772835648146</v>
      </c>
    </row>
    <row r="670" ht="25.5" customHeight="1">
      <c r="A670" t="inlineStr">
        <is>
          <t>5f2d283800000000010035d7</t>
        </is>
      </c>
      <c r="B670" s="2" t="str">
        <f>=HYPERLINK("https://www.xiaohongshu.com/user/profile/5f2d283800000000010035d7", "https://www.xiaohongshu.com/user/profile/5f2d283800000000010035d7")</f>
        <v>https://www.xiaohongshu.com/user/profile/5f2d283800000000010035d7</v>
      </c>
      <c r="C670" s="2" t="str">
        <f>=HYPERLINK("https://pgy.xiaohongshu.com/solar/pre-trade/blogger-detail/5f2d283800000000010035d7", "https://pgy.xiaohongshu.com/solar/pre-trade/blogger-detail/5f2d283800000000010035d7")</f>
        <v>https://pgy.xiaohongshu.com/solar/pre-trade/blogger-detail/5f2d283800000000010035d7</v>
      </c>
      <c r="D670" t="inlineStr">
        <is>
          <t>女</t>
        </is>
      </c>
      <c r="E670" t="inlineStr">
        <is>
          <t>760508646</t>
        </is>
      </c>
      <c r="F670" t="inlineStr">
        <is>
          <t>一颗小馨xin</t>
        </is>
      </c>
      <c r="G670" t="inlineStr">
        <is>
          <t>辽宁 大连 沙河口区</t>
        </is>
      </c>
      <c r="H670" t="inlineStr">
        <is>
          <t>学生</t>
        </is>
      </c>
      <c r="I670" t="inlineStr">
        <is>
          <t>生活记录</t>
        </is>
      </c>
      <c r="J670">
        <v>4239</v>
      </c>
      <c r="K670" t="inlineStr">
        <is>
          <t>0.4</t>
        </is>
      </c>
      <c r="L670">
        <v>28964</v>
      </c>
      <c r="M670">
        <v>4288</v>
      </c>
      <c r="N670">
        <v>341</v>
      </c>
      <c r="O670">
        <v>280</v>
      </c>
      <c r="P670">
        <v>0.25</v>
      </c>
      <c r="Q670">
        <v>0.75</v>
      </c>
      <c r="R670">
        <v>28964</v>
      </c>
      <c r="S670">
        <v>4288</v>
      </c>
      <c r="T670">
        <v>305</v>
      </c>
      <c r="U670">
        <v>0.38</v>
      </c>
      <c r="V670">
        <v>280</v>
      </c>
      <c r="W670">
        <v>0.75</v>
      </c>
      <c r="X670">
        <v>0.25</v>
      </c>
      <c r="Y670">
        <v>12.27</v>
      </c>
      <c r="Z670">
        <v>1.13</v>
      </c>
      <c r="AA670">
        <v>0</v>
      </c>
      <c r="AB670">
        <v>0</v>
      </c>
      <c r="AC670">
        <v>0</v>
      </c>
      <c r="AD670">
        <v>0</v>
      </c>
      <c r="AE670">
        <v>300</v>
      </c>
      <c r="AF670">
        <v>0</v>
      </c>
      <c r="AG670">
        <v>0</v>
      </c>
      <c r="AH670">
        <v>0</v>
      </c>
      <c r="AI670">
        <v>0</v>
      </c>
      <c r="AJ670">
        <v>0</v>
      </c>
      <c r="AK670">
        <v>5401</v>
      </c>
      <c r="AL670">
        <v>781</v>
      </c>
      <c r="AM670">
        <v>18</v>
      </c>
      <c r="AN670">
        <v>69</v>
      </c>
      <c r="AO670">
        <v>4.46</v>
      </c>
      <c r="AP670">
        <v>0.866</v>
      </c>
      <c r="AQ670">
        <v>0.046</v>
      </c>
      <c r="AR670">
        <v>0.462999999999999</v>
      </c>
      <c r="AS670" s="3">
        <v>46107.772835648146</v>
      </c>
    </row>
    <row r="671" ht="25.5" customHeight="1">
      <c r="A671" t="inlineStr">
        <is>
          <t>68c401910000000019018e7b</t>
        </is>
      </c>
      <c r="B671" s="2" t="str">
        <f>=HYPERLINK("https://www.xiaohongshu.com/user/profile/68c401910000000019018e7b", "https://www.xiaohongshu.com/user/profile/68c401910000000019018e7b")</f>
        <v>https://www.xiaohongshu.com/user/profile/68c401910000000019018e7b</v>
      </c>
      <c r="C671" s="2" t="str">
        <f>=HYPERLINK("https://pgy.xiaohongshu.com/solar/pre-trade/blogger-detail/68c401910000000019018e7b", "https://pgy.xiaohongshu.com/solar/pre-trade/blogger-detail/68c401910000000019018e7b")</f>
        <v>https://pgy.xiaohongshu.com/solar/pre-trade/blogger-detail/68c401910000000019018e7b</v>
      </c>
      <c r="D671" t="inlineStr">
        <is>
          <t>女</t>
        </is>
      </c>
      <c r="E671" t="inlineStr">
        <is>
          <t>18988081278</t>
        </is>
      </c>
      <c r="F671" t="inlineStr">
        <is>
          <t>酱鱼达达</t>
        </is>
      </c>
      <c r="G671" t="inlineStr">
        <is>
          <t>广西 北海 合浦县</t>
        </is>
      </c>
      <c r="H671" t="inlineStr">
        <is>
          <t>萌娃, 学生</t>
        </is>
      </c>
      <c r="I671" t="inlineStr">
        <is>
          <t>母婴</t>
        </is>
      </c>
      <c r="J671">
        <v>3860</v>
      </c>
      <c r="K671" t="inlineStr">
        <is>
          <t>0.4</t>
        </is>
      </c>
      <c r="L671">
        <v>5104</v>
      </c>
      <c r="M671">
        <v>1231</v>
      </c>
      <c r="N671">
        <v>207</v>
      </c>
      <c r="O671">
        <v>300</v>
      </c>
      <c r="P671">
        <v>0.067</v>
      </c>
      <c r="Q671">
        <v>0.667</v>
      </c>
      <c r="R671">
        <v>0</v>
      </c>
      <c r="S671">
        <v>0</v>
      </c>
      <c r="T671">
        <v>0</v>
      </c>
      <c r="U671">
        <v>0.75</v>
      </c>
      <c r="V671">
        <v>300</v>
      </c>
      <c r="W671">
        <v>0</v>
      </c>
      <c r="X671">
        <v>0</v>
      </c>
      <c r="Y671">
        <v>45.99</v>
      </c>
      <c r="Z671">
        <v>2.34</v>
      </c>
      <c r="AA671">
        <v>5104</v>
      </c>
      <c r="AB671">
        <v>1231</v>
      </c>
      <c r="AC671">
        <v>202</v>
      </c>
      <c r="AD671">
        <v>1.84</v>
      </c>
      <c r="AE671">
        <v>400</v>
      </c>
      <c r="AF671">
        <v>0.667</v>
      </c>
      <c r="AG671">
        <v>0.067</v>
      </c>
      <c r="AH671">
        <v>0.223999999999999</v>
      </c>
      <c r="AI671">
        <v>87.51</v>
      </c>
      <c r="AJ671">
        <v>2.15</v>
      </c>
      <c r="AK671">
        <v>3917</v>
      </c>
      <c r="AL671">
        <v>733</v>
      </c>
      <c r="AM671">
        <v>113</v>
      </c>
      <c r="AN671">
        <v>0</v>
      </c>
      <c r="AO671">
        <v>119.69</v>
      </c>
      <c r="AP671">
        <v>0.917999999999999</v>
      </c>
      <c r="AQ671">
        <v>0.21</v>
      </c>
      <c r="AR671">
        <v>0.157</v>
      </c>
      <c r="AS671" s="3">
        <v>46107.772835648146</v>
      </c>
    </row>
    <row r="672" ht="25.5" customHeight="1">
      <c r="A672" t="inlineStr">
        <is>
          <t>5ed84e76000000000100323b</t>
        </is>
      </c>
      <c r="B672" s="2" t="str">
        <f>=HYPERLINK("https://www.xiaohongshu.com/user/profile/5ed84e76000000000100323b", "https://www.xiaohongshu.com/user/profile/5ed84e76000000000100323b")</f>
        <v>https://www.xiaohongshu.com/user/profile/5ed84e76000000000100323b</v>
      </c>
      <c r="C672" s="2" t="str">
        <f>=HYPERLINK("https://pgy.xiaohongshu.com/solar/pre-trade/blogger-detail/5ed84e76000000000100323b", "https://pgy.xiaohongshu.com/solar/pre-trade/blogger-detail/5ed84e76000000000100323b")</f>
        <v>https://pgy.xiaohongshu.com/solar/pre-trade/blogger-detail/5ed84e76000000000100323b</v>
      </c>
      <c r="D672" t="inlineStr">
        <is>
          <t>男</t>
        </is>
      </c>
      <c r="E672" t="inlineStr">
        <is>
          <t>823259900</t>
        </is>
      </c>
      <c r="F672" t="inlineStr">
        <is>
          <t>排骨菌菇粥粥</t>
        </is>
      </c>
      <c r="G672" t="inlineStr">
        <is>
          <t>美国</t>
        </is>
      </c>
      <c r="H672"/>
      <c r="I672" t="inlineStr">
        <is>
          <t>教育</t>
        </is>
      </c>
      <c r="J672">
        <v>7907</v>
      </c>
      <c r="K672" t="inlineStr">
        <is>
          <t>0.8</t>
        </is>
      </c>
      <c r="L672">
        <v>42897</v>
      </c>
      <c r="M672">
        <v>8570</v>
      </c>
      <c r="N672">
        <v>1163</v>
      </c>
      <c r="O672">
        <v>300</v>
      </c>
      <c r="P672">
        <v>0.5</v>
      </c>
      <c r="Q672">
        <v>0.75</v>
      </c>
      <c r="R672">
        <v>0</v>
      </c>
      <c r="S672">
        <v>0</v>
      </c>
      <c r="T672">
        <v>0</v>
      </c>
      <c r="U672">
        <v>0</v>
      </c>
      <c r="V672">
        <v>300</v>
      </c>
      <c r="W672">
        <v>0</v>
      </c>
      <c r="X672">
        <v>0</v>
      </c>
      <c r="Y672">
        <v>0</v>
      </c>
      <c r="Z672">
        <v>0</v>
      </c>
      <c r="AA672">
        <v>42897</v>
      </c>
      <c r="AB672">
        <v>8570</v>
      </c>
      <c r="AC672">
        <v>1066</v>
      </c>
      <c r="AD672">
        <v>1.56</v>
      </c>
      <c r="AE672">
        <v>500</v>
      </c>
      <c r="AF672">
        <v>0.75</v>
      </c>
      <c r="AG672">
        <v>0.5</v>
      </c>
      <c r="AH672">
        <v>0.065</v>
      </c>
      <c r="AI672">
        <v>11.66</v>
      </c>
      <c r="AJ672">
        <v>0.43</v>
      </c>
      <c r="AK672">
        <v>0</v>
      </c>
      <c r="AL672">
        <v>0</v>
      </c>
      <c r="AM672">
        <v>0</v>
      </c>
      <c r="AN672">
        <v>0</v>
      </c>
      <c r="AO672">
        <v>0</v>
      </c>
      <c r="AP672">
        <v>0.865</v>
      </c>
      <c r="AQ672">
        <v>0.135</v>
      </c>
      <c r="AR672">
        <v>0.066</v>
      </c>
      <c r="AS672" s="3">
        <v>46107.772835648146</v>
      </c>
    </row>
    <row r="673" ht="25.5" customHeight="1">
      <c r="A673" t="inlineStr">
        <is>
          <t>5da517990000000001005512</t>
        </is>
      </c>
      <c r="B673" s="2" t="str">
        <f>=HYPERLINK("https://www.xiaohongshu.com/user/profile/5da517990000000001005512", "https://www.xiaohongshu.com/user/profile/5da517990000000001005512")</f>
        <v>https://www.xiaohongshu.com/user/profile/5da517990000000001005512</v>
      </c>
      <c r="C673" s="2" t="str">
        <f>=HYPERLINK("https://pgy.xiaohongshu.com/solar/pre-trade/blogger-detail/5da517990000000001005512", "https://pgy.xiaohongshu.com/solar/pre-trade/blogger-detail/5da517990000000001005512")</f>
        <v>https://pgy.xiaohongshu.com/solar/pre-trade/blogger-detail/5da517990000000001005512</v>
      </c>
      <c r="D673" t="inlineStr">
        <is>
          <t>男</t>
        </is>
      </c>
      <c r="E673" t="inlineStr">
        <is>
          <t>870968774</t>
        </is>
      </c>
      <c r="F673" t="inlineStr">
        <is>
          <t>安祖叔叔</t>
        </is>
      </c>
      <c r="G673" t="inlineStr">
        <is>
          <t>加拿大</t>
        </is>
      </c>
      <c r="H673" t="inlineStr">
        <is>
          <t>留学背景</t>
        </is>
      </c>
      <c r="I673" t="inlineStr">
        <is>
          <t>时尚</t>
        </is>
      </c>
      <c r="J673">
        <v>3936</v>
      </c>
      <c r="K673" t="inlineStr">
        <is>
          <t>0.4</t>
        </is>
      </c>
      <c r="L673">
        <v>12984</v>
      </c>
      <c r="M673">
        <v>1609</v>
      </c>
      <c r="N673">
        <v>102</v>
      </c>
      <c r="O673">
        <v>600</v>
      </c>
      <c r="P673">
        <v>0</v>
      </c>
      <c r="Q673">
        <v>0.2</v>
      </c>
      <c r="R673">
        <v>8031</v>
      </c>
      <c r="S673">
        <v>1186</v>
      </c>
      <c r="T673">
        <v>67</v>
      </c>
      <c r="U673">
        <v>1.05</v>
      </c>
      <c r="V673">
        <v>600</v>
      </c>
      <c r="W673">
        <v>0.222</v>
      </c>
      <c r="X673">
        <v>0</v>
      </c>
      <c r="Y673">
        <v>82.24</v>
      </c>
      <c r="Z673">
        <v>6.38</v>
      </c>
      <c r="AA673">
        <v>17937</v>
      </c>
      <c r="AB673">
        <v>2033</v>
      </c>
      <c r="AC673">
        <v>130</v>
      </c>
      <c r="AD673">
        <v>1.99</v>
      </c>
      <c r="AE673">
        <v>1000</v>
      </c>
      <c r="AF673">
        <v>0</v>
      </c>
      <c r="AG673">
        <v>0</v>
      </c>
      <c r="AH673">
        <v>0.03</v>
      </c>
      <c r="AI673">
        <v>55.75</v>
      </c>
      <c r="AJ673">
        <v>6.13</v>
      </c>
      <c r="AK673">
        <v>5461</v>
      </c>
      <c r="AL673">
        <v>669</v>
      </c>
      <c r="AM673">
        <v>89</v>
      </c>
      <c r="AN673">
        <v>0</v>
      </c>
      <c r="AO673">
        <v>0</v>
      </c>
      <c r="AP673">
        <v>0.884</v>
      </c>
      <c r="AQ673">
        <v>0.0819999999999999</v>
      </c>
      <c r="AR673">
        <v>0.025</v>
      </c>
      <c r="AS673" s="3">
        <v>46107.772835648146</v>
      </c>
    </row>
    <row r="674" ht="25.5" customHeight="1">
      <c r="A674" t="inlineStr">
        <is>
          <t>60b068f60000000001001f8a</t>
        </is>
      </c>
      <c r="B674" s="2" t="str">
        <f>=HYPERLINK("https://www.xiaohongshu.com/user/profile/60b068f60000000001001f8a", "https://www.xiaohongshu.com/user/profile/60b068f60000000001001f8a")</f>
        <v>https://www.xiaohongshu.com/user/profile/60b068f60000000001001f8a</v>
      </c>
      <c r="C674" s="2" t="str">
        <f>=HYPERLINK("https://pgy.xiaohongshu.com/solar/pre-trade/blogger-detail/60b068f60000000001001f8a", "https://pgy.xiaohongshu.com/solar/pre-trade/blogger-detail/60b068f60000000001001f8a")</f>
        <v>https://pgy.xiaohongshu.com/solar/pre-trade/blogger-detail/60b068f60000000001001f8a</v>
      </c>
      <c r="D674" t="inlineStr">
        <is>
          <t>男</t>
        </is>
      </c>
      <c r="E674" t="inlineStr">
        <is>
          <t>4295618571</t>
        </is>
      </c>
      <c r="F674" t="inlineStr">
        <is>
          <t>派大鑫✨</t>
        </is>
      </c>
      <c r="G674" t="inlineStr">
        <is>
          <t>四川 成都 双流区</t>
        </is>
      </c>
      <c r="H674"/>
      <c r="I674" t="inlineStr">
        <is>
          <t>教育</t>
        </is>
      </c>
      <c r="J674">
        <v>3507</v>
      </c>
      <c r="K674" t="inlineStr">
        <is>
          <t>0.4</t>
        </is>
      </c>
      <c r="L674">
        <v>9838</v>
      </c>
      <c r="M674">
        <v>4368</v>
      </c>
      <c r="N674">
        <v>594</v>
      </c>
      <c r="O674">
        <v>226</v>
      </c>
      <c r="P674">
        <v>0.332999999999999</v>
      </c>
      <c r="Q674">
        <v>0.667</v>
      </c>
      <c r="R674">
        <v>682062</v>
      </c>
      <c r="S674">
        <v>118921</v>
      </c>
      <c r="T674">
        <v>6512</v>
      </c>
      <c r="U674">
        <v>0.3</v>
      </c>
      <c r="V674">
        <v>226</v>
      </c>
      <c r="W674">
        <v>1</v>
      </c>
      <c r="X674">
        <v>1</v>
      </c>
      <c r="Y674">
        <v>0.33</v>
      </c>
      <c r="Z674">
        <v>0.03</v>
      </c>
      <c r="AA674">
        <v>9687</v>
      </c>
      <c r="AB674">
        <v>2886</v>
      </c>
      <c r="AC674">
        <v>305</v>
      </c>
      <c r="AD674">
        <v>1.64</v>
      </c>
      <c r="AE674">
        <v>415</v>
      </c>
      <c r="AF674">
        <v>0.5</v>
      </c>
      <c r="AG674">
        <v>0</v>
      </c>
      <c r="AH674">
        <v>0.045</v>
      </c>
      <c r="AI674">
        <v>42.84</v>
      </c>
      <c r="AJ674">
        <v>1.13</v>
      </c>
      <c r="AK674">
        <v>0</v>
      </c>
      <c r="AL674">
        <v>0</v>
      </c>
      <c r="AM674">
        <v>0</v>
      </c>
      <c r="AN674">
        <v>0</v>
      </c>
      <c r="AO674">
        <v>0</v>
      </c>
      <c r="AP674">
        <v>0.935</v>
      </c>
      <c r="AQ674">
        <v>0.1</v>
      </c>
      <c r="AR674">
        <v>0.153</v>
      </c>
      <c r="AS674" s="3">
        <v>46107.772835648146</v>
      </c>
    </row>
    <row r="675" ht="25.5" customHeight="1">
      <c r="A675" t="inlineStr">
        <is>
          <t>64666673000000001203539b</t>
        </is>
      </c>
      <c r="B675" s="2" t="str">
        <f>=HYPERLINK("https://www.xiaohongshu.com/user/profile/64666673000000001203539b", "https://www.xiaohongshu.com/user/profile/64666673000000001203539b")</f>
        <v>https://www.xiaohongshu.com/user/profile/64666673000000001203539b</v>
      </c>
      <c r="C675" s="2" t="str">
        <f>=HYPERLINK("https://pgy.xiaohongshu.com/solar/pre-trade/blogger-detail/64666673000000001203539b", "https://pgy.xiaohongshu.com/solar/pre-trade/blogger-detail/64666673000000001203539b")</f>
        <v>https://pgy.xiaohongshu.com/solar/pre-trade/blogger-detail/64666673000000001203539b</v>
      </c>
      <c r="D675" t="inlineStr">
        <is>
          <t>男</t>
        </is>
      </c>
      <c r="E675" t="inlineStr">
        <is>
          <t>9615443252</t>
        </is>
      </c>
      <c r="F675" t="inlineStr">
        <is>
          <t>北美Ian学长（雅思8分）</t>
        </is>
      </c>
      <c r="G675" t="inlineStr">
        <is>
          <t>重庆</t>
        </is>
      </c>
      <c r="H675"/>
      <c r="I675" t="inlineStr">
        <is>
          <t>教育</t>
        </is>
      </c>
      <c r="J675">
        <v>2688</v>
      </c>
      <c r="K675" t="inlineStr">
        <is>
          <t>0.3</t>
        </is>
      </c>
      <c r="L675">
        <v>2130</v>
      </c>
      <c r="M675">
        <v>1561</v>
      </c>
      <c r="N675">
        <v>232</v>
      </c>
      <c r="O675">
        <v>145</v>
      </c>
      <c r="P675">
        <v>0.1</v>
      </c>
      <c r="Q675">
        <v>0.55</v>
      </c>
      <c r="R675">
        <v>0</v>
      </c>
      <c r="S675">
        <v>0</v>
      </c>
      <c r="T675">
        <v>0</v>
      </c>
      <c r="U675">
        <v>0</v>
      </c>
      <c r="V675">
        <v>145</v>
      </c>
      <c r="W675">
        <v>0</v>
      </c>
      <c r="X675">
        <v>0</v>
      </c>
      <c r="Y675">
        <v>0</v>
      </c>
      <c r="Z675">
        <v>0</v>
      </c>
      <c r="AA675">
        <v>2130</v>
      </c>
      <c r="AB675">
        <v>1561</v>
      </c>
      <c r="AC675">
        <v>217</v>
      </c>
      <c r="AD675">
        <v>1.63</v>
      </c>
      <c r="AE675">
        <v>193</v>
      </c>
      <c r="AF675">
        <v>0.55</v>
      </c>
      <c r="AG675">
        <v>0.1</v>
      </c>
      <c r="AH675">
        <v>0.377</v>
      </c>
      <c r="AI675">
        <v>85.74</v>
      </c>
      <c r="AJ675">
        <v>0.87</v>
      </c>
      <c r="AK675">
        <v>6795</v>
      </c>
      <c r="AL675">
        <v>538</v>
      </c>
      <c r="AM675">
        <v>73</v>
      </c>
      <c r="AN675">
        <v>0</v>
      </c>
      <c r="AO675">
        <v>0</v>
      </c>
      <c r="AP675">
        <v>0.899</v>
      </c>
      <c r="AQ675">
        <v>0.166</v>
      </c>
      <c r="AR675">
        <v>0.215</v>
      </c>
      <c r="AS675" s="3">
        <v>46107.772835648146</v>
      </c>
    </row>
    <row r="676" ht="25.5" customHeight="1">
      <c r="A676" t="inlineStr">
        <is>
          <t>5db1ac9c00000000010088a2</t>
        </is>
      </c>
      <c r="B676" s="2" t="str">
        <f>=HYPERLINK("https://www.xiaohongshu.com/user/profile/5db1ac9c00000000010088a2", "https://www.xiaohongshu.com/user/profile/5db1ac9c00000000010088a2")</f>
        <v>https://www.xiaohongshu.com/user/profile/5db1ac9c00000000010088a2</v>
      </c>
      <c r="C676" s="2" t="str">
        <f>=HYPERLINK("https://pgy.xiaohongshu.com/solar/pre-trade/blogger-detail/5db1ac9c00000000010088a2", "https://pgy.xiaohongshu.com/solar/pre-trade/blogger-detail/5db1ac9c00000000010088a2")</f>
        <v>https://pgy.xiaohongshu.com/solar/pre-trade/blogger-detail/5db1ac9c00000000010088a2</v>
      </c>
      <c r="D676" t="inlineStr">
        <is>
          <t>男</t>
        </is>
      </c>
      <c r="E676" t="inlineStr">
        <is>
          <t>591938967</t>
        </is>
      </c>
      <c r="F676" t="inlineStr">
        <is>
          <t>芋头satoimo</t>
        </is>
      </c>
      <c r="G676" t="inlineStr">
        <is>
          <t>浙江 台州 临海市</t>
        </is>
      </c>
      <c r="H676" t="inlineStr">
        <is>
          <t>翻译</t>
        </is>
      </c>
      <c r="I676" t="inlineStr">
        <is>
          <t>教育</t>
        </is>
      </c>
      <c r="J676">
        <v>3212</v>
      </c>
      <c r="K676" t="inlineStr">
        <is>
          <t>0.3</t>
        </is>
      </c>
      <c r="L676">
        <v>7815</v>
      </c>
      <c r="M676">
        <v>4554</v>
      </c>
      <c r="N676">
        <v>354</v>
      </c>
      <c r="O676">
        <v>170</v>
      </c>
      <c r="P676">
        <v>0.125</v>
      </c>
      <c r="Q676">
        <v>0.563</v>
      </c>
      <c r="R676">
        <v>2886</v>
      </c>
      <c r="S676">
        <v>216</v>
      </c>
      <c r="T676">
        <v>12</v>
      </c>
      <c r="U676">
        <v>1.09</v>
      </c>
      <c r="V676">
        <v>170</v>
      </c>
      <c r="W676">
        <v>0</v>
      </c>
      <c r="X676">
        <v>0</v>
      </c>
      <c r="Y676">
        <v>58.91</v>
      </c>
      <c r="Z676">
        <v>12.59</v>
      </c>
      <c r="AA676">
        <v>11294</v>
      </c>
      <c r="AB676">
        <v>5585</v>
      </c>
      <c r="AC676">
        <v>307</v>
      </c>
      <c r="AD676">
        <v>1.54</v>
      </c>
      <c r="AE676">
        <v>233</v>
      </c>
      <c r="AF676">
        <v>0.643</v>
      </c>
      <c r="AG676">
        <v>0.143</v>
      </c>
      <c r="AH676">
        <v>0.429</v>
      </c>
      <c r="AI676">
        <v>20.63</v>
      </c>
      <c r="AJ676">
        <v>0.49</v>
      </c>
      <c r="AK676">
        <v>0</v>
      </c>
      <c r="AL676">
        <v>0</v>
      </c>
      <c r="AM676">
        <v>0</v>
      </c>
      <c r="AN676">
        <v>0</v>
      </c>
      <c r="AO676">
        <v>0</v>
      </c>
      <c r="AP676">
        <v>1</v>
      </c>
      <c r="AQ676">
        <v>0.337</v>
      </c>
      <c r="AR676">
        <v>0</v>
      </c>
      <c r="AS676" s="3">
        <v>46107.772835648146</v>
      </c>
    </row>
    <row r="677" ht="25.5" customHeight="1">
      <c r="A677" t="inlineStr">
        <is>
          <t>5e3cf7a3000000000100bb08</t>
        </is>
      </c>
      <c r="B677" s="2" t="str">
        <f>=HYPERLINK("https://www.xiaohongshu.com/user/profile/5e3cf7a3000000000100bb08", "https://www.xiaohongshu.com/user/profile/5e3cf7a3000000000100bb08")</f>
        <v>https://www.xiaohongshu.com/user/profile/5e3cf7a3000000000100bb08</v>
      </c>
      <c r="C677" s="2" t="str">
        <f>=HYPERLINK("https://pgy.xiaohongshu.com/solar/pre-trade/blogger-detail/5e3cf7a3000000000100bb08", "https://pgy.xiaohongshu.com/solar/pre-trade/blogger-detail/5e3cf7a3000000000100bb08")</f>
        <v>https://pgy.xiaohongshu.com/solar/pre-trade/blogger-detail/5e3cf7a3000000000100bb08</v>
      </c>
      <c r="D677" t="inlineStr">
        <is>
          <t>女</t>
        </is>
      </c>
      <c r="E677" t="inlineStr">
        <is>
          <t>waixingrenoolmt</t>
        </is>
      </c>
      <c r="F677" t="inlineStr">
        <is>
          <t>Alienooops</t>
        </is>
      </c>
      <c r="G677" t="inlineStr">
        <is>
          <t>重庆</t>
        </is>
      </c>
      <c r="H677"/>
      <c r="I677" t="inlineStr">
        <is>
          <t>教育, 音乐</t>
        </is>
      </c>
      <c r="J677">
        <v>1535</v>
      </c>
      <c r="K677" t="inlineStr">
        <is>
          <t>0.2</t>
        </is>
      </c>
      <c r="L677">
        <v>4200</v>
      </c>
      <c r="M677">
        <v>661</v>
      </c>
      <c r="N677">
        <v>102</v>
      </c>
      <c r="O677">
        <v>222</v>
      </c>
      <c r="P677">
        <v>0.125</v>
      </c>
      <c r="Q677">
        <v>0.313</v>
      </c>
      <c r="R677">
        <v>2937</v>
      </c>
      <c r="S677">
        <v>437</v>
      </c>
      <c r="T677">
        <v>11</v>
      </c>
      <c r="U677">
        <v>0.81</v>
      </c>
      <c r="V677">
        <v>222</v>
      </c>
      <c r="W677">
        <v>0.2</v>
      </c>
      <c r="X677">
        <v>0</v>
      </c>
      <c r="Y677">
        <v>75.57</v>
      </c>
      <c r="Z677">
        <v>19.3</v>
      </c>
      <c r="AA677">
        <v>5582</v>
      </c>
      <c r="AB677">
        <v>1122</v>
      </c>
      <c r="AC677">
        <v>150</v>
      </c>
      <c r="AD677">
        <v>1.85</v>
      </c>
      <c r="AE677">
        <v>389</v>
      </c>
      <c r="AF677">
        <v>0.5</v>
      </c>
      <c r="AG677">
        <v>0.332999999999999</v>
      </c>
      <c r="AH677">
        <v>0.0289999999999999</v>
      </c>
      <c r="AI677">
        <v>69.68</v>
      </c>
      <c r="AJ677">
        <v>2.36</v>
      </c>
      <c r="AK677">
        <v>0</v>
      </c>
      <c r="AL677">
        <v>0</v>
      </c>
      <c r="AM677">
        <v>0</v>
      </c>
      <c r="AN677">
        <v>0</v>
      </c>
      <c r="AO677">
        <v>0</v>
      </c>
      <c r="AP677">
        <v>0.873</v>
      </c>
      <c r="AQ677">
        <v>0.38</v>
      </c>
      <c r="AR677">
        <v>0</v>
      </c>
      <c r="AS677" s="3">
        <v>46107.772835648146</v>
      </c>
    </row>
    <row r="678" ht="25.5" customHeight="1">
      <c r="A678" t="inlineStr">
        <is>
          <t>5f2ea7c50000000001007ba6</t>
        </is>
      </c>
      <c r="B678" s="2" t="str">
        <f>=HYPERLINK("https://www.xiaohongshu.com/user/profile/5f2ea7c50000000001007ba6", "https://www.xiaohongshu.com/user/profile/5f2ea7c50000000001007ba6")</f>
        <v>https://www.xiaohongshu.com/user/profile/5f2ea7c50000000001007ba6</v>
      </c>
      <c r="C678" s="2" t="str">
        <f>=HYPERLINK("https://pgy.xiaohongshu.com/solar/pre-trade/blogger-detail/5f2ea7c50000000001007ba6", "https://pgy.xiaohongshu.com/solar/pre-trade/blogger-detail/5f2ea7c50000000001007ba6")</f>
        <v>https://pgy.xiaohongshu.com/solar/pre-trade/blogger-detail/5f2ea7c50000000001007ba6</v>
      </c>
      <c r="D678" t="inlineStr">
        <is>
          <t>女</t>
        </is>
      </c>
      <c r="E678" t="inlineStr">
        <is>
          <t>VX_18850040014</t>
        </is>
      </c>
      <c r="F678" t="inlineStr">
        <is>
          <t>椰子研究所</t>
        </is>
      </c>
      <c r="G678" t="inlineStr">
        <is>
          <t>江苏 徐州 泉山区</t>
        </is>
      </c>
      <c r="H678" t="inlineStr">
        <is>
          <t>考研过来人, 学生, 运营</t>
        </is>
      </c>
      <c r="I678" t="inlineStr">
        <is>
          <t>教育, 生活记录</t>
        </is>
      </c>
      <c r="J678">
        <v>6123</v>
      </c>
      <c r="K678" t="inlineStr">
        <is>
          <t>0.6</t>
        </is>
      </c>
      <c r="L678">
        <v>7493</v>
      </c>
      <c r="M678">
        <v>918</v>
      </c>
      <c r="N678">
        <v>187</v>
      </c>
      <c r="O678">
        <v>350</v>
      </c>
      <c r="P678">
        <v>0</v>
      </c>
      <c r="Q678">
        <v>0.545</v>
      </c>
      <c r="R678">
        <v>7493</v>
      </c>
      <c r="S678">
        <v>918</v>
      </c>
      <c r="T678">
        <v>159</v>
      </c>
      <c r="U678">
        <v>0.76</v>
      </c>
      <c r="V678">
        <v>350</v>
      </c>
      <c r="W678">
        <v>0.545</v>
      </c>
      <c r="X678">
        <v>0</v>
      </c>
      <c r="Y678">
        <v>62.98</v>
      </c>
      <c r="Z678">
        <v>2.73</v>
      </c>
      <c r="AA678">
        <v>0</v>
      </c>
      <c r="AB678">
        <v>0</v>
      </c>
      <c r="AC678">
        <v>0</v>
      </c>
      <c r="AD678">
        <v>0</v>
      </c>
      <c r="AE678">
        <v>500</v>
      </c>
      <c r="AF678">
        <v>0</v>
      </c>
      <c r="AG678">
        <v>0</v>
      </c>
      <c r="AH678">
        <v>0</v>
      </c>
      <c r="AI678">
        <v>0</v>
      </c>
      <c r="AJ678">
        <v>0</v>
      </c>
      <c r="AK678">
        <v>3410</v>
      </c>
      <c r="AL678">
        <v>295</v>
      </c>
      <c r="AM678">
        <v>89</v>
      </c>
      <c r="AN678">
        <v>0</v>
      </c>
      <c r="AO678">
        <v>71.02</v>
      </c>
      <c r="AP678">
        <v>0.402999999999999</v>
      </c>
      <c r="AQ678">
        <v>0.035</v>
      </c>
      <c r="AR678">
        <v>0.045</v>
      </c>
      <c r="AS678" s="3">
        <v>46107.772835648146</v>
      </c>
    </row>
    <row r="679" ht="25.5" customHeight="1">
      <c r="A679" t="inlineStr">
        <is>
          <t>609a90ce0000000001001e5a</t>
        </is>
      </c>
      <c r="B679" s="2" t="str">
        <f>=HYPERLINK("https://www.xiaohongshu.com/user/profile/609a90ce0000000001001e5a", "https://www.xiaohongshu.com/user/profile/609a90ce0000000001001e5a")</f>
        <v>https://www.xiaohongshu.com/user/profile/609a90ce0000000001001e5a</v>
      </c>
      <c r="C679" s="2" t="str">
        <f>=HYPERLINK("https://pgy.xiaohongshu.com/solar/pre-trade/blogger-detail/609a90ce0000000001001e5a", "https://pgy.xiaohongshu.com/solar/pre-trade/blogger-detail/609a90ce0000000001001e5a")</f>
        <v>https://pgy.xiaohongshu.com/solar/pre-trade/blogger-detail/609a90ce0000000001001e5a</v>
      </c>
      <c r="D679" t="inlineStr">
        <is>
          <t>女</t>
        </is>
      </c>
      <c r="E679" t="inlineStr">
        <is>
          <t>1140261397</t>
        </is>
      </c>
      <c r="F679" t="inlineStr">
        <is>
          <t>在下毛毛雨</t>
        </is>
      </c>
      <c r="G679" t="inlineStr">
        <is>
          <t>江西 南昌 南昌县</t>
        </is>
      </c>
      <c r="H679"/>
      <c r="I679" t="inlineStr">
        <is>
          <t>教育</t>
        </is>
      </c>
      <c r="J679">
        <v>1229</v>
      </c>
      <c r="K679" t="inlineStr">
        <is>
          <t>0.1</t>
        </is>
      </c>
      <c r="L679">
        <v>9520</v>
      </c>
      <c r="M679">
        <v>1654</v>
      </c>
      <c r="N679">
        <v>114</v>
      </c>
      <c r="O679">
        <v>225</v>
      </c>
      <c r="P679">
        <v>0</v>
      </c>
      <c r="Q679">
        <v>0</v>
      </c>
      <c r="R679">
        <v>0</v>
      </c>
      <c r="S679">
        <v>0</v>
      </c>
      <c r="T679">
        <v>0</v>
      </c>
      <c r="U679">
        <v>0</v>
      </c>
      <c r="V679">
        <v>225</v>
      </c>
      <c r="W679">
        <v>0</v>
      </c>
      <c r="X679">
        <v>0</v>
      </c>
      <c r="Y679">
        <v>0</v>
      </c>
      <c r="Z679">
        <v>0</v>
      </c>
      <c r="AA679">
        <v>9520</v>
      </c>
      <c r="AB679">
        <v>1654</v>
      </c>
      <c r="AC679">
        <v>109</v>
      </c>
      <c r="AD679">
        <v>1.72</v>
      </c>
      <c r="AE679">
        <v>366</v>
      </c>
      <c r="AF679">
        <v>0</v>
      </c>
      <c r="AG679">
        <v>0</v>
      </c>
      <c r="AH679">
        <v>0.053</v>
      </c>
      <c r="AI679">
        <v>38.44</v>
      </c>
      <c r="AJ679">
        <v>3.2</v>
      </c>
      <c r="AK679">
        <v>0</v>
      </c>
      <c r="AL679">
        <v>0</v>
      </c>
      <c r="AM679">
        <v>0</v>
      </c>
      <c r="AN679">
        <v>0</v>
      </c>
      <c r="AO679">
        <v>0</v>
      </c>
      <c r="AP679">
        <v>0.941</v>
      </c>
      <c r="AQ679">
        <v>0.0289999999999999</v>
      </c>
      <c r="AR679">
        <v>0.0289999999999999</v>
      </c>
      <c r="AS679" s="3">
        <v>46107.772835648146</v>
      </c>
    </row>
    <row r="680" ht="25.5" customHeight="1">
      <c r="A680" t="inlineStr">
        <is>
          <t>58da0a5882ec3965eba93d3d</t>
        </is>
      </c>
      <c r="B680" s="2" t="str">
        <f>=HYPERLINK("https://www.xiaohongshu.com/user/profile/58da0a5882ec3965eba93d3d", "https://www.xiaohongshu.com/user/profile/58da0a5882ec3965eba93d3d")</f>
        <v>https://www.xiaohongshu.com/user/profile/58da0a5882ec3965eba93d3d</v>
      </c>
      <c r="C680" s="2" t="str">
        <f>=HYPERLINK("https://pgy.xiaohongshu.com/solar/pre-trade/blogger-detail/58da0a5882ec3965eba93d3d", "https://pgy.xiaohongshu.com/solar/pre-trade/blogger-detail/58da0a5882ec3965eba93d3d")</f>
        <v>https://pgy.xiaohongshu.com/solar/pre-trade/blogger-detail/58da0a5882ec3965eba93d3d</v>
      </c>
      <c r="D680" t="inlineStr">
        <is>
          <t>女</t>
        </is>
      </c>
      <c r="E680" t="inlineStr">
        <is>
          <t>XUEGXUE</t>
        </is>
      </c>
      <c r="F680" t="inlineStr">
        <is>
          <t>XUEGXUE</t>
        </is>
      </c>
      <c r="G680" t="inlineStr">
        <is>
          <t>澳大利亚</t>
        </is>
      </c>
      <c r="H680" t="inlineStr">
        <is>
          <t>留学背景, 海外华人, 平面设计师</t>
        </is>
      </c>
      <c r="I680" t="inlineStr">
        <is>
          <t>文化艺术</t>
        </is>
      </c>
      <c r="J680">
        <v>18873</v>
      </c>
      <c r="K680" t="inlineStr">
        <is>
          <t>1.9</t>
        </is>
      </c>
      <c r="L680">
        <v>23055</v>
      </c>
      <c r="M680">
        <v>3415</v>
      </c>
      <c r="N680">
        <v>794</v>
      </c>
      <c r="O680">
        <v>3650</v>
      </c>
      <c r="P680">
        <v>0</v>
      </c>
      <c r="Q680">
        <v>1</v>
      </c>
      <c r="R680">
        <v>0</v>
      </c>
      <c r="S680">
        <v>0</v>
      </c>
      <c r="T680">
        <v>0</v>
      </c>
      <c r="U680">
        <v>0</v>
      </c>
      <c r="V680">
        <v>3650</v>
      </c>
      <c r="W680">
        <v>0</v>
      </c>
      <c r="X680">
        <v>0</v>
      </c>
      <c r="Y680">
        <v>0</v>
      </c>
      <c r="Z680">
        <v>0</v>
      </c>
      <c r="AA680">
        <v>23055</v>
      </c>
      <c r="AB680">
        <v>3415</v>
      </c>
      <c r="AC680">
        <v>677</v>
      </c>
      <c r="AD680">
        <v>3.84</v>
      </c>
      <c r="AE680">
        <v>8000</v>
      </c>
      <c r="AF680">
        <v>1</v>
      </c>
      <c r="AG680">
        <v>0</v>
      </c>
      <c r="AH680">
        <v>0.077</v>
      </c>
      <c r="AI680">
        <v>347</v>
      </c>
      <c r="AJ680">
        <v>10.08</v>
      </c>
      <c r="AK680">
        <v>0</v>
      </c>
      <c r="AL680">
        <v>0</v>
      </c>
      <c r="AM680">
        <v>0</v>
      </c>
      <c r="AN680">
        <v>0</v>
      </c>
      <c r="AO680">
        <v>0</v>
      </c>
      <c r="AP680">
        <v>0.9</v>
      </c>
      <c r="AQ680">
        <v>0.059</v>
      </c>
      <c r="AR680">
        <v>0.036</v>
      </c>
      <c r="AS680" s="3">
        <v>46107.772835648146</v>
      </c>
    </row>
    <row r="681" ht="25.5" customHeight="1">
      <c r="A681" t="inlineStr">
        <is>
          <t>60c595a5000000000100554e</t>
        </is>
      </c>
      <c r="B681" s="2" t="str">
        <f>=HYPERLINK("https://www.xiaohongshu.com/user/profile/60c595a5000000000100554e", "https://www.xiaohongshu.com/user/profile/60c595a5000000000100554e")</f>
        <v>https://www.xiaohongshu.com/user/profile/60c595a5000000000100554e</v>
      </c>
      <c r="C681" s="2" t="str">
        <f>=HYPERLINK("https://pgy.xiaohongshu.com/solar/pre-trade/blogger-detail/60c595a5000000000100554e", "https://pgy.xiaohongshu.com/solar/pre-trade/blogger-detail/60c595a5000000000100554e")</f>
        <v>https://pgy.xiaohongshu.com/solar/pre-trade/blogger-detail/60c595a5000000000100554e</v>
      </c>
      <c r="D681" t="inlineStr">
        <is>
          <t>女</t>
        </is>
      </c>
      <c r="E681" t="inlineStr">
        <is>
          <t>1153206928</t>
        </is>
      </c>
      <c r="F681" t="inlineStr">
        <is>
          <t>快乐小姐</t>
        </is>
      </c>
      <c r="G681" t="inlineStr">
        <is>
          <t>安徽 合肥 蜀山区</t>
        </is>
      </c>
      <c r="H681"/>
      <c r="I681" t="inlineStr">
        <is>
          <t>教育</t>
        </is>
      </c>
      <c r="J681">
        <v>1737</v>
      </c>
      <c r="K681" t="inlineStr">
        <is>
          <t>0.2</t>
        </is>
      </c>
      <c r="L681">
        <v>4955</v>
      </c>
      <c r="M681">
        <v>1875</v>
      </c>
      <c r="N681">
        <v>279</v>
      </c>
      <c r="O681">
        <v>230</v>
      </c>
      <c r="P681">
        <v>0.2</v>
      </c>
      <c r="Q681">
        <v>0.6</v>
      </c>
      <c r="R681">
        <v>1383</v>
      </c>
      <c r="S681">
        <v>145</v>
      </c>
      <c r="T681">
        <v>18</v>
      </c>
      <c r="U681">
        <v>1.89</v>
      </c>
      <c r="V681">
        <v>230</v>
      </c>
      <c r="W681">
        <v>0</v>
      </c>
      <c r="X681">
        <v>0</v>
      </c>
      <c r="Y681">
        <v>166.31</v>
      </c>
      <c r="Z681">
        <v>11.5</v>
      </c>
      <c r="AA681">
        <v>5946</v>
      </c>
      <c r="AB681">
        <v>1929</v>
      </c>
      <c r="AC681">
        <v>288</v>
      </c>
      <c r="AD681">
        <v>1.69</v>
      </c>
      <c r="AE681">
        <v>360</v>
      </c>
      <c r="AF681">
        <v>0.667</v>
      </c>
      <c r="AG681">
        <v>0.222</v>
      </c>
      <c r="AH681">
        <v>0.011</v>
      </c>
      <c r="AI681">
        <v>60.54</v>
      </c>
      <c r="AJ681">
        <v>1.28</v>
      </c>
      <c r="AK681">
        <v>0</v>
      </c>
      <c r="AL681">
        <v>0</v>
      </c>
      <c r="AM681">
        <v>0</v>
      </c>
      <c r="AN681">
        <v>0</v>
      </c>
      <c r="AO681">
        <v>0</v>
      </c>
      <c r="AP681">
        <v>0.902</v>
      </c>
      <c r="AQ681">
        <v>0.148</v>
      </c>
      <c r="AR681">
        <v>0.209</v>
      </c>
      <c r="AS681" s="3">
        <v>46107.77311342592</v>
      </c>
    </row>
    <row r="682" ht="25.5" customHeight="1">
      <c r="A682" t="inlineStr">
        <is>
          <t>5b1bf23411be107830be2210</t>
        </is>
      </c>
      <c r="B682" s="2" t="str">
        <f>=HYPERLINK("https://www.xiaohongshu.com/user/profile/5b1bf23411be107830be2210", "https://www.xiaohongshu.com/user/profile/5b1bf23411be107830be2210")</f>
        <v>https://www.xiaohongshu.com/user/profile/5b1bf23411be107830be2210</v>
      </c>
      <c r="C682" s="2" t="str">
        <f>=HYPERLINK("https://pgy.xiaohongshu.com/solar/pre-trade/blogger-detail/5b1bf23411be107830be2210", "https://pgy.xiaohongshu.com/solar/pre-trade/blogger-detail/5b1bf23411be107830be2210")</f>
        <v>https://pgy.xiaohongshu.com/solar/pre-trade/blogger-detail/5b1bf23411be107830be2210</v>
      </c>
      <c r="D682" t="inlineStr">
        <is>
          <t>女</t>
        </is>
      </c>
      <c r="E682" t="inlineStr">
        <is>
          <t>Kiki0129</t>
        </is>
      </c>
      <c r="F682" t="inlineStr">
        <is>
          <t>是千千也是万万</t>
        </is>
      </c>
      <c r="G682" t="inlineStr">
        <is>
          <t>浙江 宁波 鄞州区</t>
        </is>
      </c>
      <c r="H682" t="inlineStr">
        <is>
          <t>考研过来人, 学生</t>
        </is>
      </c>
      <c r="I682" t="inlineStr">
        <is>
          <t>教育</t>
        </is>
      </c>
      <c r="J682">
        <v>1726</v>
      </c>
      <c r="K682" t="inlineStr">
        <is>
          <t>0.2</t>
        </is>
      </c>
      <c r="L682">
        <v>22961</v>
      </c>
      <c r="M682">
        <v>5050</v>
      </c>
      <c r="N682">
        <v>1388</v>
      </c>
      <c r="O682">
        <v>350</v>
      </c>
      <c r="P682">
        <v>0.5</v>
      </c>
      <c r="Q682">
        <v>0.5</v>
      </c>
      <c r="R682">
        <v>0</v>
      </c>
      <c r="S682">
        <v>0</v>
      </c>
      <c r="T682">
        <v>0</v>
      </c>
      <c r="U682">
        <v>0.58</v>
      </c>
      <c r="V682">
        <v>350</v>
      </c>
      <c r="W682">
        <v>0</v>
      </c>
      <c r="X682">
        <v>0</v>
      </c>
      <c r="Y682">
        <v>16.75</v>
      </c>
      <c r="Z682">
        <v>5.3</v>
      </c>
      <c r="AA682">
        <v>22961</v>
      </c>
      <c r="AB682">
        <v>5050</v>
      </c>
      <c r="AC682">
        <v>1288</v>
      </c>
      <c r="AD682">
        <v>1.63</v>
      </c>
      <c r="AE682">
        <v>660</v>
      </c>
      <c r="AF682">
        <v>0.5</v>
      </c>
      <c r="AG682">
        <v>0.5</v>
      </c>
      <c r="AH682">
        <v>0.079</v>
      </c>
      <c r="AI682">
        <v>28.74</v>
      </c>
      <c r="AJ682">
        <v>0.48</v>
      </c>
      <c r="AK682">
        <v>20890</v>
      </c>
      <c r="AL682">
        <v>1263</v>
      </c>
      <c r="AM682">
        <v>55</v>
      </c>
      <c r="AN682">
        <v>0</v>
      </c>
      <c r="AO682">
        <v>0</v>
      </c>
      <c r="AP682">
        <v>0.818</v>
      </c>
      <c r="AQ682">
        <v>0.045</v>
      </c>
      <c r="AR682">
        <v>0.039</v>
      </c>
      <c r="AS682" s="3">
        <v>46107.77311342592</v>
      </c>
    </row>
    <row r="683" ht="25.5" customHeight="1">
      <c r="A683" t="inlineStr">
        <is>
          <t>66f4900a000000001d032929</t>
        </is>
      </c>
      <c r="B683" s="2" t="str">
        <f>=HYPERLINK("https://www.xiaohongshu.com/user/profile/66f4900a000000001d032929", "https://www.xiaohongshu.com/user/profile/66f4900a000000001d032929")</f>
        <v>https://www.xiaohongshu.com/user/profile/66f4900a000000001d032929</v>
      </c>
      <c r="C683" s="2" t="str">
        <f>=HYPERLINK("https://pgy.xiaohongshu.com/solar/pre-trade/blogger-detail/66f4900a000000001d032929", "https://pgy.xiaohongshu.com/solar/pre-trade/blogger-detail/66f4900a000000001d032929")</f>
        <v>https://pgy.xiaohongshu.com/solar/pre-trade/blogger-detail/66f4900a000000001d032929</v>
      </c>
      <c r="D683" t="inlineStr">
        <is>
          <t>女</t>
        </is>
      </c>
      <c r="E683" t="inlineStr">
        <is>
          <t>63809950859</t>
        </is>
      </c>
      <c r="F683" t="inlineStr">
        <is>
          <t>龙虾堡不想吃鱼</t>
        </is>
      </c>
      <c r="G683" t="inlineStr">
        <is>
          <t>英国</t>
        </is>
      </c>
      <c r="H683" t="inlineStr">
        <is>
          <t>海外华人, 留学背景</t>
        </is>
      </c>
      <c r="I683" t="inlineStr">
        <is>
          <t>教育</t>
        </is>
      </c>
      <c r="J683">
        <v>4670</v>
      </c>
      <c r="K683" t="inlineStr">
        <is>
          <t>0.5</t>
        </is>
      </c>
      <c r="L683">
        <v>10437</v>
      </c>
      <c r="M683">
        <v>1654</v>
      </c>
      <c r="N683">
        <v>180</v>
      </c>
      <c r="O683">
        <v>600</v>
      </c>
      <c r="P683">
        <v>0</v>
      </c>
      <c r="Q683">
        <v>0.667</v>
      </c>
      <c r="R683">
        <v>0</v>
      </c>
      <c r="S683">
        <v>0</v>
      </c>
      <c r="T683">
        <v>0</v>
      </c>
      <c r="U683">
        <v>2.48</v>
      </c>
      <c r="V683">
        <v>600</v>
      </c>
      <c r="W683">
        <v>0</v>
      </c>
      <c r="X683">
        <v>0</v>
      </c>
      <c r="Y683">
        <v>277.65</v>
      </c>
      <c r="Z683">
        <v>66.67</v>
      </c>
      <c r="AA683">
        <v>10437</v>
      </c>
      <c r="AB683">
        <v>1654</v>
      </c>
      <c r="AC683">
        <v>167</v>
      </c>
      <c r="AD683">
        <v>2.1</v>
      </c>
      <c r="AE683">
        <v>1000</v>
      </c>
      <c r="AF683">
        <v>0.667</v>
      </c>
      <c r="AG683">
        <v>0</v>
      </c>
      <c r="AH683">
        <v>0.134</v>
      </c>
      <c r="AI683">
        <v>95.81</v>
      </c>
      <c r="AJ683">
        <v>4.83</v>
      </c>
      <c r="AK683">
        <v>7365</v>
      </c>
      <c r="AL683">
        <v>1283</v>
      </c>
      <c r="AM683">
        <v>189</v>
      </c>
      <c r="AN683">
        <v>0</v>
      </c>
      <c r="AO683">
        <v>0</v>
      </c>
      <c r="AP683">
        <v>0.895</v>
      </c>
      <c r="AQ683">
        <v>0.065</v>
      </c>
      <c r="AR683">
        <v>0.047</v>
      </c>
      <c r="AS683" s="3">
        <v>46107.77311342592</v>
      </c>
    </row>
    <row r="684" ht="25.5" customHeight="1">
      <c r="A684" t="inlineStr">
        <is>
          <t>633a8477000000001802df3e</t>
        </is>
      </c>
      <c r="B684" s="2" t="str">
        <f>=HYPERLINK("https://www.xiaohongshu.com/user/profile/633a8477000000001802df3e", "https://www.xiaohongshu.com/user/profile/633a8477000000001802df3e")</f>
        <v>https://www.xiaohongshu.com/user/profile/633a8477000000001802df3e</v>
      </c>
      <c r="C684" s="2" t="str">
        <f>=HYPERLINK("https://pgy.xiaohongshu.com/solar/pre-trade/blogger-detail/633a8477000000001802df3e", "https://pgy.xiaohongshu.com/solar/pre-trade/blogger-detail/633a8477000000001802df3e")</f>
        <v>https://pgy.xiaohongshu.com/solar/pre-trade/blogger-detail/633a8477000000001802df3e</v>
      </c>
      <c r="D684" t="inlineStr">
        <is>
          <t>女</t>
        </is>
      </c>
      <c r="E684" t="inlineStr">
        <is>
          <t>5482678792</t>
        </is>
      </c>
      <c r="F684" t="inlineStr">
        <is>
          <t>小鱼游啊游</t>
        </is>
      </c>
      <c r="G684" t="inlineStr">
        <is>
          <t>浙江 湖州 吴兴区</t>
        </is>
      </c>
      <c r="H684" t="inlineStr">
        <is>
          <t>学生</t>
        </is>
      </c>
      <c r="I684" t="inlineStr">
        <is>
          <t>教育</t>
        </is>
      </c>
      <c r="J684">
        <v>3542</v>
      </c>
      <c r="K684" t="inlineStr">
        <is>
          <t>0.4</t>
        </is>
      </c>
      <c r="L684">
        <v>33901</v>
      </c>
      <c r="M684">
        <v>6938</v>
      </c>
      <c r="N684">
        <v>1329</v>
      </c>
      <c r="O684">
        <v>300</v>
      </c>
      <c r="P684">
        <v>0</v>
      </c>
      <c r="Q684">
        <v>0.667</v>
      </c>
      <c r="R684">
        <v>33901</v>
      </c>
      <c r="S684">
        <v>6938</v>
      </c>
      <c r="T684">
        <v>829</v>
      </c>
      <c r="U684">
        <v>0.35</v>
      </c>
      <c r="V684">
        <v>300</v>
      </c>
      <c r="W684">
        <v>0.667</v>
      </c>
      <c r="X684">
        <v>0</v>
      </c>
      <c r="Y684">
        <v>9.58</v>
      </c>
      <c r="Z684">
        <v>0.25</v>
      </c>
      <c r="AA684">
        <v>0</v>
      </c>
      <c r="AB684">
        <v>0</v>
      </c>
      <c r="AC684">
        <v>0</v>
      </c>
      <c r="AD684">
        <v>0</v>
      </c>
      <c r="AE684">
        <v>300</v>
      </c>
      <c r="AF684">
        <v>0</v>
      </c>
      <c r="AG684">
        <v>0</v>
      </c>
      <c r="AH684">
        <v>0</v>
      </c>
      <c r="AI684">
        <v>0</v>
      </c>
      <c r="AJ684">
        <v>0</v>
      </c>
      <c r="AK684">
        <v>28707</v>
      </c>
      <c r="AL684">
        <v>4513</v>
      </c>
      <c r="AM684">
        <v>1076</v>
      </c>
      <c r="AN684">
        <v>0</v>
      </c>
      <c r="AO684">
        <v>0</v>
      </c>
      <c r="AP684">
        <v>0.795</v>
      </c>
      <c r="AQ684">
        <v>0.08</v>
      </c>
      <c r="AR684">
        <v>0.142</v>
      </c>
      <c r="AS684" s="3">
        <v>46107.77311342592</v>
      </c>
    </row>
    <row r="685" ht="25.5" customHeight="1">
      <c r="A685" t="inlineStr">
        <is>
          <t>6510234b0000000012004bc4</t>
        </is>
      </c>
      <c r="B685" s="2" t="str">
        <f>=HYPERLINK("https://www.xiaohongshu.com/user/profile/6510234b0000000012004bc4", "https://www.xiaohongshu.com/user/profile/6510234b0000000012004bc4")</f>
        <v>https://www.xiaohongshu.com/user/profile/6510234b0000000012004bc4</v>
      </c>
      <c r="C685" s="2" t="str">
        <f>=HYPERLINK("https://pgy.xiaohongshu.com/solar/pre-trade/blogger-detail/6510234b0000000012004bc4", "https://pgy.xiaohongshu.com/solar/pre-trade/blogger-detail/6510234b0000000012004bc4")</f>
        <v>https://pgy.xiaohongshu.com/solar/pre-trade/blogger-detail/6510234b0000000012004bc4</v>
      </c>
      <c r="D685" t="inlineStr">
        <is>
          <t>女</t>
        </is>
      </c>
      <c r="E685" t="inlineStr">
        <is>
          <t>Liu15220906</t>
        </is>
      </c>
      <c r="F685" t="inlineStr">
        <is>
          <t>溜溜很忙</t>
        </is>
      </c>
      <c r="G685" t="inlineStr">
        <is>
          <t>重庆</t>
        </is>
      </c>
      <c r="H685"/>
      <c r="I685" t="inlineStr">
        <is>
          <t>教育</t>
        </is>
      </c>
      <c r="J685">
        <v>18882</v>
      </c>
      <c r="K685" t="inlineStr">
        <is>
          <t>1.9</t>
        </is>
      </c>
      <c r="L685">
        <v>7283</v>
      </c>
      <c r="M685">
        <v>1148</v>
      </c>
      <c r="N685">
        <v>114</v>
      </c>
      <c r="O685">
        <v>800</v>
      </c>
      <c r="P685">
        <v>0</v>
      </c>
      <c r="Q685">
        <v>0.222</v>
      </c>
      <c r="R685">
        <v>9639</v>
      </c>
      <c r="S685">
        <v>683</v>
      </c>
      <c r="T685">
        <v>15</v>
      </c>
      <c r="U685">
        <v>1.47</v>
      </c>
      <c r="V685">
        <v>800</v>
      </c>
      <c r="W685">
        <v>0</v>
      </c>
      <c r="X685">
        <v>0</v>
      </c>
      <c r="Y685">
        <v>83</v>
      </c>
      <c r="Z685">
        <v>42.11</v>
      </c>
      <c r="AA685">
        <v>5428</v>
      </c>
      <c r="AB685">
        <v>1409</v>
      </c>
      <c r="AC685">
        <v>100</v>
      </c>
      <c r="AD685">
        <v>3.63</v>
      </c>
      <c r="AE685">
        <v>3000</v>
      </c>
      <c r="AF685">
        <v>0.267</v>
      </c>
      <c r="AG685">
        <v>0</v>
      </c>
      <c r="AH685">
        <v>0.241</v>
      </c>
      <c r="AI685">
        <v>552.69</v>
      </c>
      <c r="AJ685">
        <v>19.35</v>
      </c>
      <c r="AK685">
        <v>0</v>
      </c>
      <c r="AL685">
        <v>0</v>
      </c>
      <c r="AM685">
        <v>0</v>
      </c>
      <c r="AN685">
        <v>0</v>
      </c>
      <c r="AO685">
        <v>0</v>
      </c>
      <c r="AP685">
        <v>0.86</v>
      </c>
      <c r="AQ685">
        <v>0.0819999999999999</v>
      </c>
      <c r="AR685">
        <v>0.086</v>
      </c>
      <c r="AS685" s="3">
        <v>46107.77311342592</v>
      </c>
    </row>
    <row r="686" ht="25.5" customHeight="1">
      <c r="A686" t="inlineStr">
        <is>
          <t>5c3740e50000000005019405</t>
        </is>
      </c>
      <c r="B686" s="2" t="str">
        <f>=HYPERLINK("https://www.xiaohongshu.com/user/profile/5c3740e50000000005019405", "https://www.xiaohongshu.com/user/profile/5c3740e50000000005019405")</f>
        <v>https://www.xiaohongshu.com/user/profile/5c3740e50000000005019405</v>
      </c>
      <c r="C686" s="2" t="str">
        <f>=HYPERLINK("https://pgy.xiaohongshu.com/solar/pre-trade/blogger-detail/5c3740e50000000005019405", "https://pgy.xiaohongshu.com/solar/pre-trade/blogger-detail/5c3740e50000000005019405")</f>
        <v>https://pgy.xiaohongshu.com/solar/pre-trade/blogger-detail/5c3740e50000000005019405</v>
      </c>
      <c r="D686" t="inlineStr">
        <is>
          <t>女</t>
        </is>
      </c>
      <c r="E686" t="inlineStr">
        <is>
          <t>506057797</t>
        </is>
      </c>
      <c r="F686" t="inlineStr">
        <is>
          <t>最酷王姐MPA（读研版）</t>
        </is>
      </c>
      <c r="G686" t="inlineStr">
        <is>
          <t>四川 成都 武侯区</t>
        </is>
      </c>
      <c r="H686"/>
      <c r="I686" t="inlineStr">
        <is>
          <t>职场, 教育</t>
        </is>
      </c>
      <c r="J686">
        <v>1460</v>
      </c>
      <c r="K686" t="inlineStr">
        <is>
          <t>0.1</t>
        </is>
      </c>
      <c r="L686">
        <v>5718</v>
      </c>
      <c r="M686">
        <v>1227</v>
      </c>
      <c r="N686">
        <v>187</v>
      </c>
      <c r="O686">
        <v>1000</v>
      </c>
      <c r="P686">
        <v>0</v>
      </c>
      <c r="Q686">
        <v>0.25</v>
      </c>
      <c r="R686">
        <v>5718</v>
      </c>
      <c r="S686">
        <v>1227</v>
      </c>
      <c r="T686">
        <v>159</v>
      </c>
      <c r="U686">
        <v>1.11</v>
      </c>
      <c r="V686">
        <v>1000</v>
      </c>
      <c r="W686">
        <v>0.25</v>
      </c>
      <c r="X686">
        <v>0</v>
      </c>
      <c r="Y686">
        <v>174.87</v>
      </c>
      <c r="Z686">
        <v>5.33</v>
      </c>
      <c r="AA686">
        <v>0</v>
      </c>
      <c r="AB686">
        <v>0</v>
      </c>
      <c r="AC686">
        <v>0</v>
      </c>
      <c r="AD686">
        <v>0</v>
      </c>
      <c r="AE686">
        <v>0</v>
      </c>
      <c r="AF686">
        <v>0</v>
      </c>
      <c r="AG686">
        <v>0</v>
      </c>
      <c r="AH686">
        <v>0</v>
      </c>
      <c r="AI686">
        <v>0</v>
      </c>
      <c r="AJ686">
        <v>0</v>
      </c>
      <c r="AK686">
        <v>0</v>
      </c>
      <c r="AL686">
        <v>0</v>
      </c>
      <c r="AM686">
        <v>0</v>
      </c>
      <c r="AN686">
        <v>0</v>
      </c>
      <c r="AO686">
        <v>0</v>
      </c>
      <c r="AP686">
        <v>0.943</v>
      </c>
      <c r="AQ686">
        <v>0.211</v>
      </c>
      <c r="AR686">
        <v>0</v>
      </c>
      <c r="AS686" s="3">
        <v>46107.77311342592</v>
      </c>
    </row>
    <row r="687" ht="25.5" customHeight="1">
      <c r="A687" t="inlineStr">
        <is>
          <t>609bd9db000000000101e020</t>
        </is>
      </c>
      <c r="B687" s="2" t="str">
        <f>=HYPERLINK("https://www.xiaohongshu.com/user/profile/609bd9db000000000101e020", "https://www.xiaohongshu.com/user/profile/609bd9db000000000101e020")</f>
        <v>https://www.xiaohongshu.com/user/profile/609bd9db000000000101e020</v>
      </c>
      <c r="C687" s="2" t="str">
        <f>=HYPERLINK("https://pgy.xiaohongshu.com/solar/pre-trade/blogger-detail/609bd9db000000000101e020", "https://pgy.xiaohongshu.com/solar/pre-trade/blogger-detail/609bd9db000000000101e020")</f>
        <v>https://pgy.xiaohongshu.com/solar/pre-trade/blogger-detail/609bd9db000000000101e020</v>
      </c>
      <c r="D687" t="inlineStr">
        <is>
          <t>女</t>
        </is>
      </c>
      <c r="E687" t="inlineStr">
        <is>
          <t>1139551666</t>
        </is>
      </c>
      <c r="F687" t="inlineStr">
        <is>
          <t>lichi</t>
        </is>
      </c>
      <c r="G687" t="inlineStr">
        <is>
          <t>英国</t>
        </is>
      </c>
      <c r="H687" t="inlineStr">
        <is>
          <t>留学背景, 学生</t>
        </is>
      </c>
      <c r="I687" t="inlineStr">
        <is>
          <t>教育</t>
        </is>
      </c>
      <c r="J687">
        <v>1358</v>
      </c>
      <c r="K687" t="inlineStr">
        <is>
          <t>0.1</t>
        </is>
      </c>
      <c r="L687">
        <v>11445</v>
      </c>
      <c r="M687">
        <v>1626</v>
      </c>
      <c r="N687">
        <v>114</v>
      </c>
      <c r="O687">
        <v>200</v>
      </c>
      <c r="P687">
        <v>0</v>
      </c>
      <c r="Q687">
        <v>0.332999999999999</v>
      </c>
      <c r="R687">
        <v>14413</v>
      </c>
      <c r="S687">
        <v>1963</v>
      </c>
      <c r="T687">
        <v>134</v>
      </c>
      <c r="U687">
        <v>0.4</v>
      </c>
      <c r="V687">
        <v>200</v>
      </c>
      <c r="W687">
        <v>0</v>
      </c>
      <c r="X687">
        <v>0</v>
      </c>
      <c r="Y687">
        <v>13.88</v>
      </c>
      <c r="Z687">
        <v>1.31</v>
      </c>
      <c r="AA687">
        <v>18149</v>
      </c>
      <c r="AB687">
        <v>2710</v>
      </c>
      <c r="AC687">
        <v>476</v>
      </c>
      <c r="AD687">
        <v>2.17</v>
      </c>
      <c r="AE687">
        <v>1000</v>
      </c>
      <c r="AF687">
        <v>0.5</v>
      </c>
      <c r="AG687">
        <v>0</v>
      </c>
      <c r="AH687">
        <v>0.034</v>
      </c>
      <c r="AI687">
        <v>67.66</v>
      </c>
      <c r="AJ687">
        <v>2.88</v>
      </c>
      <c r="AK687">
        <v>12921</v>
      </c>
      <c r="AL687">
        <v>1199</v>
      </c>
      <c r="AM687">
        <v>325</v>
      </c>
      <c r="AN687">
        <v>0</v>
      </c>
      <c r="AO687">
        <v>0</v>
      </c>
      <c r="AP687">
        <v>0.934</v>
      </c>
      <c r="AQ687">
        <v>0.152</v>
      </c>
      <c r="AR687">
        <v>0.18</v>
      </c>
      <c r="AS687" s="3">
        <v>46107.77311342592</v>
      </c>
    </row>
    <row r="688" ht="25.5" customHeight="1">
      <c r="A688" t="inlineStr">
        <is>
          <t>622b49f10000000010008aa6</t>
        </is>
      </c>
      <c r="B688" s="2" t="str">
        <f>=HYPERLINK("https://www.xiaohongshu.com/user/profile/622b49f10000000010008aa6", "https://www.xiaohongshu.com/user/profile/622b49f10000000010008aa6")</f>
        <v>https://www.xiaohongshu.com/user/profile/622b49f10000000010008aa6</v>
      </c>
      <c r="C688" s="2" t="str">
        <f>=HYPERLINK("https://pgy.xiaohongshu.com/solar/pre-trade/blogger-detail/622b49f10000000010008aa6", "https://pgy.xiaohongshu.com/solar/pre-trade/blogger-detail/622b49f10000000010008aa6")</f>
        <v>https://pgy.xiaohongshu.com/solar/pre-trade/blogger-detail/622b49f10000000010008aa6</v>
      </c>
      <c r="D688" t="inlineStr">
        <is>
          <t>女</t>
        </is>
      </c>
      <c r="E688" t="inlineStr">
        <is>
          <t>1663738913</t>
        </is>
      </c>
      <c r="F688" t="inlineStr">
        <is>
          <t>要努力读研的Stella</t>
        </is>
      </c>
      <c r="G688" t="inlineStr">
        <is>
          <t>浙江 宁波 江北区</t>
        </is>
      </c>
      <c r="H688" t="inlineStr">
        <is>
          <t>学生</t>
        </is>
      </c>
      <c r="I688" t="inlineStr">
        <is>
          <t>教育</t>
        </is>
      </c>
      <c r="J688">
        <v>26441</v>
      </c>
      <c r="K688" t="inlineStr">
        <is>
          <t>2.6</t>
        </is>
      </c>
      <c r="L688">
        <v>11589</v>
      </c>
      <c r="M688">
        <v>1845</v>
      </c>
      <c r="N688">
        <v>201</v>
      </c>
      <c r="O688">
        <v>1400</v>
      </c>
      <c r="P688">
        <v>0.091</v>
      </c>
      <c r="Q688">
        <v>0.455</v>
      </c>
      <c r="R688">
        <v>11589</v>
      </c>
      <c r="S688">
        <v>1845</v>
      </c>
      <c r="T688">
        <v>186</v>
      </c>
      <c r="U688">
        <v>1.06</v>
      </c>
      <c r="V688">
        <v>1400</v>
      </c>
      <c r="W688">
        <v>0.455</v>
      </c>
      <c r="X688">
        <v>0.091</v>
      </c>
      <c r="Y688">
        <v>120.8</v>
      </c>
      <c r="Z688">
        <v>6.97</v>
      </c>
      <c r="AA688">
        <v>0</v>
      </c>
      <c r="AB688">
        <v>0</v>
      </c>
      <c r="AC688">
        <v>0</v>
      </c>
      <c r="AD688">
        <v>0</v>
      </c>
      <c r="AE688">
        <v>0</v>
      </c>
      <c r="AF688">
        <v>0</v>
      </c>
      <c r="AG688">
        <v>0</v>
      </c>
      <c r="AH688">
        <v>0</v>
      </c>
      <c r="AI688">
        <v>0</v>
      </c>
      <c r="AJ688">
        <v>0</v>
      </c>
      <c r="AK688">
        <v>0</v>
      </c>
      <c r="AL688">
        <v>0</v>
      </c>
      <c r="AM688">
        <v>0</v>
      </c>
      <c r="AN688">
        <v>0</v>
      </c>
      <c r="AO688">
        <v>0</v>
      </c>
      <c r="AP688">
        <v>0.8</v>
      </c>
      <c r="AQ688">
        <v>0.039</v>
      </c>
      <c r="AR688">
        <v>0.011</v>
      </c>
      <c r="AS688" s="3">
        <v>46107.77311342592</v>
      </c>
    </row>
    <row r="689" ht="25.5" customHeight="1">
      <c r="A689" t="inlineStr">
        <is>
          <t>5f48f6a100000000010052a2</t>
        </is>
      </c>
      <c r="B689" s="2" t="str">
        <f>=HYPERLINK("https://www.xiaohongshu.com/user/profile/5f48f6a100000000010052a2", "https://www.xiaohongshu.com/user/profile/5f48f6a100000000010052a2")</f>
        <v>https://www.xiaohongshu.com/user/profile/5f48f6a100000000010052a2</v>
      </c>
      <c r="C689" s="2" t="str">
        <f>=HYPERLINK("https://pgy.xiaohongshu.com/solar/pre-trade/blogger-detail/5f48f6a100000000010052a2", "https://pgy.xiaohongshu.com/solar/pre-trade/blogger-detail/5f48f6a100000000010052a2")</f>
        <v>https://pgy.xiaohongshu.com/solar/pre-trade/blogger-detail/5f48f6a100000000010052a2</v>
      </c>
      <c r="D689" t="inlineStr">
        <is>
          <t>女</t>
        </is>
      </c>
      <c r="E689" t="inlineStr">
        <is>
          <t>735782517</t>
        </is>
      </c>
      <c r="F689" t="inlineStr">
        <is>
          <t>Tracy悦读</t>
        </is>
      </c>
      <c r="G689" t="inlineStr">
        <is>
          <t>西班牙</t>
        </is>
      </c>
      <c r="H689" t="inlineStr">
        <is>
          <t>留学背景, 海外华人</t>
        </is>
      </c>
      <c r="I689" t="inlineStr">
        <is>
          <t>兴趣爱好</t>
        </is>
      </c>
      <c r="J689">
        <v>5281</v>
      </c>
      <c r="K689" t="inlineStr">
        <is>
          <t>0.5</t>
        </is>
      </c>
      <c r="L689">
        <v>7734</v>
      </c>
      <c r="M689">
        <v>3336</v>
      </c>
      <c r="N689">
        <v>575</v>
      </c>
      <c r="O689">
        <v>200</v>
      </c>
      <c r="P689">
        <v>0</v>
      </c>
      <c r="Q689">
        <v>0.857</v>
      </c>
      <c r="R689">
        <v>0</v>
      </c>
      <c r="S689">
        <v>0</v>
      </c>
      <c r="T689">
        <v>0</v>
      </c>
      <c r="U689">
        <v>0</v>
      </c>
      <c r="V689">
        <v>200</v>
      </c>
      <c r="W689">
        <v>0</v>
      </c>
      <c r="X689">
        <v>0</v>
      </c>
      <c r="Y689">
        <v>0</v>
      </c>
      <c r="Z689">
        <v>0</v>
      </c>
      <c r="AA689">
        <v>7734</v>
      </c>
      <c r="AB689">
        <v>3336</v>
      </c>
      <c r="AC689">
        <v>447</v>
      </c>
      <c r="AD689">
        <v>1.59</v>
      </c>
      <c r="AE689">
        <v>300</v>
      </c>
      <c r="AF689">
        <v>0.857</v>
      </c>
      <c r="AG689">
        <v>0</v>
      </c>
      <c r="AH689">
        <v>0.0579999999999999</v>
      </c>
      <c r="AI689">
        <v>38.79</v>
      </c>
      <c r="AJ689">
        <v>0.52</v>
      </c>
      <c r="AK689">
        <v>0</v>
      </c>
      <c r="AL689">
        <v>0</v>
      </c>
      <c r="AM689">
        <v>0</v>
      </c>
      <c r="AN689">
        <v>0</v>
      </c>
      <c r="AO689">
        <v>0</v>
      </c>
      <c r="AP689">
        <v>0.984</v>
      </c>
      <c r="AQ689">
        <v>0.154</v>
      </c>
      <c r="AR689">
        <v>0</v>
      </c>
      <c r="AS689" s="3">
        <v>46107.77311342592</v>
      </c>
    </row>
    <row r="690" ht="25.5" customHeight="1">
      <c r="A690" t="inlineStr">
        <is>
          <t>5bfd66cb44363b356f03e8ad</t>
        </is>
      </c>
      <c r="B690" s="2" t="str">
        <f>=HYPERLINK("https://www.xiaohongshu.com/user/profile/5bfd66cb44363b356f03e8ad", "https://www.xiaohongshu.com/user/profile/5bfd66cb44363b356f03e8ad")</f>
        <v>https://www.xiaohongshu.com/user/profile/5bfd66cb44363b356f03e8ad</v>
      </c>
      <c r="C690" s="2" t="str">
        <f>=HYPERLINK("https://pgy.xiaohongshu.com/solar/pre-trade/blogger-detail/5bfd66cb44363b356f03e8ad", "https://pgy.xiaohongshu.com/solar/pre-trade/blogger-detail/5bfd66cb44363b356f03e8ad")</f>
        <v>https://pgy.xiaohongshu.com/solar/pre-trade/blogger-detail/5bfd66cb44363b356f03e8ad</v>
      </c>
      <c r="D690" t="inlineStr">
        <is>
          <t>女</t>
        </is>
      </c>
      <c r="E690" t="inlineStr">
        <is>
          <t>1041492319qqcom</t>
        </is>
      </c>
      <c r="F690" t="inlineStr">
        <is>
          <t>爆炒小红日（疯猿版</t>
        </is>
      </c>
      <c r="G690" t="inlineStr">
        <is>
          <t>北京</t>
        </is>
      </c>
      <c r="H690" t="inlineStr">
        <is>
          <t>学生</t>
        </is>
      </c>
      <c r="I690" t="inlineStr">
        <is>
          <t>出行旅游, 生活记录</t>
        </is>
      </c>
      <c r="J690">
        <v>15490</v>
      </c>
      <c r="K690" t="inlineStr">
        <is>
          <t>1.5</t>
        </is>
      </c>
      <c r="L690">
        <v>4280</v>
      </c>
      <c r="M690">
        <v>1114</v>
      </c>
      <c r="N690">
        <v>109</v>
      </c>
      <c r="O690">
        <v>1299</v>
      </c>
      <c r="P690">
        <v>0</v>
      </c>
      <c r="Q690">
        <v>0</v>
      </c>
      <c r="R690">
        <v>0</v>
      </c>
      <c r="S690">
        <v>0</v>
      </c>
      <c r="T690">
        <v>0</v>
      </c>
      <c r="U690">
        <v>0</v>
      </c>
      <c r="V690">
        <v>1299</v>
      </c>
      <c r="W690">
        <v>0</v>
      </c>
      <c r="X690">
        <v>0</v>
      </c>
      <c r="Y690">
        <v>0</v>
      </c>
      <c r="Z690">
        <v>0</v>
      </c>
      <c r="AA690">
        <v>4280</v>
      </c>
      <c r="AB690">
        <v>1114</v>
      </c>
      <c r="AC690">
        <v>91</v>
      </c>
      <c r="AD690">
        <v>2.3</v>
      </c>
      <c r="AE690">
        <v>1888</v>
      </c>
      <c r="AF690">
        <v>0</v>
      </c>
      <c r="AG690">
        <v>0</v>
      </c>
      <c r="AH690">
        <v>0.092</v>
      </c>
      <c r="AI690">
        <v>63.8</v>
      </c>
      <c r="AJ690">
        <v>9.71</v>
      </c>
      <c r="AK690">
        <v>54908</v>
      </c>
      <c r="AL690">
        <v>3607</v>
      </c>
      <c r="AM690">
        <v>258</v>
      </c>
      <c r="AN690">
        <v>0</v>
      </c>
      <c r="AO690">
        <v>0</v>
      </c>
      <c r="AP690">
        <v>0.799</v>
      </c>
      <c r="AQ690">
        <v>0.012</v>
      </c>
      <c r="AR690">
        <v>-0.001</v>
      </c>
      <c r="AS690" s="3">
        <v>46107.77311342592</v>
      </c>
    </row>
    <row r="691" ht="25.5" customHeight="1">
      <c r="A691" t="inlineStr">
        <is>
          <t>5a265c5711be100254004efd</t>
        </is>
      </c>
      <c r="B691" s="2" t="str">
        <f>=HYPERLINK("https://www.xiaohongshu.com/user/profile/5a265c5711be100254004efd", "https://www.xiaohongshu.com/user/profile/5a265c5711be100254004efd")</f>
        <v>https://www.xiaohongshu.com/user/profile/5a265c5711be100254004efd</v>
      </c>
      <c r="C691" s="2" t="str">
        <f>=HYPERLINK("https://pgy.xiaohongshu.com/solar/pre-trade/blogger-detail/5a265c5711be100254004efd", "https://pgy.xiaohongshu.com/solar/pre-trade/blogger-detail/5a265c5711be100254004efd")</f>
        <v>https://pgy.xiaohongshu.com/solar/pre-trade/blogger-detail/5a265c5711be100254004efd</v>
      </c>
      <c r="D691" t="inlineStr">
        <is>
          <t>女</t>
        </is>
      </c>
      <c r="E691" t="inlineStr">
        <is>
          <t>4229315085</t>
        </is>
      </c>
      <c r="F691" t="inlineStr">
        <is>
          <t>小蒙同学</t>
        </is>
      </c>
      <c r="G691" t="inlineStr">
        <is>
          <t>英国</t>
        </is>
      </c>
      <c r="H691" t="inlineStr">
        <is>
          <t>留学背景, 学生</t>
        </is>
      </c>
      <c r="I691" t="inlineStr">
        <is>
          <t>出行旅游, 教育</t>
        </is>
      </c>
      <c r="J691">
        <v>14170</v>
      </c>
      <c r="K691" t="inlineStr">
        <is>
          <t>1.4</t>
        </is>
      </c>
      <c r="L691">
        <v>54031</v>
      </c>
      <c r="M691">
        <v>10239</v>
      </c>
      <c r="N691">
        <v>374</v>
      </c>
      <c r="O691">
        <v>1200</v>
      </c>
      <c r="P691">
        <v>0.2</v>
      </c>
      <c r="Q691">
        <v>0.6</v>
      </c>
      <c r="R691">
        <v>54031</v>
      </c>
      <c r="S691">
        <v>10239</v>
      </c>
      <c r="T691">
        <v>287</v>
      </c>
      <c r="U691">
        <v>0.42</v>
      </c>
      <c r="V691">
        <v>1200</v>
      </c>
      <c r="W691">
        <v>0.6</v>
      </c>
      <c r="X691">
        <v>0.2</v>
      </c>
      <c r="Y691">
        <v>22.21</v>
      </c>
      <c r="Z691">
        <v>3.21</v>
      </c>
      <c r="AA691">
        <v>0</v>
      </c>
      <c r="AB691">
        <v>0</v>
      </c>
      <c r="AC691">
        <v>0</v>
      </c>
      <c r="AD691">
        <v>0</v>
      </c>
      <c r="AE691">
        <v>2000</v>
      </c>
      <c r="AF691">
        <v>0</v>
      </c>
      <c r="AG691">
        <v>0</v>
      </c>
      <c r="AH691">
        <v>0</v>
      </c>
      <c r="AI691">
        <v>0</v>
      </c>
      <c r="AJ691">
        <v>0</v>
      </c>
      <c r="AK691">
        <v>0</v>
      </c>
      <c r="AL691">
        <v>0</v>
      </c>
      <c r="AM691">
        <v>0</v>
      </c>
      <c r="AN691">
        <v>0</v>
      </c>
      <c r="AO691">
        <v>0</v>
      </c>
      <c r="AP691">
        <v>0.861</v>
      </c>
      <c r="AQ691">
        <v>0.068</v>
      </c>
      <c r="AR691">
        <v>0.098</v>
      </c>
      <c r="AS691" s="3">
        <v>46107.77311342592</v>
      </c>
    </row>
    <row r="692" ht="25.5" customHeight="1">
      <c r="A692" t="inlineStr">
        <is>
          <t>5e171d5b0000000001005fe1</t>
        </is>
      </c>
      <c r="B692" s="2" t="str">
        <f>=HYPERLINK("https://www.xiaohongshu.com/user/profile/5e171d5b0000000001005fe1", "https://www.xiaohongshu.com/user/profile/5e171d5b0000000001005fe1")</f>
        <v>https://www.xiaohongshu.com/user/profile/5e171d5b0000000001005fe1</v>
      </c>
      <c r="C692" s="2" t="str">
        <f>=HYPERLINK("https://pgy.xiaohongshu.com/solar/pre-trade/blogger-detail/5e171d5b0000000001005fe1", "https://pgy.xiaohongshu.com/solar/pre-trade/blogger-detail/5e171d5b0000000001005fe1")</f>
        <v>https://pgy.xiaohongshu.com/solar/pre-trade/blogger-detail/5e171d5b0000000001005fe1</v>
      </c>
      <c r="D692" t="inlineStr">
        <is>
          <t>女</t>
        </is>
      </c>
      <c r="E692" t="inlineStr">
        <is>
          <t>751031547</t>
        </is>
      </c>
      <c r="F692" t="inlineStr">
        <is>
          <t>赛赛的法兰西副本</t>
        </is>
      </c>
      <c r="G692" t="inlineStr">
        <is>
          <t>江苏 南京 鼓楼区</t>
        </is>
      </c>
      <c r="H692" t="inlineStr">
        <is>
          <t>学生, 留学背景</t>
        </is>
      </c>
      <c r="I692" t="inlineStr">
        <is>
          <t>职场, 教育</t>
        </is>
      </c>
      <c r="J692">
        <v>1580</v>
      </c>
      <c r="K692" t="inlineStr">
        <is>
          <t>0.2</t>
        </is>
      </c>
      <c r="L692">
        <v>5732</v>
      </c>
      <c r="M692">
        <v>1404</v>
      </c>
      <c r="N692">
        <v>187</v>
      </c>
      <c r="O692">
        <v>400</v>
      </c>
      <c r="P692">
        <v>0</v>
      </c>
      <c r="Q692">
        <v>0.385</v>
      </c>
      <c r="R692">
        <v>3050</v>
      </c>
      <c r="S692">
        <v>343</v>
      </c>
      <c r="T692">
        <v>26</v>
      </c>
      <c r="U692">
        <v>1.47</v>
      </c>
      <c r="V692">
        <v>400</v>
      </c>
      <c r="W692">
        <v>0</v>
      </c>
      <c r="X692">
        <v>0</v>
      </c>
      <c r="Y692">
        <v>131.15</v>
      </c>
      <c r="Z692">
        <v>12.5</v>
      </c>
      <c r="AA692">
        <v>6339</v>
      </c>
      <c r="AB692">
        <v>1871</v>
      </c>
      <c r="AC692">
        <v>161</v>
      </c>
      <c r="AD692">
        <v>1.82</v>
      </c>
      <c r="AE692">
        <v>600</v>
      </c>
      <c r="AF692">
        <v>0.5</v>
      </c>
      <c r="AG692">
        <v>0</v>
      </c>
      <c r="AH692">
        <v>0.043</v>
      </c>
      <c r="AI692">
        <v>94.65</v>
      </c>
      <c r="AJ692">
        <v>2.99</v>
      </c>
      <c r="AK692">
        <v>0</v>
      </c>
      <c r="AL692">
        <v>0</v>
      </c>
      <c r="AM692">
        <v>0</v>
      </c>
      <c r="AN692">
        <v>0</v>
      </c>
      <c r="AO692">
        <v>0</v>
      </c>
      <c r="AP692">
        <v>0.996</v>
      </c>
      <c r="AQ692">
        <v>0.354</v>
      </c>
      <c r="AR692">
        <v>0</v>
      </c>
      <c r="AS692" s="3">
        <v>46107.77311342592</v>
      </c>
    </row>
    <row r="693" ht="25.5" customHeight="1">
      <c r="A693" t="inlineStr">
        <is>
          <t>6901ebf9000000003702a066</t>
        </is>
      </c>
      <c r="B693" s="2" t="str">
        <f>=HYPERLINK("https://www.xiaohongshu.com/user/profile/6901ebf9000000003702a066", "https://www.xiaohongshu.com/user/profile/6901ebf9000000003702a066")</f>
        <v>https://www.xiaohongshu.com/user/profile/6901ebf9000000003702a066</v>
      </c>
      <c r="C693" s="2" t="str">
        <f>=HYPERLINK("https://pgy.xiaohongshu.com/solar/pre-trade/blogger-detail/6901ebf9000000003702a066", "https://pgy.xiaohongshu.com/solar/pre-trade/blogger-detail/6901ebf9000000003702a066")</f>
        <v>https://pgy.xiaohongshu.com/solar/pre-trade/blogger-detail/6901ebf9000000003702a066</v>
      </c>
      <c r="D693" t="inlineStr">
        <is>
          <t>女</t>
        </is>
      </c>
      <c r="E693" t="inlineStr">
        <is>
          <t>94395030331</t>
        </is>
      </c>
      <c r="F693" t="inlineStr">
        <is>
          <t>咪咪日记</t>
        </is>
      </c>
      <c r="G693" t="inlineStr">
        <is>
          <t>广东 佛山 三水区</t>
        </is>
      </c>
      <c r="H693"/>
      <c r="I693" t="inlineStr">
        <is>
          <t>教育</t>
        </is>
      </c>
      <c r="J693">
        <v>4403</v>
      </c>
      <c r="K693" t="inlineStr">
        <is>
          <t>0.4</t>
        </is>
      </c>
      <c r="L693">
        <v>7356</v>
      </c>
      <c r="M693">
        <v>735</v>
      </c>
      <c r="N693">
        <v>144</v>
      </c>
      <c r="O693">
        <v>172</v>
      </c>
      <c r="P693">
        <v>0.133</v>
      </c>
      <c r="Q693">
        <v>0.4</v>
      </c>
      <c r="R693">
        <v>7356</v>
      </c>
      <c r="S693">
        <v>735</v>
      </c>
      <c r="T693">
        <v>123</v>
      </c>
      <c r="U693">
        <v>0.53</v>
      </c>
      <c r="V693">
        <v>172</v>
      </c>
      <c r="W693">
        <v>0.4</v>
      </c>
      <c r="X693">
        <v>0.133</v>
      </c>
      <c r="Y693">
        <v>23.38</v>
      </c>
      <c r="Z693">
        <v>1.19</v>
      </c>
      <c r="AA693">
        <v>0</v>
      </c>
      <c r="AB693">
        <v>0</v>
      </c>
      <c r="AC693">
        <v>0</v>
      </c>
      <c r="AD693">
        <v>0</v>
      </c>
      <c r="AE693">
        <v>300</v>
      </c>
      <c r="AF693">
        <v>0</v>
      </c>
      <c r="AG693">
        <v>0</v>
      </c>
      <c r="AH693">
        <v>0</v>
      </c>
      <c r="AI693">
        <v>0</v>
      </c>
      <c r="AJ693">
        <v>0</v>
      </c>
      <c r="AK693">
        <v>0</v>
      </c>
      <c r="AL693">
        <v>0</v>
      </c>
      <c r="AM693">
        <v>0</v>
      </c>
      <c r="AN693">
        <v>0</v>
      </c>
      <c r="AO693">
        <v>0</v>
      </c>
      <c r="AP693">
        <v>0.977</v>
      </c>
      <c r="AQ693">
        <v>0.201</v>
      </c>
      <c r="AR693">
        <v>0.982</v>
      </c>
      <c r="AS693" s="3">
        <v>46107.77311342592</v>
      </c>
    </row>
    <row r="694" ht="25.5" customHeight="1">
      <c r="A694" t="inlineStr">
        <is>
          <t>595b9f5c6a6a695287eeca0a</t>
        </is>
      </c>
      <c r="B694" s="2" t="str">
        <f>=HYPERLINK("https://www.xiaohongshu.com/user/profile/595b9f5c6a6a695287eeca0a", "https://www.xiaohongshu.com/user/profile/595b9f5c6a6a695287eeca0a")</f>
        <v>https://www.xiaohongshu.com/user/profile/595b9f5c6a6a695287eeca0a</v>
      </c>
      <c r="C694" s="2" t="str">
        <f>=HYPERLINK("https://pgy.xiaohongshu.com/solar/pre-trade/blogger-detail/595b9f5c6a6a695287eeca0a", "https://pgy.xiaohongshu.com/solar/pre-trade/blogger-detail/595b9f5c6a6a695287eeca0a")</f>
        <v>https://pgy.xiaohongshu.com/solar/pre-trade/blogger-detail/595b9f5c6a6a695287eeca0a</v>
      </c>
      <c r="D694" t="inlineStr">
        <is>
          <t>女</t>
        </is>
      </c>
      <c r="E694" t="inlineStr">
        <is>
          <t>952501846</t>
        </is>
      </c>
      <c r="F694" t="inlineStr">
        <is>
          <t>只吃青苹果</t>
        </is>
      </c>
      <c r="G694" t="inlineStr">
        <is>
          <t>山东 济南 历下区</t>
        </is>
      </c>
      <c r="H694" t="inlineStr">
        <is>
          <t>学生</t>
        </is>
      </c>
      <c r="I694" t="inlineStr">
        <is>
          <t>教育</t>
        </is>
      </c>
      <c r="J694">
        <v>5284</v>
      </c>
      <c r="K694" t="inlineStr">
        <is>
          <t>0.5</t>
        </is>
      </c>
      <c r="L694">
        <v>4980</v>
      </c>
      <c r="M694">
        <v>507</v>
      </c>
      <c r="N694">
        <v>150</v>
      </c>
      <c r="O694">
        <v>150</v>
      </c>
      <c r="P694">
        <v>0</v>
      </c>
      <c r="Q694">
        <v>0.5</v>
      </c>
      <c r="R694">
        <v>4980</v>
      </c>
      <c r="S694">
        <v>507</v>
      </c>
      <c r="T694">
        <v>144</v>
      </c>
      <c r="U694">
        <v>0.55</v>
      </c>
      <c r="V694">
        <v>150</v>
      </c>
      <c r="W694">
        <v>0.5</v>
      </c>
      <c r="X694">
        <v>0</v>
      </c>
      <c r="Y694">
        <v>26.06</v>
      </c>
      <c r="Z694">
        <v>0.8</v>
      </c>
      <c r="AA694">
        <v>0</v>
      </c>
      <c r="AB694">
        <v>0</v>
      </c>
      <c r="AC694">
        <v>0</v>
      </c>
      <c r="AD694">
        <v>0</v>
      </c>
      <c r="AE694">
        <v>727</v>
      </c>
      <c r="AF694">
        <v>0</v>
      </c>
      <c r="AG694">
        <v>0</v>
      </c>
      <c r="AH694">
        <v>0</v>
      </c>
      <c r="AI694">
        <v>0</v>
      </c>
      <c r="AJ694">
        <v>0</v>
      </c>
      <c r="AK694">
        <v>5860</v>
      </c>
      <c r="AL694">
        <v>1018</v>
      </c>
      <c r="AM694">
        <v>448</v>
      </c>
      <c r="AN694">
        <v>0</v>
      </c>
      <c r="AO694">
        <v>0</v>
      </c>
      <c r="AP694">
        <v>0.902</v>
      </c>
      <c r="AQ694">
        <v>0.055</v>
      </c>
      <c r="AR694">
        <v>-0.003</v>
      </c>
      <c r="AS694" s="3">
        <v>46107.77311342592</v>
      </c>
    </row>
    <row r="695" ht="25.5" customHeight="1">
      <c r="A695" t="inlineStr">
        <is>
          <t>65d438a2000000000d0279de</t>
        </is>
      </c>
      <c r="B695" s="2" t="str">
        <f>=HYPERLINK("https://www.xiaohongshu.com/user/profile/65d438a2000000000d0279de", "https://www.xiaohongshu.com/user/profile/65d438a2000000000d0279de")</f>
        <v>https://www.xiaohongshu.com/user/profile/65d438a2000000000d0279de</v>
      </c>
      <c r="C695" s="2" t="str">
        <f>=HYPERLINK("https://pgy.xiaohongshu.com/solar/pre-trade/blogger-detail/65d438a2000000000d0279de", "https://pgy.xiaohongshu.com/solar/pre-trade/blogger-detail/65d438a2000000000d0279de")</f>
        <v>https://pgy.xiaohongshu.com/solar/pre-trade/blogger-detail/65d438a2000000000d0279de</v>
      </c>
      <c r="D695" t="inlineStr">
        <is>
          <t>男</t>
        </is>
      </c>
      <c r="E695" t="inlineStr">
        <is>
          <t>11021172758</t>
        </is>
      </c>
      <c r="F695" t="inlineStr">
        <is>
          <t>梯度乱下降</t>
        </is>
      </c>
      <c r="G695" t="inlineStr">
        <is>
          <t>浙江 杭州 滨江区</t>
        </is>
      </c>
      <c r="H695" t="inlineStr">
        <is>
          <t>考研过来人, 学生</t>
        </is>
      </c>
      <c r="I695" t="inlineStr">
        <is>
          <t>教育</t>
        </is>
      </c>
      <c r="J695">
        <v>3320</v>
      </c>
      <c r="K695" t="inlineStr">
        <is>
          <t>0.3</t>
        </is>
      </c>
      <c r="L695">
        <v>6383</v>
      </c>
      <c r="M695">
        <v>869</v>
      </c>
      <c r="N695">
        <v>128</v>
      </c>
      <c r="O695">
        <v>500</v>
      </c>
      <c r="P695">
        <v>0</v>
      </c>
      <c r="Q695">
        <v>0.222</v>
      </c>
      <c r="R695">
        <v>6383</v>
      </c>
      <c r="S695">
        <v>869</v>
      </c>
      <c r="T695">
        <v>108</v>
      </c>
      <c r="U695">
        <v>0.88</v>
      </c>
      <c r="V695">
        <v>500</v>
      </c>
      <c r="W695">
        <v>0.222</v>
      </c>
      <c r="X695">
        <v>0</v>
      </c>
      <c r="Y695">
        <v>78.33</v>
      </c>
      <c r="Z695">
        <v>3.91</v>
      </c>
      <c r="AA695">
        <v>0</v>
      </c>
      <c r="AB695">
        <v>0</v>
      </c>
      <c r="AC695">
        <v>0</v>
      </c>
      <c r="AD695">
        <v>0</v>
      </c>
      <c r="AE695">
        <v>800</v>
      </c>
      <c r="AF695">
        <v>0</v>
      </c>
      <c r="AG695">
        <v>0</v>
      </c>
      <c r="AH695">
        <v>0</v>
      </c>
      <c r="AI695">
        <v>0</v>
      </c>
      <c r="AJ695">
        <v>0</v>
      </c>
      <c r="AK695">
        <v>0</v>
      </c>
      <c r="AL695">
        <v>0</v>
      </c>
      <c r="AM695">
        <v>0</v>
      </c>
      <c r="AN695">
        <v>0</v>
      </c>
      <c r="AO695">
        <v>0</v>
      </c>
      <c r="AP695">
        <v>0.96</v>
      </c>
      <c r="AQ695">
        <v>0.154</v>
      </c>
      <c r="AR695">
        <v>0.235</v>
      </c>
      <c r="AS695" s="3">
        <v>46107.77311342592</v>
      </c>
    </row>
    <row r="696" ht="25.5" customHeight="1">
      <c r="A696" t="inlineStr">
        <is>
          <t>5e771db500000000010002a8</t>
        </is>
      </c>
      <c r="B696" s="2" t="str">
        <f>=HYPERLINK("https://www.xiaohongshu.com/user/profile/5e771db500000000010002a8", "https://www.xiaohongshu.com/user/profile/5e771db500000000010002a8")</f>
        <v>https://www.xiaohongshu.com/user/profile/5e771db500000000010002a8</v>
      </c>
      <c r="C696" s="2" t="str">
        <f>=HYPERLINK("https://pgy.xiaohongshu.com/solar/pre-trade/blogger-detail/5e771db500000000010002a8", "https://pgy.xiaohongshu.com/solar/pre-trade/blogger-detail/5e771db500000000010002a8")</f>
        <v>https://pgy.xiaohongshu.com/solar/pre-trade/blogger-detail/5e771db500000000010002a8</v>
      </c>
      <c r="D696" t="inlineStr">
        <is>
          <t>男</t>
        </is>
      </c>
      <c r="E696" t="inlineStr">
        <is>
          <t>908736022</t>
        </is>
      </c>
      <c r="F696" t="inlineStr">
        <is>
          <t>大饱鸽</t>
        </is>
      </c>
      <c r="G696" t="inlineStr">
        <is>
          <t>北京</t>
        </is>
      </c>
      <c r="H696" t="inlineStr">
        <is>
          <t>学生</t>
        </is>
      </c>
      <c r="I696" t="inlineStr">
        <is>
          <t>教育, 生活记录</t>
        </is>
      </c>
      <c r="J696">
        <v>179255</v>
      </c>
      <c r="K696" t="inlineStr">
        <is>
          <t>17.9</t>
        </is>
      </c>
      <c r="L696">
        <v>217782</v>
      </c>
      <c r="M696">
        <v>68876</v>
      </c>
      <c r="N696">
        <v>4196</v>
      </c>
      <c r="O696">
        <v>25000</v>
      </c>
      <c r="P696">
        <v>0.857</v>
      </c>
      <c r="Q696">
        <v>1</v>
      </c>
      <c r="R696">
        <v>0</v>
      </c>
      <c r="S696">
        <v>0</v>
      </c>
      <c r="T696">
        <v>0</v>
      </c>
      <c r="U696">
        <v>0</v>
      </c>
      <c r="V696">
        <v>25000</v>
      </c>
      <c r="W696">
        <v>0</v>
      </c>
      <c r="X696">
        <v>0</v>
      </c>
      <c r="Y696">
        <v>0</v>
      </c>
      <c r="Z696">
        <v>0</v>
      </c>
      <c r="AA696">
        <v>217782</v>
      </c>
      <c r="AB696">
        <v>68876</v>
      </c>
      <c r="AC696">
        <v>3754</v>
      </c>
      <c r="AD696">
        <v>2</v>
      </c>
      <c r="AE696">
        <v>30000</v>
      </c>
      <c r="AF696">
        <v>1</v>
      </c>
      <c r="AG696">
        <v>0.857</v>
      </c>
      <c r="AH696">
        <v>0.297</v>
      </c>
      <c r="AI696">
        <v>196.25</v>
      </c>
      <c r="AJ696">
        <v>10.27</v>
      </c>
      <c r="AK696">
        <v>71523</v>
      </c>
      <c r="AL696">
        <v>23434</v>
      </c>
      <c r="AM696">
        <v>1806</v>
      </c>
      <c r="AN696">
        <v>0</v>
      </c>
      <c r="AO696">
        <v>0</v>
      </c>
      <c r="AP696">
        <v>0.753</v>
      </c>
      <c r="AQ696">
        <v>0.05</v>
      </c>
      <c r="AR696">
        <v>0.021</v>
      </c>
      <c r="AS696" s="3">
        <v>46107.77311342592</v>
      </c>
    </row>
    <row r="697" ht="25.5" customHeight="1">
      <c r="A697" t="inlineStr">
        <is>
          <t>5b7159be822d940001f9eb7b</t>
        </is>
      </c>
      <c r="B697" s="2" t="str">
        <f>=HYPERLINK("https://www.xiaohongshu.com/user/profile/5b7159be822d940001f9eb7b", "https://www.xiaohongshu.com/user/profile/5b7159be822d940001f9eb7b")</f>
        <v>https://www.xiaohongshu.com/user/profile/5b7159be822d940001f9eb7b</v>
      </c>
      <c r="C697" s="2" t="str">
        <f>=HYPERLINK("https://pgy.xiaohongshu.com/solar/pre-trade/blogger-detail/5b7159be822d940001f9eb7b", "https://pgy.xiaohongshu.com/solar/pre-trade/blogger-detail/5b7159be822d940001f9eb7b")</f>
        <v>https://pgy.xiaohongshu.com/solar/pre-trade/blogger-detail/5b7159be822d940001f9eb7b</v>
      </c>
      <c r="D697" t="inlineStr">
        <is>
          <t>女</t>
        </is>
      </c>
      <c r="E697" t="inlineStr">
        <is>
          <t>609666704</t>
        </is>
      </c>
      <c r="F697" t="inlineStr">
        <is>
          <t>樱桃小欣子</t>
        </is>
      </c>
      <c r="G697" t="inlineStr">
        <is>
          <t>韩国</t>
        </is>
      </c>
      <c r="H697" t="inlineStr">
        <is>
          <t>学生, 模特</t>
        </is>
      </c>
      <c r="I697" t="inlineStr">
        <is>
          <t>出行旅游, 教育</t>
        </is>
      </c>
      <c r="J697">
        <v>179025</v>
      </c>
      <c r="K697" t="inlineStr">
        <is>
          <t>17.9</t>
        </is>
      </c>
      <c r="L697">
        <v>107730</v>
      </c>
      <c r="M697">
        <v>23675</v>
      </c>
      <c r="N697">
        <v>2535</v>
      </c>
      <c r="O697">
        <v>17000</v>
      </c>
      <c r="P697">
        <v>0.75</v>
      </c>
      <c r="Q697">
        <v>1</v>
      </c>
      <c r="R697">
        <v>84949</v>
      </c>
      <c r="S697">
        <v>11520</v>
      </c>
      <c r="T697">
        <v>868</v>
      </c>
      <c r="U697">
        <v>1.78</v>
      </c>
      <c r="V697">
        <v>17000</v>
      </c>
      <c r="W697">
        <v>1</v>
      </c>
      <c r="X697">
        <v>0</v>
      </c>
      <c r="Y697">
        <v>200.12</v>
      </c>
      <c r="Z697">
        <v>18.97</v>
      </c>
      <c r="AA697">
        <v>130511</v>
      </c>
      <c r="AB697">
        <v>28484</v>
      </c>
      <c r="AC697">
        <v>2518</v>
      </c>
      <c r="AD697">
        <v>2.36</v>
      </c>
      <c r="AE697">
        <v>25000</v>
      </c>
      <c r="AF697">
        <v>1</v>
      </c>
      <c r="AG697">
        <v>1</v>
      </c>
      <c r="AH697">
        <v>0.113</v>
      </c>
      <c r="AI697">
        <v>179.37</v>
      </c>
      <c r="AJ697">
        <v>6.16</v>
      </c>
      <c r="AK697">
        <v>200839</v>
      </c>
      <c r="AL697">
        <v>57954</v>
      </c>
      <c r="AM697">
        <v>4565</v>
      </c>
      <c r="AN697">
        <v>85</v>
      </c>
      <c r="AO697">
        <v>24.76</v>
      </c>
      <c r="AP697">
        <v>0.838</v>
      </c>
      <c r="AQ697">
        <v>0.0559999999999999</v>
      </c>
      <c r="AR697">
        <v>0.016</v>
      </c>
      <c r="AS697" s="3">
        <v>46107.77311342592</v>
      </c>
    </row>
    <row r="698" ht="25.5" customHeight="1">
      <c r="A698" t="inlineStr">
        <is>
          <t>5b36013ee8ac2b7387ce8a91</t>
        </is>
      </c>
      <c r="B698" s="2" t="str">
        <f>=HYPERLINK("https://www.xiaohongshu.com/user/profile/5b36013ee8ac2b7387ce8a91", "https://www.xiaohongshu.com/user/profile/5b36013ee8ac2b7387ce8a91")</f>
        <v>https://www.xiaohongshu.com/user/profile/5b36013ee8ac2b7387ce8a91</v>
      </c>
      <c r="C698" s="2" t="str">
        <f>=HYPERLINK("https://pgy.xiaohongshu.com/solar/pre-trade/blogger-detail/5b36013ee8ac2b7387ce8a91", "https://pgy.xiaohongshu.com/solar/pre-trade/blogger-detail/5b36013ee8ac2b7387ce8a91")</f>
        <v>https://pgy.xiaohongshu.com/solar/pre-trade/blogger-detail/5b36013ee8ac2b7387ce8a91</v>
      </c>
      <c r="D698" t="inlineStr">
        <is>
          <t>女</t>
        </is>
      </c>
      <c r="E698" t="inlineStr">
        <is>
          <t>271906824</t>
        </is>
      </c>
      <c r="F698" t="inlineStr">
        <is>
          <t>西米咪西mixi</t>
        </is>
      </c>
      <c r="G698" t="inlineStr">
        <is>
          <t>福建 福州 鼓楼区</t>
        </is>
      </c>
      <c r="H698" t="inlineStr">
        <is>
          <t>学生</t>
        </is>
      </c>
      <c r="I698" t="inlineStr">
        <is>
          <t>美食, 教育</t>
        </is>
      </c>
      <c r="J698">
        <v>2636</v>
      </c>
      <c r="K698" t="inlineStr">
        <is>
          <t>0.3</t>
        </is>
      </c>
      <c r="L698">
        <v>63362</v>
      </c>
      <c r="M698">
        <v>23292</v>
      </c>
      <c r="N698">
        <v>2547</v>
      </c>
      <c r="O698">
        <v>100</v>
      </c>
      <c r="P698">
        <v>0.5</v>
      </c>
      <c r="Q698">
        <v>1</v>
      </c>
      <c r="R698">
        <v>63362</v>
      </c>
      <c r="S698">
        <v>23292</v>
      </c>
      <c r="T698">
        <v>2165</v>
      </c>
      <c r="U698">
        <v>0.31</v>
      </c>
      <c r="V698">
        <v>100</v>
      </c>
      <c r="W698">
        <v>1</v>
      </c>
      <c r="X698">
        <v>0.5</v>
      </c>
      <c r="Y698">
        <v>4.29</v>
      </c>
      <c r="Z698">
        <v>0.14</v>
      </c>
      <c r="AA698">
        <v>0</v>
      </c>
      <c r="AB698">
        <v>0</v>
      </c>
      <c r="AC698">
        <v>0</v>
      </c>
      <c r="AD698">
        <v>0</v>
      </c>
      <c r="AE698">
        <v>200</v>
      </c>
      <c r="AF698">
        <v>0</v>
      </c>
      <c r="AG698">
        <v>0</v>
      </c>
      <c r="AH698">
        <v>0</v>
      </c>
      <c r="AI698">
        <v>0</v>
      </c>
      <c r="AJ698">
        <v>0</v>
      </c>
      <c r="AK698">
        <v>2356</v>
      </c>
      <c r="AL698">
        <v>61</v>
      </c>
      <c r="AM698">
        <v>5</v>
      </c>
      <c r="AN698">
        <v>0</v>
      </c>
      <c r="AO698">
        <v>0</v>
      </c>
      <c r="AP698">
        <v>0.893</v>
      </c>
      <c r="AQ698">
        <v>0.0579999999999999</v>
      </c>
      <c r="AR698">
        <v>0.122</v>
      </c>
      <c r="AS698" s="3">
        <v>46107.77311342592</v>
      </c>
    </row>
    <row r="699" ht="25.5" customHeight="1">
      <c r="A699" t="inlineStr">
        <is>
          <t>5bf2dfc86f47ae0001ede170</t>
        </is>
      </c>
      <c r="B699" s="2" t="str">
        <f>=HYPERLINK("https://www.xiaohongshu.com/user/profile/5bf2dfc86f47ae0001ede170", "https://www.xiaohongshu.com/user/profile/5bf2dfc86f47ae0001ede170")</f>
        <v>https://www.xiaohongshu.com/user/profile/5bf2dfc86f47ae0001ede170</v>
      </c>
      <c r="C699" s="2" t="str">
        <f>=HYPERLINK("https://pgy.xiaohongshu.com/solar/pre-trade/blogger-detail/5bf2dfc86f47ae0001ede170", "https://pgy.xiaohongshu.com/solar/pre-trade/blogger-detail/5bf2dfc86f47ae0001ede170")</f>
        <v>https://pgy.xiaohongshu.com/solar/pre-trade/blogger-detail/5bf2dfc86f47ae0001ede170</v>
      </c>
      <c r="D699" t="inlineStr">
        <is>
          <t>女</t>
        </is>
      </c>
      <c r="E699" t="inlineStr">
        <is>
          <t>381230558</t>
        </is>
      </c>
      <c r="F699" t="inlineStr">
        <is>
          <t>草莓牛角包🥐</t>
        </is>
      </c>
      <c r="G699" t="inlineStr">
        <is>
          <t>福建 福州 闽侯县</t>
        </is>
      </c>
      <c r="H699"/>
      <c r="I699" t="inlineStr">
        <is>
          <t>兴趣爱好, 教育</t>
        </is>
      </c>
      <c r="J699">
        <v>4404</v>
      </c>
      <c r="K699" t="inlineStr">
        <is>
          <t>0.4</t>
        </is>
      </c>
      <c r="L699">
        <v>2329</v>
      </c>
      <c r="M699">
        <v>1312</v>
      </c>
      <c r="N699">
        <v>183</v>
      </c>
      <c r="O699">
        <v>200</v>
      </c>
      <c r="P699">
        <v>0.042</v>
      </c>
      <c r="Q699">
        <v>0.542</v>
      </c>
      <c r="R699">
        <v>0</v>
      </c>
      <c r="S699">
        <v>0</v>
      </c>
      <c r="T699">
        <v>0</v>
      </c>
      <c r="U699">
        <v>0</v>
      </c>
      <c r="V699">
        <v>200</v>
      </c>
      <c r="W699">
        <v>0</v>
      </c>
      <c r="X699">
        <v>0</v>
      </c>
      <c r="Y699">
        <v>0</v>
      </c>
      <c r="Z699">
        <v>0</v>
      </c>
      <c r="AA699">
        <v>2329</v>
      </c>
      <c r="AB699">
        <v>1312</v>
      </c>
      <c r="AC699">
        <v>165</v>
      </c>
      <c r="AD699">
        <v>1.96</v>
      </c>
      <c r="AE699">
        <v>600</v>
      </c>
      <c r="AF699">
        <v>0.542</v>
      </c>
      <c r="AG699">
        <v>0.042</v>
      </c>
      <c r="AH699">
        <v>0.01</v>
      </c>
      <c r="AI699">
        <v>257.62</v>
      </c>
      <c r="AJ699">
        <v>3.27</v>
      </c>
      <c r="AK699">
        <v>0</v>
      </c>
      <c r="AL699">
        <v>0</v>
      </c>
      <c r="AM699">
        <v>0</v>
      </c>
      <c r="AN699">
        <v>0</v>
      </c>
      <c r="AO699">
        <v>0</v>
      </c>
      <c r="AP699">
        <v>0.79</v>
      </c>
      <c r="AQ699">
        <v>0.206</v>
      </c>
      <c r="AR699">
        <v>0.47</v>
      </c>
      <c r="AS699" s="3">
        <v>46107.77311342592</v>
      </c>
    </row>
    <row r="700" ht="25.5" customHeight="1">
      <c r="A700" t="inlineStr">
        <is>
          <t>66ee5eb5000000001d033379</t>
        </is>
      </c>
      <c r="B700" s="2" t="str">
        <f>=HYPERLINK("https://www.xiaohongshu.com/user/profile/66ee5eb5000000001d033379", "https://www.xiaohongshu.com/user/profile/66ee5eb5000000001d033379")</f>
        <v>https://www.xiaohongshu.com/user/profile/66ee5eb5000000001d033379</v>
      </c>
      <c r="C700" s="2" t="str">
        <f>=HYPERLINK("https://pgy.xiaohongshu.com/solar/pre-trade/blogger-detail/66ee5eb5000000001d033379", "https://pgy.xiaohongshu.com/solar/pre-trade/blogger-detail/66ee5eb5000000001d033379")</f>
        <v>https://pgy.xiaohongshu.com/solar/pre-trade/blogger-detail/66ee5eb5000000001d033379</v>
      </c>
      <c r="D700" t="inlineStr">
        <is>
          <t>女</t>
        </is>
      </c>
      <c r="E700" t="inlineStr">
        <is>
          <t>94188797774</t>
        </is>
      </c>
      <c r="F700" t="inlineStr">
        <is>
          <t>啃吾栗（免费资源共享版）</t>
        </is>
      </c>
      <c r="G700" t="inlineStr">
        <is>
          <t>英国</t>
        </is>
      </c>
      <c r="H700"/>
      <c r="I700" t="inlineStr">
        <is>
          <t>教育</t>
        </is>
      </c>
      <c r="J700">
        <v>5149</v>
      </c>
      <c r="K700" t="inlineStr">
        <is>
          <t>0.5</t>
        </is>
      </c>
      <c r="L700">
        <v>9642</v>
      </c>
      <c r="M700">
        <v>1974</v>
      </c>
      <c r="N700">
        <v>242</v>
      </c>
      <c r="O700">
        <v>280</v>
      </c>
      <c r="P700">
        <v>0</v>
      </c>
      <c r="Q700">
        <v>0.455</v>
      </c>
      <c r="R700">
        <v>9642</v>
      </c>
      <c r="S700">
        <v>1974</v>
      </c>
      <c r="T700">
        <v>171</v>
      </c>
      <c r="U700">
        <v>0.53</v>
      </c>
      <c r="V700">
        <v>300</v>
      </c>
      <c r="W700">
        <v>0.455</v>
      </c>
      <c r="X700">
        <v>0</v>
      </c>
      <c r="Y700">
        <v>42.8</v>
      </c>
      <c r="Z700">
        <v>1.9</v>
      </c>
      <c r="AA700">
        <v>0</v>
      </c>
      <c r="AB700">
        <v>0</v>
      </c>
      <c r="AC700">
        <v>0</v>
      </c>
      <c r="AD700">
        <v>0</v>
      </c>
      <c r="AE700">
        <v>280</v>
      </c>
      <c r="AF700">
        <v>0</v>
      </c>
      <c r="AG700">
        <v>0</v>
      </c>
      <c r="AH700">
        <v>0</v>
      </c>
      <c r="AI700">
        <v>0</v>
      </c>
      <c r="AJ700">
        <v>0</v>
      </c>
      <c r="AK700">
        <v>3541</v>
      </c>
      <c r="AL700">
        <v>313</v>
      </c>
      <c r="AM700">
        <v>41</v>
      </c>
      <c r="AN700">
        <v>0</v>
      </c>
      <c r="AO700">
        <v>0</v>
      </c>
      <c r="AP700">
        <v>0.963</v>
      </c>
      <c r="AQ700">
        <v>0.104</v>
      </c>
      <c r="AR700">
        <v>0.129</v>
      </c>
      <c r="AS700" s="3">
        <v>46107.77311342592</v>
      </c>
    </row>
    <row r="701" ht="25.5" customHeight="1">
      <c r="A701" t="inlineStr">
        <is>
          <t>6501a6910000000005001aa1</t>
        </is>
      </c>
      <c r="B701" s="2" t="str">
        <f>=HYPERLINK("https://www.xiaohongshu.com/user/profile/6501a6910000000005001aa1", "https://www.xiaohongshu.com/user/profile/6501a6910000000005001aa1")</f>
        <v>https://www.xiaohongshu.com/user/profile/6501a6910000000005001aa1</v>
      </c>
      <c r="C701" s="2" t="str">
        <f>=HYPERLINK("https://pgy.xiaohongshu.com/solar/pre-trade/blogger-detail/6501a6910000000005001aa1", "https://pgy.xiaohongshu.com/solar/pre-trade/blogger-detail/6501a6910000000005001aa1")</f>
        <v>https://pgy.xiaohongshu.com/solar/pre-trade/blogger-detail/6501a6910000000005001aa1</v>
      </c>
      <c r="D701" t="inlineStr">
        <is>
          <t>女</t>
        </is>
      </c>
      <c r="E701" t="inlineStr">
        <is>
          <t>7237949917</t>
        </is>
      </c>
      <c r="F701" t="inlineStr">
        <is>
          <t>太空读书人哈</t>
        </is>
      </c>
      <c r="G701" t="inlineStr">
        <is>
          <t>河南 郑州 惠济区</t>
        </is>
      </c>
      <c r="H701" t="inlineStr">
        <is>
          <t>学生</t>
        </is>
      </c>
      <c r="I701" t="inlineStr">
        <is>
          <t>教育</t>
        </is>
      </c>
      <c r="J701">
        <v>18132</v>
      </c>
      <c r="K701" t="inlineStr">
        <is>
          <t>1.8</t>
        </is>
      </c>
      <c r="L701">
        <v>6038</v>
      </c>
      <c r="M701">
        <v>1089</v>
      </c>
      <c r="N701">
        <v>201</v>
      </c>
      <c r="O701">
        <v>100</v>
      </c>
      <c r="P701">
        <v>0.25</v>
      </c>
      <c r="Q701">
        <v>1</v>
      </c>
      <c r="R701">
        <v>6038</v>
      </c>
      <c r="S701">
        <v>1089</v>
      </c>
      <c r="T701">
        <v>193</v>
      </c>
      <c r="U701">
        <v>0.41</v>
      </c>
      <c r="V701">
        <v>100</v>
      </c>
      <c r="W701">
        <v>1</v>
      </c>
      <c r="X701">
        <v>0.25</v>
      </c>
      <c r="Y701">
        <v>17.77</v>
      </c>
      <c r="Z701">
        <v>0.52</v>
      </c>
      <c r="AA701">
        <v>0</v>
      </c>
      <c r="AB701">
        <v>0</v>
      </c>
      <c r="AC701">
        <v>0</v>
      </c>
      <c r="AD701">
        <v>0</v>
      </c>
      <c r="AE701">
        <v>200</v>
      </c>
      <c r="AF701">
        <v>0</v>
      </c>
      <c r="AG701">
        <v>0</v>
      </c>
      <c r="AH701">
        <v>0</v>
      </c>
      <c r="AI701">
        <v>0</v>
      </c>
      <c r="AJ701">
        <v>0</v>
      </c>
      <c r="AK701">
        <v>2317</v>
      </c>
      <c r="AL701">
        <v>133</v>
      </c>
      <c r="AM701">
        <v>13</v>
      </c>
      <c r="AN701">
        <v>0</v>
      </c>
      <c r="AO701">
        <v>0</v>
      </c>
      <c r="AP701">
        <v>0.777</v>
      </c>
      <c r="AQ701">
        <v>0.03</v>
      </c>
      <c r="AR701">
        <v>0.023</v>
      </c>
      <c r="AS701" s="3">
        <v>46107.77333333333</v>
      </c>
    </row>
    <row r="702" ht="25.5" customHeight="1">
      <c r="A702" t="inlineStr">
        <is>
          <t>615010800000000002018615</t>
        </is>
      </c>
      <c r="B702" s="2" t="str">
        <f>=HYPERLINK("https://www.xiaohongshu.com/user/profile/615010800000000002018615", "https://www.xiaohongshu.com/user/profile/615010800000000002018615")</f>
        <v>https://www.xiaohongshu.com/user/profile/615010800000000002018615</v>
      </c>
      <c r="C702" s="2" t="str">
        <f>=HYPERLINK("https://pgy.xiaohongshu.com/solar/pre-trade/blogger-detail/615010800000000002018615", "https://pgy.xiaohongshu.com/solar/pre-trade/blogger-detail/615010800000000002018615")</f>
        <v>https://pgy.xiaohongshu.com/solar/pre-trade/blogger-detail/615010800000000002018615</v>
      </c>
      <c r="D702" t="inlineStr">
        <is>
          <t>女</t>
        </is>
      </c>
      <c r="E702" t="inlineStr">
        <is>
          <t>yishiqiqiqi</t>
        </is>
      </c>
      <c r="F702" t="inlineStr">
        <is>
          <t>壹拾柒</t>
        </is>
      </c>
      <c r="G702" t="inlineStr">
        <is>
          <t>辽宁 沈阳 皇姑区</t>
        </is>
      </c>
      <c r="H702"/>
      <c r="I702" t="inlineStr">
        <is>
          <t>教育</t>
        </is>
      </c>
      <c r="J702">
        <v>5529</v>
      </c>
      <c r="K702" t="inlineStr">
        <is>
          <t>0.6</t>
        </is>
      </c>
      <c r="L702">
        <v>17865</v>
      </c>
      <c r="M702">
        <v>6880</v>
      </c>
      <c r="N702">
        <v>928</v>
      </c>
      <c r="O702">
        <v>110</v>
      </c>
      <c r="P702">
        <v>0.2</v>
      </c>
      <c r="Q702">
        <v>0.6</v>
      </c>
      <c r="R702">
        <v>17865</v>
      </c>
      <c r="S702">
        <v>6880</v>
      </c>
      <c r="T702">
        <v>785</v>
      </c>
      <c r="U702">
        <v>0.33</v>
      </c>
      <c r="V702">
        <v>110</v>
      </c>
      <c r="W702">
        <v>0.6</v>
      </c>
      <c r="X702">
        <v>0.2</v>
      </c>
      <c r="Y702">
        <v>6.16</v>
      </c>
      <c r="Z702">
        <v>0.12</v>
      </c>
      <c r="AA702">
        <v>0</v>
      </c>
      <c r="AB702">
        <v>0</v>
      </c>
      <c r="AC702">
        <v>0</v>
      </c>
      <c r="AD702">
        <v>0</v>
      </c>
      <c r="AE702">
        <v>200</v>
      </c>
      <c r="AF702">
        <v>0</v>
      </c>
      <c r="AG702">
        <v>0</v>
      </c>
      <c r="AH702">
        <v>0</v>
      </c>
      <c r="AI702">
        <v>0</v>
      </c>
      <c r="AJ702">
        <v>0</v>
      </c>
      <c r="AK702">
        <v>15966</v>
      </c>
      <c r="AL702">
        <v>2160</v>
      </c>
      <c r="AM702">
        <v>466</v>
      </c>
      <c r="AN702">
        <v>0</v>
      </c>
      <c r="AO702">
        <v>0</v>
      </c>
      <c r="AP702">
        <v>0.932999999999999</v>
      </c>
      <c r="AQ702">
        <v>0.135</v>
      </c>
      <c r="AR702">
        <v>0.211</v>
      </c>
      <c r="AS702" s="3">
        <v>46107.77333333333</v>
      </c>
    </row>
    <row r="703" ht="25.5" customHeight="1">
      <c r="A703" t="inlineStr">
        <is>
          <t>5ba088ef44363b7b254554d9</t>
        </is>
      </c>
      <c r="B703" s="2" t="str">
        <f>=HYPERLINK("https://www.xiaohongshu.com/user/profile/5ba088ef44363b7b254554d9", "https://www.xiaohongshu.com/user/profile/5ba088ef44363b7b254554d9")</f>
        <v>https://www.xiaohongshu.com/user/profile/5ba088ef44363b7b254554d9</v>
      </c>
      <c r="C703" s="2" t="str">
        <f>=HYPERLINK("https://pgy.xiaohongshu.com/solar/pre-trade/blogger-detail/5ba088ef44363b7b254554d9", "https://pgy.xiaohongshu.com/solar/pre-trade/blogger-detail/5ba088ef44363b7b254554d9")</f>
        <v>https://pgy.xiaohongshu.com/solar/pre-trade/blogger-detail/5ba088ef44363b7b254554d9</v>
      </c>
      <c r="D703" t="inlineStr">
        <is>
          <t>女</t>
        </is>
      </c>
      <c r="E703" t="inlineStr">
        <is>
          <t>369871671</t>
        </is>
      </c>
      <c r="F703" t="inlineStr">
        <is>
          <t>君君家校笔记</t>
        </is>
      </c>
      <c r="G703" t="inlineStr">
        <is>
          <t>澳大利亚</t>
        </is>
      </c>
      <c r="H703"/>
      <c r="I703" t="inlineStr">
        <is>
          <t>教育, 母婴</t>
        </is>
      </c>
      <c r="J703">
        <v>3727</v>
      </c>
      <c r="K703" t="inlineStr">
        <is>
          <t>0.4</t>
        </is>
      </c>
      <c r="L703">
        <v>12181</v>
      </c>
      <c r="M703">
        <v>2607</v>
      </c>
      <c r="N703">
        <v>364</v>
      </c>
      <c r="O703">
        <v>500</v>
      </c>
      <c r="P703">
        <v>0.332999999999999</v>
      </c>
      <c r="Q703">
        <v>0.667</v>
      </c>
      <c r="R703">
        <v>0</v>
      </c>
      <c r="S703">
        <v>0</v>
      </c>
      <c r="T703">
        <v>0</v>
      </c>
      <c r="U703">
        <v>0</v>
      </c>
      <c r="V703">
        <v>500</v>
      </c>
      <c r="W703">
        <v>0</v>
      </c>
      <c r="X703">
        <v>0</v>
      </c>
      <c r="Y703">
        <v>0</v>
      </c>
      <c r="Z703">
        <v>0</v>
      </c>
      <c r="AA703">
        <v>12181</v>
      </c>
      <c r="AB703">
        <v>2607</v>
      </c>
      <c r="AC703">
        <v>285</v>
      </c>
      <c r="AD703">
        <v>1.96</v>
      </c>
      <c r="AE703">
        <v>1200</v>
      </c>
      <c r="AF703">
        <v>0.667</v>
      </c>
      <c r="AG703">
        <v>0.332999999999999</v>
      </c>
      <c r="AH703">
        <v>0.034</v>
      </c>
      <c r="AI703">
        <v>98.51</v>
      </c>
      <c r="AJ703">
        <v>3.3</v>
      </c>
      <c r="AK703">
        <v>0</v>
      </c>
      <c r="AL703">
        <v>0</v>
      </c>
      <c r="AM703">
        <v>0</v>
      </c>
      <c r="AN703">
        <v>0</v>
      </c>
      <c r="AO703">
        <v>0</v>
      </c>
      <c r="AP703">
        <v>0.973</v>
      </c>
      <c r="AQ703">
        <v>0.273999999999999</v>
      </c>
      <c r="AR703">
        <v>1.434</v>
      </c>
      <c r="AS703" s="3">
        <v>46107.77333333333</v>
      </c>
    </row>
    <row r="704" ht="25.5" customHeight="1">
      <c r="A704" t="inlineStr">
        <is>
          <t>5b19022a6b58b774097b4633</t>
        </is>
      </c>
      <c r="B704" s="2" t="str">
        <f>=HYPERLINK("https://www.xiaohongshu.com/user/profile/5b19022a6b58b774097b4633", "https://www.xiaohongshu.com/user/profile/5b19022a6b58b774097b4633")</f>
        <v>https://www.xiaohongshu.com/user/profile/5b19022a6b58b774097b4633</v>
      </c>
      <c r="C704" s="2" t="str">
        <f>=HYPERLINK("https://pgy.xiaohongshu.com/solar/pre-trade/blogger-detail/5b19022a6b58b774097b4633", "https://pgy.xiaohongshu.com/solar/pre-trade/blogger-detail/5b19022a6b58b774097b4633")</f>
        <v>https://pgy.xiaohongshu.com/solar/pre-trade/blogger-detail/5b19022a6b58b774097b4633</v>
      </c>
      <c r="D704" t="inlineStr">
        <is>
          <t>男</t>
        </is>
      </c>
      <c r="E704" t="inlineStr">
        <is>
          <t>946289458</t>
        </is>
      </c>
      <c r="F704" t="inlineStr">
        <is>
          <t>摸鱼小涛三</t>
        </is>
      </c>
      <c r="G704" t="inlineStr">
        <is>
          <t>北京</t>
        </is>
      </c>
      <c r="H704" t="inlineStr">
        <is>
          <t>学生</t>
        </is>
      </c>
      <c r="I704" t="inlineStr">
        <is>
          <t>教育, 生活记录</t>
        </is>
      </c>
      <c r="J704">
        <v>166439</v>
      </c>
      <c r="K704" t="inlineStr">
        <is>
          <t>16.6</t>
        </is>
      </c>
      <c r="L704">
        <v>206456</v>
      </c>
      <c r="M704">
        <v>80435</v>
      </c>
      <c r="N704">
        <v>3775</v>
      </c>
      <c r="O704">
        <v>23000</v>
      </c>
      <c r="P704">
        <v>0.8</v>
      </c>
      <c r="Q704">
        <v>1</v>
      </c>
      <c r="R704">
        <v>0</v>
      </c>
      <c r="S704">
        <v>0</v>
      </c>
      <c r="T704">
        <v>0</v>
      </c>
      <c r="U704">
        <v>0</v>
      </c>
      <c r="V704">
        <v>23000</v>
      </c>
      <c r="W704">
        <v>0</v>
      </c>
      <c r="X704">
        <v>0</v>
      </c>
      <c r="Y704">
        <v>0</v>
      </c>
      <c r="Z704">
        <v>0</v>
      </c>
      <c r="AA704">
        <v>259166</v>
      </c>
      <c r="AB704">
        <v>113926</v>
      </c>
      <c r="AC704">
        <v>4261</v>
      </c>
      <c r="AD704">
        <v>1.75</v>
      </c>
      <c r="AE704">
        <v>28000</v>
      </c>
      <c r="AF704">
        <v>1</v>
      </c>
      <c r="AG704">
        <v>0.8</v>
      </c>
      <c r="AH704">
        <v>0.318</v>
      </c>
      <c r="AI704">
        <v>108.04</v>
      </c>
      <c r="AJ704">
        <v>5.87</v>
      </c>
      <c r="AK704">
        <v>0</v>
      </c>
      <c r="AL704">
        <v>0</v>
      </c>
      <c r="AM704">
        <v>0</v>
      </c>
      <c r="AN704">
        <v>0</v>
      </c>
      <c r="AO704">
        <v>0</v>
      </c>
      <c r="AP704">
        <v>0.726</v>
      </c>
      <c r="AQ704">
        <v>0.08</v>
      </c>
      <c r="AR704">
        <v>0.05</v>
      </c>
      <c r="AS704" s="3">
        <v>46107.77333333333</v>
      </c>
    </row>
    <row r="705" ht="25.5" customHeight="1">
      <c r="A705" t="inlineStr">
        <is>
          <t>64048e0b000000001001e465</t>
        </is>
      </c>
      <c r="B705" s="2" t="str">
        <f>=HYPERLINK("https://www.xiaohongshu.com/user/profile/64048e0b000000001001e465", "https://www.xiaohongshu.com/user/profile/64048e0b000000001001e465")</f>
        <v>https://www.xiaohongshu.com/user/profile/64048e0b000000001001e465</v>
      </c>
      <c r="C705" s="2" t="str">
        <f>=HYPERLINK("https://pgy.xiaohongshu.com/solar/pre-trade/blogger-detail/64048e0b000000001001e465", "https://pgy.xiaohongshu.com/solar/pre-trade/blogger-detail/64048e0b000000001001e465")</f>
        <v>https://pgy.xiaohongshu.com/solar/pre-trade/blogger-detail/64048e0b000000001001e465</v>
      </c>
      <c r="D705" t="inlineStr">
        <is>
          <t>女</t>
        </is>
      </c>
      <c r="E705" t="inlineStr">
        <is>
          <t>nnnnnnnnnn777</t>
        </is>
      </c>
      <c r="F705" t="inlineStr">
        <is>
          <t>鸢尾</t>
        </is>
      </c>
      <c r="G705" t="inlineStr">
        <is>
          <t>湖南 郴州 永兴县</t>
        </is>
      </c>
      <c r="H705"/>
      <c r="I705" t="inlineStr">
        <is>
          <t>教育</t>
        </is>
      </c>
      <c r="J705">
        <v>1532</v>
      </c>
      <c r="K705" t="inlineStr">
        <is>
          <t>0.2</t>
        </is>
      </c>
      <c r="L705">
        <v>108204</v>
      </c>
      <c r="M705">
        <v>14792</v>
      </c>
      <c r="N705">
        <v>549</v>
      </c>
      <c r="O705">
        <v>300</v>
      </c>
      <c r="P705">
        <v>0</v>
      </c>
      <c r="Q705">
        <v>0.75</v>
      </c>
      <c r="R705">
        <v>108204</v>
      </c>
      <c r="S705">
        <v>14792</v>
      </c>
      <c r="T705">
        <v>503</v>
      </c>
      <c r="U705">
        <v>0.35</v>
      </c>
      <c r="V705">
        <v>785</v>
      </c>
      <c r="W705">
        <v>0.75</v>
      </c>
      <c r="X705">
        <v>0</v>
      </c>
      <c r="Y705">
        <v>7.25</v>
      </c>
      <c r="Z705">
        <v>1.43</v>
      </c>
      <c r="AA705">
        <v>0</v>
      </c>
      <c r="AB705">
        <v>0</v>
      </c>
      <c r="AC705">
        <v>0</v>
      </c>
      <c r="AD705">
        <v>0</v>
      </c>
      <c r="AE705">
        <v>300</v>
      </c>
      <c r="AF705">
        <v>0</v>
      </c>
      <c r="AG705">
        <v>0</v>
      </c>
      <c r="AH705">
        <v>0</v>
      </c>
      <c r="AI705">
        <v>0</v>
      </c>
      <c r="AJ705">
        <v>0</v>
      </c>
      <c r="AK705">
        <v>0</v>
      </c>
      <c r="AL705">
        <v>0</v>
      </c>
      <c r="AM705">
        <v>0</v>
      </c>
      <c r="AN705">
        <v>0</v>
      </c>
      <c r="AO705">
        <v>0</v>
      </c>
      <c r="AP705">
        <v>0.922999999999999</v>
      </c>
      <c r="AQ705">
        <v>0.07</v>
      </c>
      <c r="AR705">
        <v>0</v>
      </c>
      <c r="AS705" s="3">
        <v>46107.77333333333</v>
      </c>
    </row>
    <row r="706" ht="25.5" customHeight="1">
      <c r="A706" t="inlineStr">
        <is>
          <t>5f357e810000000001000a54</t>
        </is>
      </c>
      <c r="B706" s="2" t="str">
        <f>=HYPERLINK("https://www.xiaohongshu.com/user/profile/5f357e810000000001000a54", "https://www.xiaohongshu.com/user/profile/5f357e810000000001000a54")</f>
        <v>https://www.xiaohongshu.com/user/profile/5f357e810000000001000a54</v>
      </c>
      <c r="C706" s="2" t="str">
        <f>=HYPERLINK("https://pgy.xiaohongshu.com/solar/pre-trade/blogger-detail/5f357e810000000001000a54", "https://pgy.xiaohongshu.com/solar/pre-trade/blogger-detail/5f357e810000000001000a54")</f>
        <v>https://pgy.xiaohongshu.com/solar/pre-trade/blogger-detail/5f357e810000000001000a54</v>
      </c>
      <c r="D706" t="inlineStr">
        <is>
          <t>女</t>
        </is>
      </c>
      <c r="E706" t="inlineStr">
        <is>
          <t>767849359</t>
        </is>
      </c>
      <c r="F706" t="inlineStr">
        <is>
          <t>游园惊梦m0y</t>
        </is>
      </c>
      <c r="G706" t="inlineStr">
        <is>
          <t>江西 宜春 袁州区</t>
        </is>
      </c>
      <c r="H706" t="inlineStr">
        <is>
          <t>学生</t>
        </is>
      </c>
      <c r="I706" t="inlineStr">
        <is>
          <t>游戏</t>
        </is>
      </c>
      <c r="J706">
        <v>2358</v>
      </c>
      <c r="K706" t="inlineStr">
        <is>
          <t>0.2</t>
        </is>
      </c>
      <c r="L706">
        <v>8468</v>
      </c>
      <c r="M706">
        <v>1672</v>
      </c>
      <c r="N706">
        <v>121</v>
      </c>
      <c r="O706">
        <v>200</v>
      </c>
      <c r="P706">
        <v>0.1</v>
      </c>
      <c r="Q706">
        <v>0.4</v>
      </c>
      <c r="R706">
        <v>10248</v>
      </c>
      <c r="S706">
        <v>1672</v>
      </c>
      <c r="T706">
        <v>217</v>
      </c>
      <c r="U706">
        <v>0.42</v>
      </c>
      <c r="V706">
        <v>200</v>
      </c>
      <c r="W706">
        <v>0.5</v>
      </c>
      <c r="X706">
        <v>0.125</v>
      </c>
      <c r="Y706">
        <v>19.52</v>
      </c>
      <c r="Z706">
        <v>0.7</v>
      </c>
      <c r="AA706">
        <v>6964</v>
      </c>
      <c r="AB706">
        <v>1862</v>
      </c>
      <c r="AC706">
        <v>72</v>
      </c>
      <c r="AD706">
        <v>1.73</v>
      </c>
      <c r="AE706">
        <v>425</v>
      </c>
      <c r="AF706">
        <v>0</v>
      </c>
      <c r="AG706">
        <v>0</v>
      </c>
      <c r="AH706">
        <v>0.206</v>
      </c>
      <c r="AI706">
        <v>61.02</v>
      </c>
      <c r="AJ706">
        <v>4.34</v>
      </c>
      <c r="AK706">
        <v>0</v>
      </c>
      <c r="AL706">
        <v>0</v>
      </c>
      <c r="AM706">
        <v>0</v>
      </c>
      <c r="AN706">
        <v>0</v>
      </c>
      <c r="AO706">
        <v>0</v>
      </c>
      <c r="AP706">
        <v>1</v>
      </c>
      <c r="AQ706">
        <v>0.903</v>
      </c>
      <c r="AR706">
        <v>0</v>
      </c>
      <c r="AS706" s="3">
        <v>46107.77333333333</v>
      </c>
    </row>
    <row r="707" ht="25.5" customHeight="1">
      <c r="A707" t="inlineStr">
        <is>
          <t>55d9b7dfa75c956e6244c738</t>
        </is>
      </c>
      <c r="B707" s="2" t="str">
        <f>=HYPERLINK("https://www.xiaohongshu.com/user/profile/55d9b7dfa75c956e6244c738", "https://www.xiaohongshu.com/user/profile/55d9b7dfa75c956e6244c738")</f>
        <v>https://www.xiaohongshu.com/user/profile/55d9b7dfa75c956e6244c738</v>
      </c>
      <c r="C707" s="2" t="str">
        <f>=HYPERLINK("https://pgy.xiaohongshu.com/solar/pre-trade/blogger-detail/55d9b7dfa75c956e6244c738", "https://pgy.xiaohongshu.com/solar/pre-trade/blogger-detail/55d9b7dfa75c956e6244c738")</f>
        <v>https://pgy.xiaohongshu.com/solar/pre-trade/blogger-detail/55d9b7dfa75c956e6244c738</v>
      </c>
      <c r="D707" t="inlineStr">
        <is>
          <t>男</t>
        </is>
      </c>
      <c r="E707" t="inlineStr">
        <is>
          <t>993665004</t>
        </is>
      </c>
      <c r="F707" t="inlineStr">
        <is>
          <t>考研调剂代哥</t>
        </is>
      </c>
      <c r="G707" t="inlineStr">
        <is>
          <t>广东 深圳 南山区</t>
        </is>
      </c>
      <c r="H707"/>
      <c r="I707" t="inlineStr">
        <is>
          <t>教育</t>
        </is>
      </c>
      <c r="J707">
        <v>2623</v>
      </c>
      <c r="K707" t="inlineStr">
        <is>
          <t>0.3</t>
        </is>
      </c>
      <c r="L707">
        <v>14588</v>
      </c>
      <c r="M707">
        <v>3967</v>
      </c>
      <c r="N707">
        <v>153</v>
      </c>
      <c r="O707">
        <v>190</v>
      </c>
      <c r="P707">
        <v>0</v>
      </c>
      <c r="Q707">
        <v>0.073</v>
      </c>
      <c r="R707">
        <v>14588</v>
      </c>
      <c r="S707">
        <v>3967</v>
      </c>
      <c r="T707">
        <v>108</v>
      </c>
      <c r="U707">
        <v>0.35</v>
      </c>
      <c r="V707">
        <v>190</v>
      </c>
      <c r="W707">
        <v>0.073</v>
      </c>
      <c r="X707">
        <v>0</v>
      </c>
      <c r="Y707">
        <v>13.02</v>
      </c>
      <c r="Z707">
        <v>1.24</v>
      </c>
      <c r="AA707">
        <v>0</v>
      </c>
      <c r="AB707">
        <v>0</v>
      </c>
      <c r="AC707">
        <v>0</v>
      </c>
      <c r="AD707">
        <v>0</v>
      </c>
      <c r="AE707">
        <v>400</v>
      </c>
      <c r="AF707">
        <v>0</v>
      </c>
      <c r="AG707">
        <v>0</v>
      </c>
      <c r="AH707">
        <v>0</v>
      </c>
      <c r="AI707">
        <v>0</v>
      </c>
      <c r="AJ707">
        <v>0</v>
      </c>
      <c r="AK707">
        <v>0</v>
      </c>
      <c r="AL707">
        <v>0</v>
      </c>
      <c r="AM707">
        <v>0</v>
      </c>
      <c r="AN707">
        <v>0</v>
      </c>
      <c r="AO707">
        <v>0</v>
      </c>
      <c r="AP707">
        <v>0.904</v>
      </c>
      <c r="AQ707">
        <v>0.196</v>
      </c>
      <c r="AR707">
        <v>0.845</v>
      </c>
      <c r="AS707" s="3">
        <v>46107.77333333333</v>
      </c>
    </row>
    <row r="708" ht="25.5" customHeight="1">
      <c r="A708" t="inlineStr">
        <is>
          <t>68b5042700000000190172ad</t>
        </is>
      </c>
      <c r="B708" s="2" t="str">
        <f>=HYPERLINK("https://www.xiaohongshu.com/user/profile/68b5042700000000190172ad", "https://www.xiaohongshu.com/user/profile/68b5042700000000190172ad")</f>
        <v>https://www.xiaohongshu.com/user/profile/68b5042700000000190172ad</v>
      </c>
      <c r="C708" s="2" t="str">
        <f>=HYPERLINK("https://pgy.xiaohongshu.com/solar/pre-trade/blogger-detail/68b5042700000000190172ad", "https://pgy.xiaohongshu.com/solar/pre-trade/blogger-detail/68b5042700000000190172ad")</f>
        <v>https://pgy.xiaohongshu.com/solar/pre-trade/blogger-detail/68b5042700000000190172ad</v>
      </c>
      <c r="D708" t="inlineStr">
        <is>
          <t>女</t>
        </is>
      </c>
      <c r="E708" t="inlineStr">
        <is>
          <t>AYX0809</t>
        </is>
      </c>
      <c r="F708" t="inlineStr">
        <is>
          <t>Aurora开子</t>
        </is>
      </c>
      <c r="G708" t="inlineStr">
        <is>
          <t>江苏 南京 江宁区</t>
        </is>
      </c>
      <c r="H708"/>
      <c r="I708" t="inlineStr">
        <is>
          <t>教育</t>
        </is>
      </c>
      <c r="J708">
        <v>1401</v>
      </c>
      <c r="K708" t="inlineStr">
        <is>
          <t>0.1</t>
        </is>
      </c>
      <c r="L708">
        <v>8558</v>
      </c>
      <c r="M708">
        <v>1555</v>
      </c>
      <c r="N708">
        <v>187</v>
      </c>
      <c r="O708">
        <v>200</v>
      </c>
      <c r="P708">
        <v>0</v>
      </c>
      <c r="Q708">
        <v>0.5</v>
      </c>
      <c r="R708">
        <v>8558</v>
      </c>
      <c r="S708">
        <v>1555</v>
      </c>
      <c r="T708">
        <v>160</v>
      </c>
      <c r="U708">
        <v>0.43</v>
      </c>
      <c r="V708">
        <v>200</v>
      </c>
      <c r="W708">
        <v>0.5</v>
      </c>
      <c r="X708">
        <v>0</v>
      </c>
      <c r="Y708">
        <v>23.37</v>
      </c>
      <c r="Z708">
        <v>1.07</v>
      </c>
      <c r="AA708">
        <v>0</v>
      </c>
      <c r="AB708">
        <v>0</v>
      </c>
      <c r="AC708">
        <v>0</v>
      </c>
      <c r="AD708">
        <v>0</v>
      </c>
      <c r="AE708">
        <v>300</v>
      </c>
      <c r="AF708">
        <v>0</v>
      </c>
      <c r="AG708">
        <v>0</v>
      </c>
      <c r="AH708">
        <v>0</v>
      </c>
      <c r="AI708">
        <v>0</v>
      </c>
      <c r="AJ708">
        <v>0</v>
      </c>
      <c r="AK708">
        <v>0</v>
      </c>
      <c r="AL708">
        <v>0</v>
      </c>
      <c r="AM708">
        <v>0</v>
      </c>
      <c r="AN708">
        <v>0</v>
      </c>
      <c r="AO708">
        <v>0</v>
      </c>
      <c r="AP708">
        <v>0.95</v>
      </c>
      <c r="AQ708">
        <v>0.136</v>
      </c>
      <c r="AR708">
        <v>0.276999999999999</v>
      </c>
      <c r="AS708" s="3">
        <v>46107.77333333333</v>
      </c>
    </row>
    <row r="709" ht="25.5" customHeight="1">
      <c r="A709" t="inlineStr">
        <is>
          <t>5ad344994eacab45c908b24e</t>
        </is>
      </c>
      <c r="B709" s="2" t="str">
        <f>=HYPERLINK("https://www.xiaohongshu.com/user/profile/5ad344994eacab45c908b24e", "https://www.xiaohongshu.com/user/profile/5ad344994eacab45c908b24e")</f>
        <v>https://www.xiaohongshu.com/user/profile/5ad344994eacab45c908b24e</v>
      </c>
      <c r="C709" s="2" t="str">
        <f>=HYPERLINK("https://pgy.xiaohongshu.com/solar/pre-trade/blogger-detail/5ad344994eacab45c908b24e", "https://pgy.xiaohongshu.com/solar/pre-trade/blogger-detail/5ad344994eacab45c908b24e")</f>
        <v>https://pgy.xiaohongshu.com/solar/pre-trade/blogger-detail/5ad344994eacab45c908b24e</v>
      </c>
      <c r="D709" t="inlineStr">
        <is>
          <t>女</t>
        </is>
      </c>
      <c r="E709" t="inlineStr">
        <is>
          <t>423222974</t>
        </is>
      </c>
      <c r="F709" t="inlineStr">
        <is>
          <t>Enya好好</t>
        </is>
      </c>
      <c r="G709" t="inlineStr">
        <is>
          <t>四川 德阳 罗江区</t>
        </is>
      </c>
      <c r="H709" t="inlineStr">
        <is>
          <t>学生</t>
        </is>
      </c>
      <c r="I709" t="inlineStr">
        <is>
          <t>影视综资讯, 生活记录</t>
        </is>
      </c>
      <c r="J709">
        <v>5558</v>
      </c>
      <c r="K709" t="inlineStr">
        <is>
          <t>0.6</t>
        </is>
      </c>
      <c r="L709">
        <v>3593</v>
      </c>
      <c r="M709">
        <v>1280</v>
      </c>
      <c r="N709">
        <v>169</v>
      </c>
      <c r="O709">
        <v>196</v>
      </c>
      <c r="P709">
        <v>0.118</v>
      </c>
      <c r="Q709">
        <v>0.588</v>
      </c>
      <c r="R709">
        <v>1586</v>
      </c>
      <c r="S709">
        <v>250</v>
      </c>
      <c r="T709">
        <v>14</v>
      </c>
      <c r="U709">
        <v>1.22</v>
      </c>
      <c r="V709">
        <v>196</v>
      </c>
      <c r="W709">
        <v>0</v>
      </c>
      <c r="X709">
        <v>0</v>
      </c>
      <c r="Y709">
        <v>119.26</v>
      </c>
      <c r="Z709">
        <v>15.68</v>
      </c>
      <c r="AA709">
        <v>3975</v>
      </c>
      <c r="AB709">
        <v>1393</v>
      </c>
      <c r="AC709">
        <v>174</v>
      </c>
      <c r="AD709">
        <v>2.11</v>
      </c>
      <c r="AE709">
        <v>780</v>
      </c>
      <c r="AF709">
        <v>0.625</v>
      </c>
      <c r="AG709">
        <v>0.125</v>
      </c>
      <c r="AH709">
        <v>0.25</v>
      </c>
      <c r="AI709">
        <v>208</v>
      </c>
      <c r="AJ709">
        <v>4.62</v>
      </c>
      <c r="AK709">
        <v>2725</v>
      </c>
      <c r="AL709">
        <v>446</v>
      </c>
      <c r="AM709">
        <v>10</v>
      </c>
      <c r="AN709">
        <v>0</v>
      </c>
      <c r="AO709">
        <v>11.1</v>
      </c>
      <c r="AP709">
        <v>0.585</v>
      </c>
      <c r="AQ709">
        <v>0.035</v>
      </c>
      <c r="AR709">
        <v>0.033</v>
      </c>
      <c r="AS709" s="3">
        <v>46107.77333333333</v>
      </c>
    </row>
    <row r="710" ht="25.5" customHeight="1">
      <c r="A710" t="inlineStr">
        <is>
          <t>60e479ce000000000101ccb8</t>
        </is>
      </c>
      <c r="B710" s="2" t="str">
        <f>=HYPERLINK("https://www.xiaohongshu.com/user/profile/60e479ce000000000101ccb8", "https://www.xiaohongshu.com/user/profile/60e479ce000000000101ccb8")</f>
        <v>https://www.xiaohongshu.com/user/profile/60e479ce000000000101ccb8</v>
      </c>
      <c r="C710" s="2" t="str">
        <f>=HYPERLINK("https://pgy.xiaohongshu.com/solar/pre-trade/blogger-detail/60e479ce000000000101ccb8", "https://pgy.xiaohongshu.com/solar/pre-trade/blogger-detail/60e479ce000000000101ccb8")</f>
        <v>https://pgy.xiaohongshu.com/solar/pre-trade/blogger-detail/60e479ce000000000101ccb8</v>
      </c>
      <c r="D710" t="inlineStr">
        <is>
          <t>女</t>
        </is>
      </c>
      <c r="E710" t="inlineStr">
        <is>
          <t>uu24678</t>
        </is>
      </c>
      <c r="F710" t="inlineStr">
        <is>
          <t>英语每日一练</t>
        </is>
      </c>
      <c r="G710" t="inlineStr">
        <is>
          <t>广东 揭阳 揭东区</t>
        </is>
      </c>
      <c r="H710" t="inlineStr">
        <is>
          <t>翻译</t>
        </is>
      </c>
      <c r="I710" t="inlineStr">
        <is>
          <t>教育</t>
        </is>
      </c>
      <c r="J710">
        <v>10220</v>
      </c>
      <c r="K710" t="inlineStr">
        <is>
          <t>1.0</t>
        </is>
      </c>
      <c r="L710">
        <v>17983</v>
      </c>
      <c r="M710">
        <v>1877</v>
      </c>
      <c r="N710">
        <v>163</v>
      </c>
      <c r="O710">
        <v>800</v>
      </c>
      <c r="P710">
        <v>0.061</v>
      </c>
      <c r="Q710">
        <v>0.303</v>
      </c>
      <c r="R710">
        <v>17983</v>
      </c>
      <c r="S710">
        <v>1877</v>
      </c>
      <c r="T710">
        <v>103</v>
      </c>
      <c r="U710">
        <v>0.73</v>
      </c>
      <c r="V710">
        <v>800</v>
      </c>
      <c r="W710">
        <v>0.303</v>
      </c>
      <c r="X710">
        <v>0.061</v>
      </c>
      <c r="Y710">
        <v>44.49</v>
      </c>
      <c r="Z710">
        <v>4.91</v>
      </c>
      <c r="AA710">
        <v>0</v>
      </c>
      <c r="AB710">
        <v>0</v>
      </c>
      <c r="AC710">
        <v>0</v>
      </c>
      <c r="AD710">
        <v>0</v>
      </c>
      <c r="AE710">
        <v>2500</v>
      </c>
      <c r="AF710">
        <v>0</v>
      </c>
      <c r="AG710">
        <v>0</v>
      </c>
      <c r="AH710">
        <v>0</v>
      </c>
      <c r="AI710">
        <v>0</v>
      </c>
      <c r="AJ710">
        <v>0</v>
      </c>
      <c r="AK710">
        <v>0</v>
      </c>
      <c r="AL710">
        <v>0</v>
      </c>
      <c r="AM710">
        <v>0</v>
      </c>
      <c r="AN710">
        <v>0</v>
      </c>
      <c r="AO710">
        <v>0</v>
      </c>
      <c r="AP710">
        <v>0.998</v>
      </c>
      <c r="AQ710">
        <v>0.187</v>
      </c>
      <c r="AR710">
        <v>0</v>
      </c>
      <c r="AS710" s="3">
        <v>46107.77333333333</v>
      </c>
    </row>
    <row r="711" ht="25.5" customHeight="1">
      <c r="A711" t="inlineStr">
        <is>
          <t>5f363e6200000000010099f7</t>
        </is>
      </c>
      <c r="B711" s="2" t="str">
        <f>=HYPERLINK("https://www.xiaohongshu.com/user/profile/5f363e6200000000010099f7", "https://www.xiaohongshu.com/user/profile/5f363e6200000000010099f7")</f>
        <v>https://www.xiaohongshu.com/user/profile/5f363e6200000000010099f7</v>
      </c>
      <c r="C711" s="2" t="str">
        <f>=HYPERLINK("https://pgy.xiaohongshu.com/solar/pre-trade/blogger-detail/5f363e6200000000010099f7", "https://pgy.xiaohongshu.com/solar/pre-trade/blogger-detail/5f363e6200000000010099f7")</f>
        <v>https://pgy.xiaohongshu.com/solar/pre-trade/blogger-detail/5f363e6200000000010099f7</v>
      </c>
      <c r="D711" t="inlineStr">
        <is>
          <t>女</t>
        </is>
      </c>
      <c r="E711" t="inlineStr">
        <is>
          <t>853941696</t>
        </is>
      </c>
      <c r="F711" t="inlineStr">
        <is>
          <t>酸奶味甜球</t>
        </is>
      </c>
      <c r="G711" t="inlineStr">
        <is>
          <t>广东 惠州 惠城区</t>
        </is>
      </c>
      <c r="H711" t="inlineStr">
        <is>
          <t>学生</t>
        </is>
      </c>
      <c r="I711" t="inlineStr">
        <is>
          <t>教育</t>
        </is>
      </c>
      <c r="J711">
        <v>3099</v>
      </c>
      <c r="K711" t="inlineStr">
        <is>
          <t>0.3</t>
        </is>
      </c>
      <c r="L711">
        <v>9093</v>
      </c>
      <c r="M711">
        <v>1468</v>
      </c>
      <c r="N711">
        <v>129</v>
      </c>
      <c r="O711">
        <v>180</v>
      </c>
      <c r="P711">
        <v>0</v>
      </c>
      <c r="Q711">
        <v>0.182</v>
      </c>
      <c r="R711">
        <v>9093</v>
      </c>
      <c r="S711">
        <v>1468</v>
      </c>
      <c r="T711">
        <v>110</v>
      </c>
      <c r="U711">
        <v>0.43</v>
      </c>
      <c r="V711">
        <v>180</v>
      </c>
      <c r="W711">
        <v>0.182</v>
      </c>
      <c r="X711">
        <v>0</v>
      </c>
      <c r="Y711">
        <v>20.65</v>
      </c>
      <c r="Z711">
        <v>1.34</v>
      </c>
      <c r="AA711">
        <v>0</v>
      </c>
      <c r="AB711">
        <v>0</v>
      </c>
      <c r="AC711">
        <v>0</v>
      </c>
      <c r="AD711">
        <v>0</v>
      </c>
      <c r="AE711">
        <v>200</v>
      </c>
      <c r="AF711">
        <v>0</v>
      </c>
      <c r="AG711">
        <v>0</v>
      </c>
      <c r="AH711">
        <v>0</v>
      </c>
      <c r="AI711">
        <v>0</v>
      </c>
      <c r="AJ711">
        <v>0</v>
      </c>
      <c r="AK711">
        <v>3831</v>
      </c>
      <c r="AL711">
        <v>596</v>
      </c>
      <c r="AM711">
        <v>136</v>
      </c>
      <c r="AN711">
        <v>0</v>
      </c>
      <c r="AO711">
        <v>0</v>
      </c>
      <c r="AP711">
        <v>0.82</v>
      </c>
      <c r="AQ711">
        <v>0.044</v>
      </c>
      <c r="AR711">
        <v>0.048</v>
      </c>
      <c r="AS711" s="3">
        <v>46107.77333333333</v>
      </c>
    </row>
    <row r="712" ht="25.5" customHeight="1">
      <c r="A712" t="inlineStr">
        <is>
          <t>5e27eea20000000001005ee7</t>
        </is>
      </c>
      <c r="B712" s="2" t="str">
        <f>=HYPERLINK("https://www.xiaohongshu.com/user/profile/5e27eea20000000001005ee7", "https://www.xiaohongshu.com/user/profile/5e27eea20000000001005ee7")</f>
        <v>https://www.xiaohongshu.com/user/profile/5e27eea20000000001005ee7</v>
      </c>
      <c r="C712" s="2" t="str">
        <f>=HYPERLINK("https://pgy.xiaohongshu.com/solar/pre-trade/blogger-detail/5e27eea20000000001005ee7", "https://pgy.xiaohongshu.com/solar/pre-trade/blogger-detail/5e27eea20000000001005ee7")</f>
        <v>https://pgy.xiaohongshu.com/solar/pre-trade/blogger-detail/5e27eea20000000001005ee7</v>
      </c>
      <c r="D712" t="inlineStr">
        <is>
          <t>女</t>
        </is>
      </c>
      <c r="E712" t="inlineStr">
        <is>
          <t>830203812</t>
        </is>
      </c>
      <c r="F712" t="inlineStr">
        <is>
          <t>楠鸢yuan_</t>
        </is>
      </c>
      <c r="G712" t="inlineStr">
        <is>
          <t>贵州 遵义 红花岗区</t>
        </is>
      </c>
      <c r="H712" t="inlineStr">
        <is>
          <t>学生</t>
        </is>
      </c>
      <c r="I712" t="inlineStr">
        <is>
          <t>教育</t>
        </is>
      </c>
      <c r="J712">
        <v>1194</v>
      </c>
      <c r="K712" t="inlineStr">
        <is>
          <t>0.1</t>
        </is>
      </c>
      <c r="L712">
        <v>7840</v>
      </c>
      <c r="M712">
        <v>1194</v>
      </c>
      <c r="N712">
        <v>213</v>
      </c>
      <c r="O712">
        <v>244</v>
      </c>
      <c r="P712">
        <v>0.143</v>
      </c>
      <c r="Q712">
        <v>0.714</v>
      </c>
      <c r="R712">
        <v>9190</v>
      </c>
      <c r="S712">
        <v>1181</v>
      </c>
      <c r="T712">
        <v>279</v>
      </c>
      <c r="U712">
        <v>0.51</v>
      </c>
      <c r="V712">
        <v>244</v>
      </c>
      <c r="W712">
        <v>0.667</v>
      </c>
      <c r="X712">
        <v>0.166999999999999</v>
      </c>
      <c r="Y712">
        <v>26.55</v>
      </c>
      <c r="Z712">
        <v>0.83</v>
      </c>
      <c r="AA712">
        <v>1990</v>
      </c>
      <c r="AB712">
        <v>1448</v>
      </c>
      <c r="AC712">
        <v>175</v>
      </c>
      <c r="AD712">
        <v>1.74</v>
      </c>
      <c r="AE712">
        <v>345</v>
      </c>
      <c r="AF712">
        <v>1</v>
      </c>
      <c r="AG712">
        <v>0</v>
      </c>
      <c r="AH712">
        <v>0.026</v>
      </c>
      <c r="AI712">
        <v>173.37</v>
      </c>
      <c r="AJ712">
        <v>1.88</v>
      </c>
      <c r="AK712">
        <v>0</v>
      </c>
      <c r="AL712">
        <v>0</v>
      </c>
      <c r="AM712">
        <v>0</v>
      </c>
      <c r="AN712">
        <v>0</v>
      </c>
      <c r="AO712">
        <v>0</v>
      </c>
      <c r="AP712">
        <v>0.884</v>
      </c>
      <c r="AQ712">
        <v>0.126</v>
      </c>
      <c r="AR712">
        <v>0</v>
      </c>
      <c r="AS712" s="3">
        <v>46107.77333333333</v>
      </c>
    </row>
    <row r="713" ht="25.5" customHeight="1">
      <c r="A713" t="inlineStr">
        <is>
          <t>635e4b2e0000000018028285</t>
        </is>
      </c>
      <c r="B713" s="2" t="str">
        <f>=HYPERLINK("https://www.xiaohongshu.com/user/profile/635e4b2e0000000018028285", "https://www.xiaohongshu.com/user/profile/635e4b2e0000000018028285")</f>
        <v>https://www.xiaohongshu.com/user/profile/635e4b2e0000000018028285</v>
      </c>
      <c r="C713" s="2" t="str">
        <f>=HYPERLINK("https://pgy.xiaohongshu.com/solar/pre-trade/blogger-detail/635e4b2e0000000018028285", "https://pgy.xiaohongshu.com/solar/pre-trade/blogger-detail/635e4b2e0000000018028285")</f>
        <v>https://pgy.xiaohongshu.com/solar/pre-trade/blogger-detail/635e4b2e0000000018028285</v>
      </c>
      <c r="D713" t="inlineStr">
        <is>
          <t>女</t>
        </is>
      </c>
      <c r="E713" t="inlineStr">
        <is>
          <t>4190526341</t>
        </is>
      </c>
      <c r="F713" t="inlineStr">
        <is>
          <t>悲伤的脆皮田鸡</t>
        </is>
      </c>
      <c r="G713" t="inlineStr">
        <is>
          <t>天津</t>
        </is>
      </c>
      <c r="H713" t="inlineStr">
        <is>
          <t>学生</t>
        </is>
      </c>
      <c r="I713" t="inlineStr">
        <is>
          <t>教育</t>
        </is>
      </c>
      <c r="J713">
        <v>2861</v>
      </c>
      <c r="K713" t="inlineStr">
        <is>
          <t>0.3</t>
        </is>
      </c>
      <c r="L713">
        <v>25717</v>
      </c>
      <c r="M713">
        <v>4354</v>
      </c>
      <c r="N713">
        <v>718</v>
      </c>
      <c r="O713">
        <v>227</v>
      </c>
      <c r="P713">
        <v>0</v>
      </c>
      <c r="Q713">
        <v>1</v>
      </c>
      <c r="R713">
        <v>0</v>
      </c>
      <c r="S713">
        <v>0</v>
      </c>
      <c r="T713">
        <v>0</v>
      </c>
      <c r="U713">
        <v>0</v>
      </c>
      <c r="V713">
        <v>227</v>
      </c>
      <c r="W713">
        <v>0</v>
      </c>
      <c r="X713">
        <v>0</v>
      </c>
      <c r="Y713">
        <v>0</v>
      </c>
      <c r="Z713">
        <v>0</v>
      </c>
      <c r="AA713">
        <v>25717</v>
      </c>
      <c r="AB713">
        <v>4354</v>
      </c>
      <c r="AC713">
        <v>687</v>
      </c>
      <c r="AD713">
        <v>1.63</v>
      </c>
      <c r="AE713">
        <v>360</v>
      </c>
      <c r="AF713">
        <v>1</v>
      </c>
      <c r="AG713">
        <v>0</v>
      </c>
      <c r="AH713">
        <v>0.049</v>
      </c>
      <c r="AI713">
        <v>22.78</v>
      </c>
      <c r="AJ713">
        <v>0.83</v>
      </c>
      <c r="AK713">
        <v>6951</v>
      </c>
      <c r="AL713">
        <v>1456</v>
      </c>
      <c r="AM713">
        <v>170</v>
      </c>
      <c r="AN713">
        <v>0</v>
      </c>
      <c r="AO713">
        <v>0</v>
      </c>
      <c r="AP713">
        <v>0.794</v>
      </c>
      <c r="AQ713">
        <v>0.05</v>
      </c>
      <c r="AR713">
        <v>0.033</v>
      </c>
      <c r="AS713" s="3">
        <v>46107.77333333333</v>
      </c>
    </row>
    <row r="714" ht="25.5" customHeight="1">
      <c r="A714" t="inlineStr">
        <is>
          <t>60f4fb8b000000000100782d</t>
        </is>
      </c>
      <c r="B714" s="2" t="str">
        <f>=HYPERLINK("https://www.xiaohongshu.com/user/profile/60f4fb8b000000000100782d", "https://www.xiaohongshu.com/user/profile/60f4fb8b000000000100782d")</f>
        <v>https://www.xiaohongshu.com/user/profile/60f4fb8b000000000100782d</v>
      </c>
      <c r="C714" s="2" t="str">
        <f>=HYPERLINK("https://pgy.xiaohongshu.com/solar/pre-trade/blogger-detail/60f4fb8b000000000100782d", "https://pgy.xiaohongshu.com/solar/pre-trade/blogger-detail/60f4fb8b000000000100782d")</f>
        <v>https://pgy.xiaohongshu.com/solar/pre-trade/blogger-detail/60f4fb8b000000000100782d</v>
      </c>
      <c r="D714" t="inlineStr">
        <is>
          <t>女</t>
        </is>
      </c>
      <c r="E714" t="inlineStr">
        <is>
          <t>9500691026</t>
        </is>
      </c>
      <c r="F714" t="inlineStr">
        <is>
          <t>RAV</t>
        </is>
      </c>
      <c r="G714" t="inlineStr">
        <is>
          <t>中国 台湾 新北 南投县</t>
        </is>
      </c>
      <c r="H714" t="inlineStr">
        <is>
          <t>街舞爱好者, 学生, 摄影师</t>
        </is>
      </c>
      <c r="I714" t="inlineStr">
        <is>
          <t>摄影, 生活记录</t>
        </is>
      </c>
      <c r="J714">
        <v>2819</v>
      </c>
      <c r="K714" t="inlineStr">
        <is>
          <t>0.3</t>
        </is>
      </c>
      <c r="L714">
        <v>3441</v>
      </c>
      <c r="M714">
        <v>827</v>
      </c>
      <c r="N714">
        <v>110</v>
      </c>
      <c r="O714">
        <v>300</v>
      </c>
      <c r="P714">
        <v>0</v>
      </c>
      <c r="Q714">
        <v>0.385</v>
      </c>
      <c r="R714">
        <v>3297</v>
      </c>
      <c r="S714">
        <v>568</v>
      </c>
      <c r="T714">
        <v>71</v>
      </c>
      <c r="U714">
        <v>0.83</v>
      </c>
      <c r="V714">
        <v>300</v>
      </c>
      <c r="W714">
        <v>0</v>
      </c>
      <c r="X714">
        <v>0</v>
      </c>
      <c r="Y714">
        <v>90.99</v>
      </c>
      <c r="Z714">
        <v>4</v>
      </c>
      <c r="AA714">
        <v>4047</v>
      </c>
      <c r="AB714">
        <v>1222</v>
      </c>
      <c r="AC714">
        <v>143</v>
      </c>
      <c r="AD714">
        <v>1.87</v>
      </c>
      <c r="AE714">
        <v>500</v>
      </c>
      <c r="AF714">
        <v>0.625</v>
      </c>
      <c r="AG714">
        <v>0</v>
      </c>
      <c r="AH714">
        <v>0.078</v>
      </c>
      <c r="AI714">
        <v>114.42</v>
      </c>
      <c r="AJ714">
        <v>3.52</v>
      </c>
      <c r="AK714">
        <v>6999</v>
      </c>
      <c r="AL714">
        <v>1347</v>
      </c>
      <c r="AM714">
        <v>87</v>
      </c>
      <c r="AN714">
        <v>0</v>
      </c>
      <c r="AO714">
        <v>0</v>
      </c>
      <c r="AP714">
        <v>0.975</v>
      </c>
      <c r="AQ714">
        <v>0.158</v>
      </c>
      <c r="AR714">
        <v>0</v>
      </c>
      <c r="AS714" s="3">
        <v>46107.77333333333</v>
      </c>
    </row>
    <row r="715" ht="25.5" customHeight="1">
      <c r="A715" t="inlineStr">
        <is>
          <t>6596cc460000000022009ef9</t>
        </is>
      </c>
      <c r="B715" s="2" t="str">
        <f>=HYPERLINK("https://www.xiaohongshu.com/user/profile/6596cc460000000022009ef9", "https://www.xiaohongshu.com/user/profile/6596cc460000000022009ef9")</f>
        <v>https://www.xiaohongshu.com/user/profile/6596cc460000000022009ef9</v>
      </c>
      <c r="C715" s="2" t="str">
        <f>=HYPERLINK("https://pgy.xiaohongshu.com/solar/pre-trade/blogger-detail/6596cc460000000022009ef9", "https://pgy.xiaohongshu.com/solar/pre-trade/blogger-detail/6596cc460000000022009ef9")</f>
        <v>https://pgy.xiaohongshu.com/solar/pre-trade/blogger-detail/6596cc460000000022009ef9</v>
      </c>
      <c r="D715" t="inlineStr">
        <is>
          <t>女</t>
        </is>
      </c>
      <c r="E715" t="inlineStr">
        <is>
          <t>8277664186</t>
        </is>
      </c>
      <c r="F715" t="inlineStr">
        <is>
          <t>索菲娅</t>
        </is>
      </c>
      <c r="G715" t="inlineStr">
        <is>
          <t>辽宁 大连 甘井子区</t>
        </is>
      </c>
      <c r="H715" t="inlineStr">
        <is>
          <t>学生, 留学背景, 外国人</t>
        </is>
      </c>
      <c r="I715" t="inlineStr">
        <is>
          <t>教育, 生活记录</t>
        </is>
      </c>
      <c r="J715">
        <v>4346</v>
      </c>
      <c r="K715" t="inlineStr">
        <is>
          <t>0.4</t>
        </is>
      </c>
      <c r="L715">
        <v>5383</v>
      </c>
      <c r="M715">
        <v>1415</v>
      </c>
      <c r="N715">
        <v>161</v>
      </c>
      <c r="O715">
        <v>700</v>
      </c>
      <c r="P715">
        <v>0</v>
      </c>
      <c r="Q715">
        <v>0.643</v>
      </c>
      <c r="R715">
        <v>5475</v>
      </c>
      <c r="S715">
        <v>676</v>
      </c>
      <c r="T715">
        <v>74</v>
      </c>
      <c r="U715">
        <v>0.74</v>
      </c>
      <c r="V715">
        <v>300</v>
      </c>
      <c r="W715">
        <v>0.4</v>
      </c>
      <c r="X715">
        <v>0</v>
      </c>
      <c r="Y715">
        <v>0</v>
      </c>
      <c r="Z715">
        <v>0</v>
      </c>
      <c r="AA715">
        <v>5291</v>
      </c>
      <c r="AB715">
        <v>1534</v>
      </c>
      <c r="AC715">
        <v>157</v>
      </c>
      <c r="AD715">
        <v>1.96</v>
      </c>
      <c r="AE715">
        <v>700</v>
      </c>
      <c r="AF715">
        <v>0.696</v>
      </c>
      <c r="AG715">
        <v>0</v>
      </c>
      <c r="AH715">
        <v>0.139</v>
      </c>
      <c r="AI715">
        <v>132.3</v>
      </c>
      <c r="AJ715">
        <v>4.14</v>
      </c>
      <c r="AK715">
        <v>0</v>
      </c>
      <c r="AL715">
        <v>0</v>
      </c>
      <c r="AM715">
        <v>0</v>
      </c>
      <c r="AN715">
        <v>0</v>
      </c>
      <c r="AO715">
        <v>0</v>
      </c>
      <c r="AP715">
        <v>0.910999999999999</v>
      </c>
      <c r="AQ715">
        <v>0.184</v>
      </c>
      <c r="AR715">
        <v>0.136999999999999</v>
      </c>
      <c r="AS715" s="3">
        <v>46107.77333333333</v>
      </c>
    </row>
    <row r="716" ht="25.5" customHeight="1">
      <c r="A716" t="inlineStr">
        <is>
          <t>66cec52a000000001d022976</t>
        </is>
      </c>
      <c r="B716" s="2" t="str">
        <f>=HYPERLINK("https://www.xiaohongshu.com/user/profile/66cec52a000000001d022976", "https://www.xiaohongshu.com/user/profile/66cec52a000000001d022976")</f>
        <v>https://www.xiaohongshu.com/user/profile/66cec52a000000001d022976</v>
      </c>
      <c r="C716" s="2" t="str">
        <f>=HYPERLINK("https://pgy.xiaohongshu.com/solar/pre-trade/blogger-detail/66cec52a000000001d022976", "https://pgy.xiaohongshu.com/solar/pre-trade/blogger-detail/66cec52a000000001d022976")</f>
        <v>https://pgy.xiaohongshu.com/solar/pre-trade/blogger-detail/66cec52a000000001d022976</v>
      </c>
      <c r="D716" t="inlineStr">
        <is>
          <t>男</t>
        </is>
      </c>
      <c r="E716" t="inlineStr">
        <is>
          <t>95635736398</t>
        </is>
      </c>
      <c r="F716" t="inlineStr">
        <is>
          <t>阿琛英文剧场</t>
        </is>
      </c>
      <c r="G716" t="inlineStr">
        <is>
          <t>广东 深圳 南山区</t>
        </is>
      </c>
      <c r="H716"/>
      <c r="I716" t="inlineStr">
        <is>
          <t>教育</t>
        </is>
      </c>
      <c r="J716">
        <v>46385</v>
      </c>
      <c r="K716" t="inlineStr">
        <is>
          <t>4.6</t>
        </is>
      </c>
      <c r="L716">
        <v>27257</v>
      </c>
      <c r="M716">
        <v>15373</v>
      </c>
      <c r="N716">
        <v>694</v>
      </c>
      <c r="O716">
        <v>5000</v>
      </c>
      <c r="P716">
        <v>0.182</v>
      </c>
      <c r="Q716">
        <v>0.818</v>
      </c>
      <c r="R716">
        <v>0</v>
      </c>
      <c r="S716">
        <v>0</v>
      </c>
      <c r="T716">
        <v>0</v>
      </c>
      <c r="U716">
        <v>0</v>
      </c>
      <c r="V716">
        <v>5000</v>
      </c>
      <c r="W716">
        <v>0</v>
      </c>
      <c r="X716">
        <v>0</v>
      </c>
      <c r="Y716">
        <v>0</v>
      </c>
      <c r="Z716">
        <v>0</v>
      </c>
      <c r="AA716">
        <v>27257</v>
      </c>
      <c r="AB716">
        <v>15373</v>
      </c>
      <c r="AC716">
        <v>575</v>
      </c>
      <c r="AD716">
        <v>1.83</v>
      </c>
      <c r="AE716">
        <v>5000</v>
      </c>
      <c r="AF716">
        <v>0.818</v>
      </c>
      <c r="AG716">
        <v>0.182</v>
      </c>
      <c r="AH716">
        <v>0.242</v>
      </c>
      <c r="AI716">
        <v>183.44</v>
      </c>
      <c r="AJ716">
        <v>7.2</v>
      </c>
      <c r="AK716">
        <v>0</v>
      </c>
      <c r="AL716">
        <v>0</v>
      </c>
      <c r="AM716">
        <v>0</v>
      </c>
      <c r="AN716">
        <v>0</v>
      </c>
      <c r="AO716">
        <v>0</v>
      </c>
      <c r="AP716">
        <v>0.73</v>
      </c>
      <c r="AQ716">
        <v>0.038</v>
      </c>
      <c r="AR716">
        <v>0.01</v>
      </c>
      <c r="AS716" s="3">
        <v>46107.77333333333</v>
      </c>
    </row>
    <row r="717" ht="25.5" customHeight="1">
      <c r="A717" t="inlineStr">
        <is>
          <t>697eb59900000000210262e3</t>
        </is>
      </c>
      <c r="B717" s="2" t="str">
        <f>=HYPERLINK("https://www.xiaohongshu.com/user/profile/697eb59900000000210262e3", "https://www.xiaohongshu.com/user/profile/697eb59900000000210262e3")</f>
        <v>https://www.xiaohongshu.com/user/profile/697eb59900000000210262e3</v>
      </c>
      <c r="C717" s="2" t="str">
        <f>=HYPERLINK("https://pgy.xiaohongshu.com/solar/pre-trade/blogger-detail/697eb59900000000210262e3", "https://pgy.xiaohongshu.com/solar/pre-trade/blogger-detail/697eb59900000000210262e3")</f>
        <v>https://pgy.xiaohongshu.com/solar/pre-trade/blogger-detail/697eb59900000000210262e3</v>
      </c>
      <c r="D717" t="inlineStr">
        <is>
          <t>女</t>
        </is>
      </c>
      <c r="E717" t="inlineStr">
        <is>
          <t>63544582430</t>
        </is>
      </c>
      <c r="F717" t="inlineStr">
        <is>
          <t>✨ 小丸子的四六级充电站✨</t>
        </is>
      </c>
      <c r="G717" t="inlineStr">
        <is>
          <t>甘肃 金昌 金川区</t>
        </is>
      </c>
      <c r="H717" t="inlineStr">
        <is>
          <t>学生</t>
        </is>
      </c>
      <c r="I717" t="inlineStr">
        <is>
          <t>教育</t>
        </is>
      </c>
      <c r="J717">
        <v>2890</v>
      </c>
      <c r="K717" t="inlineStr">
        <is>
          <t>0.3</t>
        </is>
      </c>
      <c r="L717">
        <v>55735</v>
      </c>
      <c r="M717">
        <v>5671</v>
      </c>
      <c r="N717">
        <v>1319</v>
      </c>
      <c r="O717">
        <v>170</v>
      </c>
      <c r="P717">
        <v>0.2</v>
      </c>
      <c r="Q717">
        <v>1</v>
      </c>
      <c r="R717">
        <v>55735</v>
      </c>
      <c r="S717">
        <v>5671</v>
      </c>
      <c r="T717">
        <v>950</v>
      </c>
      <c r="U717">
        <v>0.33</v>
      </c>
      <c r="V717">
        <v>170</v>
      </c>
      <c r="W717">
        <v>1</v>
      </c>
      <c r="X717">
        <v>0.2</v>
      </c>
      <c r="Y717">
        <v>3.05</v>
      </c>
      <c r="Z717">
        <v>0.13</v>
      </c>
      <c r="AA717">
        <v>0</v>
      </c>
      <c r="AB717">
        <v>0</v>
      </c>
      <c r="AC717">
        <v>0</v>
      </c>
      <c r="AD717">
        <v>0</v>
      </c>
      <c r="AE717">
        <v>200</v>
      </c>
      <c r="AF717">
        <v>0</v>
      </c>
      <c r="AG717">
        <v>0</v>
      </c>
      <c r="AH717">
        <v>0</v>
      </c>
      <c r="AI717">
        <v>0</v>
      </c>
      <c r="AJ717">
        <v>0</v>
      </c>
      <c r="AK717">
        <v>0</v>
      </c>
      <c r="AL717">
        <v>0</v>
      </c>
      <c r="AM717">
        <v>0</v>
      </c>
      <c r="AN717">
        <v>0</v>
      </c>
      <c r="AO717">
        <v>0</v>
      </c>
      <c r="AP717">
        <v>0.999</v>
      </c>
      <c r="AQ717">
        <v>0.331</v>
      </c>
      <c r="AR717">
        <v>0</v>
      </c>
      <c r="AS717" s="3">
        <v>46107.77333333333</v>
      </c>
    </row>
    <row r="718" ht="25.5" customHeight="1">
      <c r="A718" t="inlineStr">
        <is>
          <t>642cea970000000011023ff4</t>
        </is>
      </c>
      <c r="B718" s="2" t="str">
        <f>=HYPERLINK("https://www.xiaohongshu.com/user/profile/642cea970000000011023ff4", "https://www.xiaohongshu.com/user/profile/642cea970000000011023ff4")</f>
        <v>https://www.xiaohongshu.com/user/profile/642cea970000000011023ff4</v>
      </c>
      <c r="C718" s="2" t="str">
        <f>=HYPERLINK("https://pgy.xiaohongshu.com/solar/pre-trade/blogger-detail/642cea970000000011023ff4", "https://pgy.xiaohongshu.com/solar/pre-trade/blogger-detail/642cea970000000011023ff4")</f>
        <v>https://pgy.xiaohongshu.com/solar/pre-trade/blogger-detail/642cea970000000011023ff4</v>
      </c>
      <c r="D718" t="inlineStr">
        <is>
          <t>男</t>
        </is>
      </c>
      <c r="E718" t="inlineStr">
        <is>
          <t>5525229190</t>
        </is>
      </c>
      <c r="F718" t="inlineStr">
        <is>
          <t>P小二的AI探索笔记</t>
        </is>
      </c>
      <c r="G718" t="inlineStr">
        <is>
          <t>四川 成都 双流区</t>
        </is>
      </c>
      <c r="H718" t="inlineStr">
        <is>
          <t>程序员</t>
        </is>
      </c>
      <c r="I718" t="inlineStr">
        <is>
          <t>教育</t>
        </is>
      </c>
      <c r="J718">
        <v>7308</v>
      </c>
      <c r="K718" t="inlineStr">
        <is>
          <t>0.7</t>
        </is>
      </c>
      <c r="L718">
        <v>8320</v>
      </c>
      <c r="M718">
        <v>1568</v>
      </c>
      <c r="N718">
        <v>111</v>
      </c>
      <c r="O718">
        <v>1000</v>
      </c>
      <c r="P718">
        <v>0</v>
      </c>
      <c r="Q718">
        <v>0.105</v>
      </c>
      <c r="R718">
        <v>8320</v>
      </c>
      <c r="S718">
        <v>1568</v>
      </c>
      <c r="T718">
        <v>78</v>
      </c>
      <c r="U718">
        <v>0.94</v>
      </c>
      <c r="V718">
        <v>1000</v>
      </c>
      <c r="W718">
        <v>0.105</v>
      </c>
      <c r="X718">
        <v>0</v>
      </c>
      <c r="Y718">
        <v>120.19</v>
      </c>
      <c r="Z718">
        <v>9.01</v>
      </c>
      <c r="AA718">
        <v>0</v>
      </c>
      <c r="AB718">
        <v>0</v>
      </c>
      <c r="AC718">
        <v>0</v>
      </c>
      <c r="AD718">
        <v>0</v>
      </c>
      <c r="AE718">
        <v>0</v>
      </c>
      <c r="AF718">
        <v>0</v>
      </c>
      <c r="AG718">
        <v>0</v>
      </c>
      <c r="AH718">
        <v>0</v>
      </c>
      <c r="AI718">
        <v>0</v>
      </c>
      <c r="AJ718">
        <v>0</v>
      </c>
      <c r="AK718">
        <v>0</v>
      </c>
      <c r="AL718">
        <v>0</v>
      </c>
      <c r="AM718">
        <v>0</v>
      </c>
      <c r="AN718">
        <v>0</v>
      </c>
      <c r="AO718">
        <v>0</v>
      </c>
      <c r="AP718">
        <v>0.85</v>
      </c>
      <c r="AQ718">
        <v>0.0409999999999999</v>
      </c>
      <c r="AR718">
        <v>0.017</v>
      </c>
      <c r="AS718" s="3">
        <v>46107.77333333333</v>
      </c>
    </row>
    <row r="719" ht="25.5" customHeight="1">
      <c r="A719" t="inlineStr">
        <is>
          <t>5c9f164300000000100120d1</t>
        </is>
      </c>
      <c r="B719" s="2" t="str">
        <f>=HYPERLINK("https://www.xiaohongshu.com/user/profile/5c9f164300000000100120d1", "https://www.xiaohongshu.com/user/profile/5c9f164300000000100120d1")</f>
        <v>https://www.xiaohongshu.com/user/profile/5c9f164300000000100120d1</v>
      </c>
      <c r="C719" s="2" t="str">
        <f>=HYPERLINK("https://pgy.xiaohongshu.com/solar/pre-trade/blogger-detail/5c9f164300000000100120d1", "https://pgy.xiaohongshu.com/solar/pre-trade/blogger-detail/5c9f164300000000100120d1")</f>
        <v>https://pgy.xiaohongshu.com/solar/pre-trade/blogger-detail/5c9f164300000000100120d1</v>
      </c>
      <c r="D719" t="inlineStr">
        <is>
          <t>男</t>
        </is>
      </c>
      <c r="E719" t="inlineStr">
        <is>
          <t>434562311</t>
        </is>
      </c>
      <c r="F719" t="inlineStr">
        <is>
          <t>Miss Janeis</t>
        </is>
      </c>
      <c r="G719" t="inlineStr">
        <is>
          <t>天津</t>
        </is>
      </c>
      <c r="H719"/>
      <c r="I719" t="inlineStr">
        <is>
          <t>教育</t>
        </is>
      </c>
      <c r="J719">
        <v>4266</v>
      </c>
      <c r="K719" t="inlineStr">
        <is>
          <t>0.4</t>
        </is>
      </c>
      <c r="L719">
        <v>11617</v>
      </c>
      <c r="M719">
        <v>1798</v>
      </c>
      <c r="N719">
        <v>366</v>
      </c>
      <c r="O719">
        <v>500</v>
      </c>
      <c r="P719">
        <v>0.316</v>
      </c>
      <c r="Q719">
        <v>0.526</v>
      </c>
      <c r="R719">
        <v>11617</v>
      </c>
      <c r="S719">
        <v>1798</v>
      </c>
      <c r="T719">
        <v>332</v>
      </c>
      <c r="U719">
        <v>0.58</v>
      </c>
      <c r="V719">
        <v>500</v>
      </c>
      <c r="W719">
        <v>0.526</v>
      </c>
      <c r="X719">
        <v>0.316</v>
      </c>
      <c r="Y719">
        <v>43.04</v>
      </c>
      <c r="Z719">
        <v>1.37</v>
      </c>
      <c r="AA719">
        <v>0</v>
      </c>
      <c r="AB719">
        <v>0</v>
      </c>
      <c r="AC719">
        <v>0</v>
      </c>
      <c r="AD719">
        <v>0</v>
      </c>
      <c r="AE719">
        <v>0</v>
      </c>
      <c r="AF719">
        <v>0</v>
      </c>
      <c r="AG719">
        <v>0</v>
      </c>
      <c r="AH719">
        <v>0</v>
      </c>
      <c r="AI719">
        <v>0</v>
      </c>
      <c r="AJ719">
        <v>0</v>
      </c>
      <c r="AK719">
        <v>0</v>
      </c>
      <c r="AL719">
        <v>0</v>
      </c>
      <c r="AM719">
        <v>0</v>
      </c>
      <c r="AN719">
        <v>0</v>
      </c>
      <c r="AO719">
        <v>0</v>
      </c>
      <c r="AP719">
        <v>0.992</v>
      </c>
      <c r="AQ719">
        <v>0.327</v>
      </c>
      <c r="AR719">
        <v>0</v>
      </c>
      <c r="AS719" s="3">
        <v>46107.77333333333</v>
      </c>
    </row>
    <row r="720" ht="25.5" customHeight="1">
      <c r="A720" t="inlineStr">
        <is>
          <t>5b84d2fa99d23600014cc83b</t>
        </is>
      </c>
      <c r="B720" s="2" t="str">
        <f>=HYPERLINK("https://www.xiaohongshu.com/user/profile/5b84d2fa99d23600014cc83b", "https://www.xiaohongshu.com/user/profile/5b84d2fa99d23600014cc83b")</f>
        <v>https://www.xiaohongshu.com/user/profile/5b84d2fa99d23600014cc83b</v>
      </c>
      <c r="C720" s="2" t="str">
        <f>=HYPERLINK("https://pgy.xiaohongshu.com/solar/pre-trade/blogger-detail/5b84d2fa99d23600014cc83b", "https://pgy.xiaohongshu.com/solar/pre-trade/blogger-detail/5b84d2fa99d23600014cc83b")</f>
        <v>https://pgy.xiaohongshu.com/solar/pre-trade/blogger-detail/5b84d2fa99d23600014cc83b</v>
      </c>
      <c r="D720" t="inlineStr">
        <is>
          <t>女</t>
        </is>
      </c>
      <c r="E720" t="inlineStr">
        <is>
          <t>July_cy_s</t>
        </is>
      </c>
      <c r="F720" t="inlineStr">
        <is>
          <t>兔子不吃吐司🍞</t>
        </is>
      </c>
      <c r="G720" t="inlineStr">
        <is>
          <t>江苏 苏州 姑苏区</t>
        </is>
      </c>
      <c r="H720" t="inlineStr">
        <is>
          <t>考研过来人, 学生</t>
        </is>
      </c>
      <c r="I720" t="inlineStr">
        <is>
          <t>教育</t>
        </is>
      </c>
      <c r="J720">
        <v>1158</v>
      </c>
      <c r="K720" t="inlineStr">
        <is>
          <t>0.1</t>
        </is>
      </c>
      <c r="L720">
        <v>7483</v>
      </c>
      <c r="M720">
        <v>1784</v>
      </c>
      <c r="N720">
        <v>397</v>
      </c>
      <c r="O720">
        <v>231</v>
      </c>
      <c r="P720">
        <v>0</v>
      </c>
      <c r="Q720">
        <v>0.537999999999999</v>
      </c>
      <c r="R720">
        <v>7483</v>
      </c>
      <c r="S720">
        <v>1784</v>
      </c>
      <c r="T720">
        <v>321</v>
      </c>
      <c r="U720">
        <v>0.43</v>
      </c>
      <c r="V720">
        <v>231</v>
      </c>
      <c r="W720">
        <v>0.537999999999999</v>
      </c>
      <c r="X720">
        <v>0</v>
      </c>
      <c r="Y720">
        <v>30.87</v>
      </c>
      <c r="Z720">
        <v>0.58</v>
      </c>
      <c r="AA720">
        <v>0</v>
      </c>
      <c r="AB720">
        <v>0</v>
      </c>
      <c r="AC720">
        <v>0</v>
      </c>
      <c r="AD720">
        <v>0</v>
      </c>
      <c r="AE720">
        <v>405</v>
      </c>
      <c r="AF720">
        <v>0</v>
      </c>
      <c r="AG720">
        <v>0</v>
      </c>
      <c r="AH720">
        <v>0</v>
      </c>
      <c r="AI720">
        <v>0</v>
      </c>
      <c r="AJ720">
        <v>0</v>
      </c>
      <c r="AK720">
        <v>0</v>
      </c>
      <c r="AL720">
        <v>0</v>
      </c>
      <c r="AM720">
        <v>0</v>
      </c>
      <c r="AN720">
        <v>0</v>
      </c>
      <c r="AO720">
        <v>0</v>
      </c>
      <c r="AP720">
        <v>0.944</v>
      </c>
      <c r="AQ720">
        <v>0.425</v>
      </c>
      <c r="AR720">
        <v>0</v>
      </c>
      <c r="AS720" s="3">
        <v>46107.77333333333</v>
      </c>
    </row>
    <row r="721" ht="25.5" customHeight="1">
      <c r="A721" t="inlineStr">
        <is>
          <t>5a2145eb4eacab7fd35e1070</t>
        </is>
      </c>
      <c r="B721" s="2" t="str">
        <f>=HYPERLINK("https://www.xiaohongshu.com/user/profile/5a2145eb4eacab7fd35e1070", "https://www.xiaohongshu.com/user/profile/5a2145eb4eacab7fd35e1070")</f>
        <v>https://www.xiaohongshu.com/user/profile/5a2145eb4eacab7fd35e1070</v>
      </c>
      <c r="C721" s="2" t="str">
        <f>=HYPERLINK("https://pgy.xiaohongshu.com/solar/pre-trade/blogger-detail/5a2145eb4eacab7fd35e1070", "https://pgy.xiaohongshu.com/solar/pre-trade/blogger-detail/5a2145eb4eacab7fd35e1070")</f>
        <v>https://pgy.xiaohongshu.com/solar/pre-trade/blogger-detail/5a2145eb4eacab7fd35e1070</v>
      </c>
      <c r="D721" t="inlineStr">
        <is>
          <t>女</t>
        </is>
      </c>
      <c r="E721" t="inlineStr">
        <is>
          <t>0921ynrs</t>
        </is>
      </c>
      <c r="F721" t="inlineStr">
        <is>
          <t>是一粒沙呀</t>
        </is>
      </c>
      <c r="G721" t="inlineStr">
        <is>
          <t>英国</t>
        </is>
      </c>
      <c r="H721" t="inlineStr">
        <is>
          <t>留学背景</t>
        </is>
      </c>
      <c r="I721" t="inlineStr">
        <is>
          <t>教育, 生活记录</t>
        </is>
      </c>
      <c r="J721">
        <v>53909</v>
      </c>
      <c r="K721" t="inlineStr">
        <is>
          <t>5.4</t>
        </is>
      </c>
      <c r="L721">
        <v>68786</v>
      </c>
      <c r="M721">
        <v>17840</v>
      </c>
      <c r="N721">
        <v>1624</v>
      </c>
      <c r="O721">
        <v>9500</v>
      </c>
      <c r="P721">
        <v>0.75</v>
      </c>
      <c r="Q721">
        <v>1</v>
      </c>
      <c r="R721">
        <v>0</v>
      </c>
      <c r="S721">
        <v>0</v>
      </c>
      <c r="T721">
        <v>0</v>
      </c>
      <c r="U721">
        <v>0</v>
      </c>
      <c r="V721">
        <v>9500</v>
      </c>
      <c r="W721">
        <v>0</v>
      </c>
      <c r="X721">
        <v>0</v>
      </c>
      <c r="Y721">
        <v>0</v>
      </c>
      <c r="Z721">
        <v>0</v>
      </c>
      <c r="AA721">
        <v>68786</v>
      </c>
      <c r="AB721">
        <v>17840</v>
      </c>
      <c r="AC721">
        <v>1438</v>
      </c>
      <c r="AD721">
        <v>2.34</v>
      </c>
      <c r="AE721">
        <v>15000</v>
      </c>
      <c r="AF721">
        <v>1</v>
      </c>
      <c r="AG721">
        <v>0.75</v>
      </c>
      <c r="AH721">
        <v>0.207</v>
      </c>
      <c r="AI721">
        <v>218.07</v>
      </c>
      <c r="AJ721">
        <v>9.24</v>
      </c>
      <c r="AK721">
        <v>0</v>
      </c>
      <c r="AL721">
        <v>0</v>
      </c>
      <c r="AM721">
        <v>0</v>
      </c>
      <c r="AN721">
        <v>0</v>
      </c>
      <c r="AO721">
        <v>0</v>
      </c>
      <c r="AP721">
        <v>0.868</v>
      </c>
      <c r="AQ721">
        <v>0.054</v>
      </c>
      <c r="AR721">
        <v>0.023</v>
      </c>
      <c r="AS721" s="3">
        <v>46107.77355324074</v>
      </c>
    </row>
    <row r="722" ht="25.5" customHeight="1">
      <c r="A722" t="inlineStr">
        <is>
          <t>61ba14bd000000001000a38c</t>
        </is>
      </c>
      <c r="B722" s="2" t="str">
        <f>=HYPERLINK("https://www.xiaohongshu.com/user/profile/61ba14bd000000001000a38c", "https://www.xiaohongshu.com/user/profile/61ba14bd000000001000a38c")</f>
        <v>https://www.xiaohongshu.com/user/profile/61ba14bd000000001000a38c</v>
      </c>
      <c r="C722" s="2" t="str">
        <f>=HYPERLINK("https://pgy.xiaohongshu.com/solar/pre-trade/blogger-detail/61ba14bd000000001000a38c", "https://pgy.xiaohongshu.com/solar/pre-trade/blogger-detail/61ba14bd000000001000a38c")</f>
        <v>https://pgy.xiaohongshu.com/solar/pre-trade/blogger-detail/61ba14bd000000001000a38c</v>
      </c>
      <c r="D722" t="inlineStr">
        <is>
          <t>女</t>
        </is>
      </c>
      <c r="E722" t="inlineStr">
        <is>
          <t>5272576758</t>
        </is>
      </c>
      <c r="F722" t="inlineStr">
        <is>
          <t>kidulttqh</t>
        </is>
      </c>
      <c r="G722" t="inlineStr">
        <is>
          <t>四川 成都 郫都区</t>
        </is>
      </c>
      <c r="H722"/>
      <c r="I722" t="inlineStr">
        <is>
          <t>教育</t>
        </is>
      </c>
      <c r="J722">
        <v>1795</v>
      </c>
      <c r="K722" t="inlineStr">
        <is>
          <t>0.2</t>
        </is>
      </c>
      <c r="L722">
        <v>47640</v>
      </c>
      <c r="M722">
        <v>6385</v>
      </c>
      <c r="N722">
        <v>194</v>
      </c>
      <c r="O722">
        <v>237</v>
      </c>
      <c r="P722">
        <v>0.087</v>
      </c>
      <c r="Q722">
        <v>0.522</v>
      </c>
      <c r="R722">
        <v>47640</v>
      </c>
      <c r="S722">
        <v>6385</v>
      </c>
      <c r="T722">
        <v>144</v>
      </c>
      <c r="U722">
        <v>0.34</v>
      </c>
      <c r="V722">
        <v>237</v>
      </c>
      <c r="W722">
        <v>0.522</v>
      </c>
      <c r="X722">
        <v>0.087</v>
      </c>
      <c r="Y722">
        <v>4.97</v>
      </c>
      <c r="Z722">
        <v>1.22</v>
      </c>
      <c r="AA722">
        <v>0</v>
      </c>
      <c r="AB722">
        <v>0</v>
      </c>
      <c r="AC722">
        <v>0</v>
      </c>
      <c r="AD722">
        <v>0</v>
      </c>
      <c r="AE722">
        <v>0</v>
      </c>
      <c r="AF722">
        <v>0</v>
      </c>
      <c r="AG722">
        <v>0</v>
      </c>
      <c r="AH722">
        <v>0</v>
      </c>
      <c r="AI722">
        <v>0</v>
      </c>
      <c r="AJ722">
        <v>0</v>
      </c>
      <c r="AK722">
        <v>0</v>
      </c>
      <c r="AL722">
        <v>0</v>
      </c>
      <c r="AM722">
        <v>0</v>
      </c>
      <c r="AN722">
        <v>0</v>
      </c>
      <c r="AO722">
        <v>0</v>
      </c>
      <c r="AP722">
        <v>0.999</v>
      </c>
      <c r="AQ722">
        <v>0.347</v>
      </c>
      <c r="AR722">
        <v>0</v>
      </c>
      <c r="AS722" s="3">
        <v>46107.77355324074</v>
      </c>
    </row>
    <row r="723" ht="25.5" customHeight="1">
      <c r="A723" t="inlineStr">
        <is>
          <t>630f93ee000000000f004537</t>
        </is>
      </c>
      <c r="B723" s="2" t="str">
        <f>=HYPERLINK("https://www.xiaohongshu.com/user/profile/630f93ee000000000f004537", "https://www.xiaohongshu.com/user/profile/630f93ee000000000f004537")</f>
        <v>https://www.xiaohongshu.com/user/profile/630f93ee000000000f004537</v>
      </c>
      <c r="C723" s="2" t="str">
        <f>=HYPERLINK("https://pgy.xiaohongshu.com/solar/pre-trade/blogger-detail/630f93ee000000000f004537", "https://pgy.xiaohongshu.com/solar/pre-trade/blogger-detail/630f93ee000000000f004537")</f>
        <v>https://pgy.xiaohongshu.com/solar/pre-trade/blogger-detail/630f93ee000000000f004537</v>
      </c>
      <c r="D723" t="inlineStr">
        <is>
          <t>女</t>
        </is>
      </c>
      <c r="E723" t="inlineStr">
        <is>
          <t>2986825139</t>
        </is>
      </c>
      <c r="F723" t="inlineStr">
        <is>
          <t>蜂蜜鲜奶普洱加珍珠</t>
        </is>
      </c>
      <c r="G723" t="inlineStr">
        <is>
          <t>中国 台湾 台北 中山区</t>
        </is>
      </c>
      <c r="H723" t="inlineStr">
        <is>
          <t>留学背景, 学生</t>
        </is>
      </c>
      <c r="I723" t="inlineStr">
        <is>
          <t>教育</t>
        </is>
      </c>
      <c r="J723">
        <v>8749</v>
      </c>
      <c r="K723" t="inlineStr">
        <is>
          <t>0.9</t>
        </is>
      </c>
      <c r="L723">
        <v>18988</v>
      </c>
      <c r="M723">
        <v>2813</v>
      </c>
      <c r="N723">
        <v>337</v>
      </c>
      <c r="O723">
        <v>666</v>
      </c>
      <c r="P723">
        <v>0.071</v>
      </c>
      <c r="Q723">
        <v>0.643</v>
      </c>
      <c r="R723">
        <v>19404</v>
      </c>
      <c r="S723">
        <v>2989</v>
      </c>
      <c r="T723">
        <v>405</v>
      </c>
      <c r="U723">
        <v>0.52</v>
      </c>
      <c r="V723">
        <v>666</v>
      </c>
      <c r="W723">
        <v>0.615</v>
      </c>
      <c r="X723">
        <v>0.077</v>
      </c>
      <c r="Y723">
        <v>34.32</v>
      </c>
      <c r="Z723">
        <v>1.49</v>
      </c>
      <c r="AA723">
        <v>17833</v>
      </c>
      <c r="AB723">
        <v>2569</v>
      </c>
      <c r="AC723">
        <v>195</v>
      </c>
      <c r="AD723">
        <v>1.85</v>
      </c>
      <c r="AE723">
        <v>888</v>
      </c>
      <c r="AF723">
        <v>1</v>
      </c>
      <c r="AG723">
        <v>0</v>
      </c>
      <c r="AH723">
        <v>0.032</v>
      </c>
      <c r="AI723">
        <v>49.8</v>
      </c>
      <c r="AJ723">
        <v>3.95</v>
      </c>
      <c r="AK723">
        <v>0</v>
      </c>
      <c r="AL723">
        <v>0</v>
      </c>
      <c r="AM723">
        <v>0</v>
      </c>
      <c r="AN723">
        <v>0</v>
      </c>
      <c r="AO723">
        <v>0</v>
      </c>
      <c r="AP723">
        <v>0.951</v>
      </c>
      <c r="AQ723">
        <v>0.168</v>
      </c>
      <c r="AR723">
        <v>0.203</v>
      </c>
      <c r="AS723" s="3">
        <v>46107.77355324074</v>
      </c>
    </row>
    <row r="724" ht="25.5" customHeight="1">
      <c r="A724" t="inlineStr">
        <is>
          <t>65cfa1b7000000000b03327b</t>
        </is>
      </c>
      <c r="B724" s="2" t="str">
        <f>=HYPERLINK("https://www.xiaohongshu.com/user/profile/65cfa1b7000000000b03327b", "https://www.xiaohongshu.com/user/profile/65cfa1b7000000000b03327b")</f>
        <v>https://www.xiaohongshu.com/user/profile/65cfa1b7000000000b03327b</v>
      </c>
      <c r="C724" s="2" t="str">
        <f>=HYPERLINK("https://pgy.xiaohongshu.com/solar/pre-trade/blogger-detail/65cfa1b7000000000b03327b", "https://pgy.xiaohongshu.com/solar/pre-trade/blogger-detail/65cfa1b7000000000b03327b")</f>
        <v>https://pgy.xiaohongshu.com/solar/pre-trade/blogger-detail/65cfa1b7000000000b03327b</v>
      </c>
      <c r="D724" t="inlineStr">
        <is>
          <t>女</t>
        </is>
      </c>
      <c r="E724" t="inlineStr">
        <is>
          <t>1444690644L</t>
        </is>
      </c>
      <c r="F724" t="inlineStr">
        <is>
          <t>希希</t>
        </is>
      </c>
      <c r="G724" t="inlineStr">
        <is>
          <t>福建 福州 闽侯县</t>
        </is>
      </c>
      <c r="H724" t="inlineStr">
        <is>
          <t>学生</t>
        </is>
      </c>
      <c r="I724" t="inlineStr">
        <is>
          <t>教育</t>
        </is>
      </c>
      <c r="J724">
        <v>1964</v>
      </c>
      <c r="K724" t="inlineStr">
        <is>
          <t>0.2</t>
        </is>
      </c>
      <c r="L724">
        <v>5925</v>
      </c>
      <c r="M724">
        <v>1503</v>
      </c>
      <c r="N724">
        <v>386</v>
      </c>
      <c r="O724">
        <v>220</v>
      </c>
      <c r="P724">
        <v>0</v>
      </c>
      <c r="Q724">
        <v>0.5</v>
      </c>
      <c r="R724">
        <v>5925</v>
      </c>
      <c r="S724">
        <v>1503</v>
      </c>
      <c r="T724">
        <v>356</v>
      </c>
      <c r="U724">
        <v>0.38</v>
      </c>
      <c r="V724">
        <v>220</v>
      </c>
      <c r="W724">
        <v>0.5</v>
      </c>
      <c r="X724">
        <v>0</v>
      </c>
      <c r="Y724">
        <v>19.85</v>
      </c>
      <c r="Z724">
        <v>1.67</v>
      </c>
      <c r="AA724">
        <v>0</v>
      </c>
      <c r="AB724">
        <v>0</v>
      </c>
      <c r="AC724">
        <v>0</v>
      </c>
      <c r="AD724">
        <v>0</v>
      </c>
      <c r="AE724">
        <v>380</v>
      </c>
      <c r="AF724">
        <v>0</v>
      </c>
      <c r="AG724">
        <v>0</v>
      </c>
      <c r="AH724">
        <v>0</v>
      </c>
      <c r="AI724">
        <v>0</v>
      </c>
      <c r="AJ724">
        <v>0</v>
      </c>
      <c r="AK724">
        <v>165747</v>
      </c>
      <c r="AL724">
        <v>19739</v>
      </c>
      <c r="AM724">
        <v>121</v>
      </c>
      <c r="AN724">
        <v>1062</v>
      </c>
      <c r="AO724">
        <v>0.19</v>
      </c>
      <c r="AP724">
        <v>0.84</v>
      </c>
      <c r="AQ724">
        <v>0.02</v>
      </c>
      <c r="AR724">
        <v>0.016</v>
      </c>
      <c r="AS724" s="3">
        <v>46107.77355324074</v>
      </c>
    </row>
    <row r="725" ht="25.5" customHeight="1">
      <c r="A725" t="inlineStr">
        <is>
          <t>5a59d5b4e8ac2b732438f29b</t>
        </is>
      </c>
      <c r="B725" s="2" t="str">
        <f>=HYPERLINK("https://www.xiaohongshu.com/user/profile/5a59d5b4e8ac2b732438f29b", "https://www.xiaohongshu.com/user/profile/5a59d5b4e8ac2b732438f29b")</f>
        <v>https://www.xiaohongshu.com/user/profile/5a59d5b4e8ac2b732438f29b</v>
      </c>
      <c r="C725" s="2" t="str">
        <f>=HYPERLINK("https://pgy.xiaohongshu.com/solar/pre-trade/blogger-detail/5a59d5b4e8ac2b732438f29b", "https://pgy.xiaohongshu.com/solar/pre-trade/blogger-detail/5a59d5b4e8ac2b732438f29b")</f>
        <v>https://pgy.xiaohongshu.com/solar/pre-trade/blogger-detail/5a59d5b4e8ac2b732438f29b</v>
      </c>
      <c r="D725" t="inlineStr">
        <is>
          <t>女</t>
        </is>
      </c>
      <c r="E725" t="inlineStr">
        <is>
          <t>493813570</t>
        </is>
      </c>
      <c r="F725" t="inlineStr">
        <is>
          <t>Hailey海狸</t>
        </is>
      </c>
      <c r="G725" t="inlineStr">
        <is>
          <t>新西兰</t>
        </is>
      </c>
      <c r="H725" t="inlineStr">
        <is>
          <t>学生, 留学背景, 海外华人</t>
        </is>
      </c>
      <c r="I725" t="inlineStr">
        <is>
          <t>教育, 出行旅游, 生活记录</t>
        </is>
      </c>
      <c r="J725">
        <v>2337</v>
      </c>
      <c r="K725" t="inlineStr">
        <is>
          <t>0.2</t>
        </is>
      </c>
      <c r="L725">
        <v>9352</v>
      </c>
      <c r="M725">
        <v>1402</v>
      </c>
      <c r="N725">
        <v>118</v>
      </c>
      <c r="O725">
        <v>500</v>
      </c>
      <c r="P725">
        <v>0</v>
      </c>
      <c r="Q725">
        <v>0.25</v>
      </c>
      <c r="R725">
        <v>0</v>
      </c>
      <c r="S725">
        <v>0</v>
      </c>
      <c r="T725">
        <v>0</v>
      </c>
      <c r="U725">
        <v>0</v>
      </c>
      <c r="V725">
        <v>500</v>
      </c>
      <c r="W725">
        <v>0</v>
      </c>
      <c r="X725">
        <v>0</v>
      </c>
      <c r="Y725">
        <v>0</v>
      </c>
      <c r="Z725">
        <v>0</v>
      </c>
      <c r="AA725">
        <v>9352</v>
      </c>
      <c r="AB725">
        <v>1402</v>
      </c>
      <c r="AC725">
        <v>98</v>
      </c>
      <c r="AD725">
        <v>2.14</v>
      </c>
      <c r="AE725">
        <v>900</v>
      </c>
      <c r="AF725">
        <v>0.25</v>
      </c>
      <c r="AG725">
        <v>0</v>
      </c>
      <c r="AH725">
        <v>0.094</v>
      </c>
      <c r="AI725">
        <v>96.24</v>
      </c>
      <c r="AJ725">
        <v>7.59</v>
      </c>
      <c r="AK725">
        <v>0</v>
      </c>
      <c r="AL725">
        <v>0</v>
      </c>
      <c r="AM725">
        <v>0</v>
      </c>
      <c r="AN725">
        <v>0</v>
      </c>
      <c r="AO725">
        <v>0</v>
      </c>
      <c r="AP725">
        <v>0.839</v>
      </c>
      <c r="AQ725">
        <v>0.062</v>
      </c>
      <c r="AR725">
        <v>0.108</v>
      </c>
      <c r="AS725" s="3">
        <v>46107.77355324074</v>
      </c>
    </row>
    <row r="726" ht="25.5" customHeight="1">
      <c r="A726" t="inlineStr">
        <is>
          <t>598978805e87e76420db6300</t>
        </is>
      </c>
      <c r="B726" s="2" t="str">
        <f>=HYPERLINK("https://www.xiaohongshu.com/user/profile/598978805e87e76420db6300", "https://www.xiaohongshu.com/user/profile/598978805e87e76420db6300")</f>
        <v>https://www.xiaohongshu.com/user/profile/598978805e87e76420db6300</v>
      </c>
      <c r="C726" s="2" t="str">
        <f>=HYPERLINK("https://pgy.xiaohongshu.com/solar/pre-trade/blogger-detail/598978805e87e76420db6300", "https://pgy.xiaohongshu.com/solar/pre-trade/blogger-detail/598978805e87e76420db6300")</f>
        <v>https://pgy.xiaohongshu.com/solar/pre-trade/blogger-detail/598978805e87e76420db6300</v>
      </c>
      <c r="D726" t="inlineStr">
        <is>
          <t>女</t>
        </is>
      </c>
      <c r="E726" t="inlineStr">
        <is>
          <t>262164050</t>
        </is>
      </c>
      <c r="F726" t="inlineStr">
        <is>
          <t>少女的痰盂</t>
        </is>
      </c>
      <c r="G726" t="inlineStr">
        <is>
          <t>重庆</t>
        </is>
      </c>
      <c r="H726" t="inlineStr">
        <is>
          <t>考研过来人, 情侣, 产品经理</t>
        </is>
      </c>
      <c r="I726" t="inlineStr">
        <is>
          <t>教育</t>
        </is>
      </c>
      <c r="J726">
        <v>2626</v>
      </c>
      <c r="K726" t="inlineStr">
        <is>
          <t>0.3</t>
        </is>
      </c>
      <c r="L726">
        <v>8724</v>
      </c>
      <c r="M726">
        <v>1209</v>
      </c>
      <c r="N726">
        <v>192</v>
      </c>
      <c r="O726">
        <v>300</v>
      </c>
      <c r="P726">
        <v>0</v>
      </c>
      <c r="Q726">
        <v>0.25</v>
      </c>
      <c r="R726">
        <v>8724</v>
      </c>
      <c r="S726">
        <v>1209</v>
      </c>
      <c r="T726">
        <v>138</v>
      </c>
      <c r="U726">
        <v>0.55</v>
      </c>
      <c r="V726">
        <v>300</v>
      </c>
      <c r="W726">
        <v>0.25</v>
      </c>
      <c r="X726">
        <v>0</v>
      </c>
      <c r="Y726">
        <v>34.39</v>
      </c>
      <c r="Z726">
        <v>1.56</v>
      </c>
      <c r="AA726">
        <v>0</v>
      </c>
      <c r="AB726">
        <v>0</v>
      </c>
      <c r="AC726">
        <v>0</v>
      </c>
      <c r="AD726">
        <v>0</v>
      </c>
      <c r="AE726">
        <v>350</v>
      </c>
      <c r="AF726">
        <v>0</v>
      </c>
      <c r="AG726">
        <v>0</v>
      </c>
      <c r="AH726">
        <v>0</v>
      </c>
      <c r="AI726">
        <v>0</v>
      </c>
      <c r="AJ726">
        <v>0</v>
      </c>
      <c r="AK726">
        <v>0</v>
      </c>
      <c r="AL726">
        <v>0</v>
      </c>
      <c r="AM726">
        <v>0</v>
      </c>
      <c r="AN726">
        <v>0</v>
      </c>
      <c r="AO726">
        <v>0</v>
      </c>
      <c r="AP726">
        <v>0.845</v>
      </c>
      <c r="AQ726">
        <v>0.121</v>
      </c>
      <c r="AR726">
        <v>0.086</v>
      </c>
      <c r="AS726" s="3">
        <v>46107.77355324074</v>
      </c>
    </row>
    <row r="727" ht="25.5" customHeight="1">
      <c r="A727" t="inlineStr">
        <is>
          <t>5e3007080000000001006aee</t>
        </is>
      </c>
      <c r="B727" s="2" t="str">
        <f>=HYPERLINK("https://www.xiaohongshu.com/user/profile/5e3007080000000001006aee", "https://www.xiaohongshu.com/user/profile/5e3007080000000001006aee")</f>
        <v>https://www.xiaohongshu.com/user/profile/5e3007080000000001006aee</v>
      </c>
      <c r="C727" s="2" t="str">
        <f>=HYPERLINK("https://pgy.xiaohongshu.com/solar/pre-trade/blogger-detail/5e3007080000000001006aee", "https://pgy.xiaohongshu.com/solar/pre-trade/blogger-detail/5e3007080000000001006aee")</f>
        <v>https://pgy.xiaohongshu.com/solar/pre-trade/blogger-detail/5e3007080000000001006aee</v>
      </c>
      <c r="D727" t="inlineStr">
        <is>
          <t>女</t>
        </is>
      </c>
      <c r="E727" t="inlineStr">
        <is>
          <t>KAOYATV01</t>
        </is>
      </c>
      <c r="F727" t="inlineStr">
        <is>
          <t>烤鸭TV</t>
        </is>
      </c>
      <c r="G727" t="inlineStr">
        <is>
          <t>江苏 南京 江宁区</t>
        </is>
      </c>
      <c r="H727" t="inlineStr">
        <is>
          <t>创业者, 留学背景</t>
        </is>
      </c>
      <c r="I727" t="inlineStr">
        <is>
          <t>教育</t>
        </is>
      </c>
      <c r="J727">
        <v>35656</v>
      </c>
      <c r="K727" t="inlineStr">
        <is>
          <t>3.6</t>
        </is>
      </c>
      <c r="L727">
        <v>16102</v>
      </c>
      <c r="M727">
        <v>4479</v>
      </c>
      <c r="N727">
        <v>540</v>
      </c>
      <c r="O727">
        <v>178</v>
      </c>
      <c r="P727">
        <v>0.2</v>
      </c>
      <c r="Q727">
        <v>0.8</v>
      </c>
      <c r="R727">
        <v>0</v>
      </c>
      <c r="S727">
        <v>0</v>
      </c>
      <c r="T727">
        <v>0</v>
      </c>
      <c r="U727">
        <v>0</v>
      </c>
      <c r="V727">
        <v>178</v>
      </c>
      <c r="W727">
        <v>0</v>
      </c>
      <c r="X727">
        <v>0</v>
      </c>
      <c r="Y727">
        <v>0</v>
      </c>
      <c r="Z727">
        <v>0</v>
      </c>
      <c r="AA727">
        <v>16102</v>
      </c>
      <c r="AB727">
        <v>4479</v>
      </c>
      <c r="AC727">
        <v>476</v>
      </c>
      <c r="AD727">
        <v>2.04</v>
      </c>
      <c r="AE727">
        <v>2403</v>
      </c>
      <c r="AF727">
        <v>0.8</v>
      </c>
      <c r="AG727">
        <v>0.2</v>
      </c>
      <c r="AH727">
        <v>0.00699999999999999</v>
      </c>
      <c r="AI727">
        <v>149.24</v>
      </c>
      <c r="AJ727">
        <v>4.45</v>
      </c>
      <c r="AK727">
        <v>0</v>
      </c>
      <c r="AL727">
        <v>0</v>
      </c>
      <c r="AM727">
        <v>0</v>
      </c>
      <c r="AN727">
        <v>0</v>
      </c>
      <c r="AO727">
        <v>0</v>
      </c>
      <c r="AP727">
        <v>0.813</v>
      </c>
      <c r="AQ727">
        <v>0.048</v>
      </c>
      <c r="AR727">
        <v>0.126</v>
      </c>
      <c r="AS727" s="3">
        <v>46107.77355324074</v>
      </c>
    </row>
    <row r="728" ht="25.5" customHeight="1">
      <c r="A728" t="inlineStr">
        <is>
          <t>595e180f82ec39266f103c42</t>
        </is>
      </c>
      <c r="B728" s="2" t="str">
        <f>=HYPERLINK("https://www.xiaohongshu.com/user/profile/595e180f82ec39266f103c42", "https://www.xiaohongshu.com/user/profile/595e180f82ec39266f103c42")</f>
        <v>https://www.xiaohongshu.com/user/profile/595e180f82ec39266f103c42</v>
      </c>
      <c r="C728" s="2" t="str">
        <f>=HYPERLINK("https://pgy.xiaohongshu.com/solar/pre-trade/blogger-detail/595e180f82ec39266f103c42", "https://pgy.xiaohongshu.com/solar/pre-trade/blogger-detail/595e180f82ec39266f103c42")</f>
        <v>https://pgy.xiaohongshu.com/solar/pre-trade/blogger-detail/595e180f82ec39266f103c42</v>
      </c>
      <c r="D728" t="inlineStr">
        <is>
          <t>女</t>
        </is>
      </c>
      <c r="E728" t="inlineStr">
        <is>
          <t>jtr1234567</t>
        </is>
      </c>
      <c r="F728" t="inlineStr">
        <is>
          <t>狼与接听人</t>
        </is>
      </c>
      <c r="G728" t="inlineStr">
        <is>
          <t>浙江 杭州 西湖区</t>
        </is>
      </c>
      <c r="H728" t="inlineStr">
        <is>
          <t>学生</t>
        </is>
      </c>
      <c r="I728" t="inlineStr">
        <is>
          <t>教育, 生活记录</t>
        </is>
      </c>
      <c r="J728">
        <v>292944</v>
      </c>
      <c r="K728" t="inlineStr">
        <is>
          <t>29.3</t>
        </is>
      </c>
      <c r="L728">
        <v>1028671</v>
      </c>
      <c r="M728">
        <v>399992</v>
      </c>
      <c r="N728">
        <v>28298</v>
      </c>
      <c r="O728">
        <v>22000</v>
      </c>
      <c r="P728">
        <v>1</v>
      </c>
      <c r="Q728">
        <v>1</v>
      </c>
      <c r="R728">
        <v>2941762</v>
      </c>
      <c r="S728">
        <v>581023</v>
      </c>
      <c r="T728">
        <v>49643</v>
      </c>
      <c r="U728">
        <v>0.34</v>
      </c>
      <c r="V728">
        <v>22000</v>
      </c>
      <c r="W728">
        <v>1</v>
      </c>
      <c r="X728">
        <v>1</v>
      </c>
      <c r="Y728">
        <v>7.48</v>
      </c>
      <c r="Z728">
        <v>0.36</v>
      </c>
      <c r="AA728">
        <v>659720</v>
      </c>
      <c r="AB728">
        <v>223997</v>
      </c>
      <c r="AC728">
        <v>14215</v>
      </c>
      <c r="AD728">
        <v>1.63</v>
      </c>
      <c r="AE728">
        <v>29000</v>
      </c>
      <c r="AF728">
        <v>1</v>
      </c>
      <c r="AG728">
        <v>1</v>
      </c>
      <c r="AH728">
        <v>0.074</v>
      </c>
      <c r="AI728">
        <v>43.96</v>
      </c>
      <c r="AJ728">
        <v>1.82</v>
      </c>
      <c r="AK728">
        <v>0</v>
      </c>
      <c r="AL728">
        <v>0</v>
      </c>
      <c r="AM728">
        <v>0</v>
      </c>
      <c r="AN728">
        <v>0</v>
      </c>
      <c r="AO728">
        <v>0</v>
      </c>
      <c r="AP728">
        <v>0.799</v>
      </c>
      <c r="AQ728">
        <v>0.063</v>
      </c>
      <c r="AR728">
        <v>0.051</v>
      </c>
      <c r="AS728" s="3">
        <v>46107.77355324074</v>
      </c>
    </row>
    <row r="729" ht="25.5" customHeight="1">
      <c r="A729" t="inlineStr">
        <is>
          <t>62407fe40000000021022406</t>
        </is>
      </c>
      <c r="B729" s="2" t="str">
        <f>=HYPERLINK("https://www.xiaohongshu.com/user/profile/62407fe40000000021022406", "https://www.xiaohongshu.com/user/profile/62407fe40000000021022406")</f>
        <v>https://www.xiaohongshu.com/user/profile/62407fe40000000021022406</v>
      </c>
      <c r="C729" s="2" t="str">
        <f>=HYPERLINK("https://pgy.xiaohongshu.com/solar/pre-trade/blogger-detail/62407fe40000000021022406", "https://pgy.xiaohongshu.com/solar/pre-trade/blogger-detail/62407fe40000000021022406")</f>
        <v>https://pgy.xiaohongshu.com/solar/pre-trade/blogger-detail/62407fe40000000021022406</v>
      </c>
      <c r="D729" t="inlineStr">
        <is>
          <t>男</t>
        </is>
      </c>
      <c r="E729" t="inlineStr">
        <is>
          <t>Kennykai1106</t>
        </is>
      </c>
      <c r="F729" t="inlineStr">
        <is>
          <t>Kenny思享</t>
        </is>
      </c>
      <c r="G729" t="inlineStr">
        <is>
          <t>北京</t>
        </is>
      </c>
      <c r="H729"/>
      <c r="I729" t="inlineStr">
        <is>
          <t>职场, 教育</t>
        </is>
      </c>
      <c r="J729">
        <v>15117</v>
      </c>
      <c r="K729" t="inlineStr">
        <is>
          <t>1.5</t>
        </is>
      </c>
      <c r="L729">
        <v>11826</v>
      </c>
      <c r="M729">
        <v>2216</v>
      </c>
      <c r="N729">
        <v>111</v>
      </c>
      <c r="O729">
        <v>700</v>
      </c>
      <c r="P729">
        <v>0</v>
      </c>
      <c r="Q729">
        <v>0.143</v>
      </c>
      <c r="R729">
        <v>11826</v>
      </c>
      <c r="S729">
        <v>2216</v>
      </c>
      <c r="T729">
        <v>88</v>
      </c>
      <c r="U729">
        <v>0.73</v>
      </c>
      <c r="V729">
        <v>700</v>
      </c>
      <c r="W729">
        <v>0.143</v>
      </c>
      <c r="X729">
        <v>0</v>
      </c>
      <c r="Y729">
        <v>70.47</v>
      </c>
      <c r="Z729">
        <v>7</v>
      </c>
      <c r="AA729">
        <v>0</v>
      </c>
      <c r="AB729">
        <v>0</v>
      </c>
      <c r="AC729">
        <v>0</v>
      </c>
      <c r="AD729">
        <v>0</v>
      </c>
      <c r="AE729">
        <v>1000</v>
      </c>
      <c r="AF729">
        <v>0</v>
      </c>
      <c r="AG729">
        <v>0</v>
      </c>
      <c r="AH729">
        <v>0</v>
      </c>
      <c r="AI729">
        <v>0</v>
      </c>
      <c r="AJ729">
        <v>0</v>
      </c>
      <c r="AK729">
        <v>3390</v>
      </c>
      <c r="AL729">
        <v>355</v>
      </c>
      <c r="AM729">
        <v>29</v>
      </c>
      <c r="AN729">
        <v>0</v>
      </c>
      <c r="AO729">
        <v>0</v>
      </c>
      <c r="AP729">
        <v>0.862</v>
      </c>
      <c r="AQ729">
        <v>0.034</v>
      </c>
      <c r="AR729">
        <v>0.0139999999999999</v>
      </c>
      <c r="AS729" s="3">
        <v>46107.77355324074</v>
      </c>
    </row>
    <row r="730" ht="25.5" customHeight="1">
      <c r="A730" t="inlineStr">
        <is>
          <t>5a9a73a24eacab6387d5cf67</t>
        </is>
      </c>
      <c r="B730" s="2" t="str">
        <f>=HYPERLINK("https://www.xiaohongshu.com/user/profile/5a9a73a24eacab6387d5cf67", "https://www.xiaohongshu.com/user/profile/5a9a73a24eacab6387d5cf67")</f>
        <v>https://www.xiaohongshu.com/user/profile/5a9a73a24eacab6387d5cf67</v>
      </c>
      <c r="C730" s="2" t="str">
        <f>=HYPERLINK("https://pgy.xiaohongshu.com/solar/pre-trade/blogger-detail/5a9a73a24eacab6387d5cf67", "https://pgy.xiaohongshu.com/solar/pre-trade/blogger-detail/5a9a73a24eacab6387d5cf67")</f>
        <v>https://pgy.xiaohongshu.com/solar/pre-trade/blogger-detail/5a9a73a24eacab6387d5cf67</v>
      </c>
      <c r="D730" t="inlineStr">
        <is>
          <t>女</t>
        </is>
      </c>
      <c r="E730" t="inlineStr">
        <is>
          <t>630872771</t>
        </is>
      </c>
      <c r="F730" t="inlineStr">
        <is>
          <t>返场的PP</t>
        </is>
      </c>
      <c r="G730" t="inlineStr">
        <is>
          <t>澳大利亚</t>
        </is>
      </c>
      <c r="H730" t="inlineStr">
        <is>
          <t>留学背景, 学生</t>
        </is>
      </c>
      <c r="I730" t="inlineStr">
        <is>
          <t>教育, 出行旅游</t>
        </is>
      </c>
      <c r="J730">
        <v>4059</v>
      </c>
      <c r="K730" t="inlineStr">
        <is>
          <t>0.4</t>
        </is>
      </c>
      <c r="L730">
        <v>27072</v>
      </c>
      <c r="M730">
        <v>5121</v>
      </c>
      <c r="N730">
        <v>422</v>
      </c>
      <c r="O730">
        <v>720</v>
      </c>
      <c r="P730">
        <v>0</v>
      </c>
      <c r="Q730">
        <v>0.667</v>
      </c>
      <c r="R730">
        <v>27072</v>
      </c>
      <c r="S730">
        <v>5121</v>
      </c>
      <c r="T730">
        <v>292</v>
      </c>
      <c r="U730">
        <v>0.46</v>
      </c>
      <c r="V730">
        <v>720</v>
      </c>
      <c r="W730">
        <v>0.667</v>
      </c>
      <c r="X730">
        <v>0</v>
      </c>
      <c r="Y730">
        <v>32.01</v>
      </c>
      <c r="Z730">
        <v>2.42</v>
      </c>
      <c r="AA730">
        <v>0</v>
      </c>
      <c r="AB730">
        <v>0</v>
      </c>
      <c r="AC730">
        <v>0</v>
      </c>
      <c r="AD730">
        <v>0</v>
      </c>
      <c r="AE730">
        <v>960</v>
      </c>
      <c r="AF730">
        <v>0</v>
      </c>
      <c r="AG730">
        <v>0</v>
      </c>
      <c r="AH730">
        <v>0</v>
      </c>
      <c r="AI730">
        <v>0</v>
      </c>
      <c r="AJ730">
        <v>0</v>
      </c>
      <c r="AK730">
        <v>3888</v>
      </c>
      <c r="AL730">
        <v>440</v>
      </c>
      <c r="AM730">
        <v>85</v>
      </c>
      <c r="AN730">
        <v>0</v>
      </c>
      <c r="AO730">
        <v>0</v>
      </c>
      <c r="AP730">
        <v>0.925999999999999</v>
      </c>
      <c r="AQ730">
        <v>0.0819999999999999</v>
      </c>
      <c r="AR730">
        <v>0.134</v>
      </c>
      <c r="AS730" s="3">
        <v>46107.77355324074</v>
      </c>
    </row>
    <row r="731" ht="25.5" customHeight="1">
      <c r="A731" t="inlineStr">
        <is>
          <t>593688d36a6a6901691566b0</t>
        </is>
      </c>
      <c r="B731" s="2" t="str">
        <f>=HYPERLINK("https://www.xiaohongshu.com/user/profile/593688d36a6a6901691566b0", "https://www.xiaohongshu.com/user/profile/593688d36a6a6901691566b0")</f>
        <v>https://www.xiaohongshu.com/user/profile/593688d36a6a6901691566b0</v>
      </c>
      <c r="C731" s="2" t="str">
        <f>=HYPERLINK("https://pgy.xiaohongshu.com/solar/pre-trade/blogger-detail/593688d36a6a6901691566b0", "https://pgy.xiaohongshu.com/solar/pre-trade/blogger-detail/593688d36a6a6901691566b0")</f>
        <v>https://pgy.xiaohongshu.com/solar/pre-trade/blogger-detail/593688d36a6a6901691566b0</v>
      </c>
      <c r="D731" t="inlineStr">
        <is>
          <t>女</t>
        </is>
      </c>
      <c r="E731" t="inlineStr">
        <is>
          <t>422937870</t>
        </is>
      </c>
      <c r="F731" t="inlineStr">
        <is>
          <t>哈一hayi</t>
        </is>
      </c>
      <c r="G731" t="inlineStr">
        <is>
          <t>陕西 西安 长安区</t>
        </is>
      </c>
      <c r="H731"/>
      <c r="I731" t="inlineStr">
        <is>
          <t>教育</t>
        </is>
      </c>
      <c r="J731">
        <v>7716</v>
      </c>
      <c r="K731" t="inlineStr">
        <is>
          <t>0.8</t>
        </is>
      </c>
      <c r="L731">
        <v>8326</v>
      </c>
      <c r="M731">
        <v>1609</v>
      </c>
      <c r="N731">
        <v>169</v>
      </c>
      <c r="O731">
        <v>180</v>
      </c>
      <c r="P731">
        <v>0</v>
      </c>
      <c r="Q731">
        <v>0.458999999999999</v>
      </c>
      <c r="R731">
        <v>0</v>
      </c>
      <c r="S731">
        <v>0</v>
      </c>
      <c r="T731">
        <v>0</v>
      </c>
      <c r="U731">
        <v>0</v>
      </c>
      <c r="V731">
        <v>180</v>
      </c>
      <c r="W731">
        <v>0</v>
      </c>
      <c r="X731">
        <v>0</v>
      </c>
      <c r="Y731">
        <v>0</v>
      </c>
      <c r="Z731">
        <v>0</v>
      </c>
      <c r="AA731">
        <v>8326</v>
      </c>
      <c r="AB731">
        <v>1609</v>
      </c>
      <c r="AC731">
        <v>124</v>
      </c>
      <c r="AD731">
        <v>1.75</v>
      </c>
      <c r="AE731">
        <v>400</v>
      </c>
      <c r="AF731">
        <v>0.458999999999999</v>
      </c>
      <c r="AG731">
        <v>0</v>
      </c>
      <c r="AH731">
        <v>0.143</v>
      </c>
      <c r="AI731">
        <v>48.04</v>
      </c>
      <c r="AJ731">
        <v>2.37</v>
      </c>
      <c r="AK731">
        <v>0</v>
      </c>
      <c r="AL731">
        <v>0</v>
      </c>
      <c r="AM731">
        <v>0</v>
      </c>
      <c r="AN731">
        <v>0</v>
      </c>
      <c r="AO731">
        <v>0</v>
      </c>
      <c r="AP731">
        <v>0.974</v>
      </c>
      <c r="AQ731">
        <v>0.409</v>
      </c>
      <c r="AR731">
        <v>0</v>
      </c>
      <c r="AS731" s="3">
        <v>46107.77355324074</v>
      </c>
    </row>
    <row r="732" ht="25.5" customHeight="1">
      <c r="A732" t="inlineStr">
        <is>
          <t>61fbef54000000002102b91e</t>
        </is>
      </c>
      <c r="B732" s="2" t="str">
        <f>=HYPERLINK("https://www.xiaohongshu.com/user/profile/61fbef54000000002102b91e", "https://www.xiaohongshu.com/user/profile/61fbef54000000002102b91e")</f>
        <v>https://www.xiaohongshu.com/user/profile/61fbef54000000002102b91e</v>
      </c>
      <c r="C732" s="2" t="str">
        <f>=HYPERLINK("https://pgy.xiaohongshu.com/solar/pre-trade/blogger-detail/61fbef54000000002102b91e", "https://pgy.xiaohongshu.com/solar/pre-trade/blogger-detail/61fbef54000000002102b91e")</f>
        <v>https://pgy.xiaohongshu.com/solar/pre-trade/blogger-detail/61fbef54000000002102b91e</v>
      </c>
      <c r="D732" t="inlineStr">
        <is>
          <t>女</t>
        </is>
      </c>
      <c r="E732" t="inlineStr">
        <is>
          <t>zyt8455680_</t>
        </is>
      </c>
      <c r="F732" t="inlineStr">
        <is>
          <t>火烈鸟法语日记</t>
        </is>
      </c>
      <c r="G732" t="inlineStr">
        <is>
          <t>新疆 乌鲁木齐 新市区</t>
        </is>
      </c>
      <c r="H732"/>
      <c r="I732" t="inlineStr">
        <is>
          <t>教育, 生活记录</t>
        </is>
      </c>
      <c r="J732">
        <v>10684</v>
      </c>
      <c r="K732" t="inlineStr">
        <is>
          <t>1.1</t>
        </is>
      </c>
      <c r="L732">
        <v>8185</v>
      </c>
      <c r="M732">
        <v>2461</v>
      </c>
      <c r="N732">
        <v>171</v>
      </c>
      <c r="O732">
        <v>500</v>
      </c>
      <c r="P732">
        <v>0.087</v>
      </c>
      <c r="Q732">
        <v>0.435</v>
      </c>
      <c r="R732">
        <v>7231</v>
      </c>
      <c r="S732">
        <v>587</v>
      </c>
      <c r="T732">
        <v>94</v>
      </c>
      <c r="U732">
        <v>1.15</v>
      </c>
      <c r="V732">
        <v>500</v>
      </c>
      <c r="W732">
        <v>0</v>
      </c>
      <c r="X732">
        <v>0</v>
      </c>
      <c r="Y732">
        <v>69.15</v>
      </c>
      <c r="Z732">
        <v>4.42</v>
      </c>
      <c r="AA732">
        <v>8751</v>
      </c>
      <c r="AB732">
        <v>2546</v>
      </c>
      <c r="AC732">
        <v>133</v>
      </c>
      <c r="AD732">
        <v>1.81</v>
      </c>
      <c r="AE732">
        <v>800</v>
      </c>
      <c r="AF732">
        <v>0.455</v>
      </c>
      <c r="AG732">
        <v>0.091</v>
      </c>
      <c r="AH732">
        <v>0.108</v>
      </c>
      <c r="AI732">
        <v>91.41</v>
      </c>
      <c r="AJ732">
        <v>4.58</v>
      </c>
      <c r="AK732">
        <v>0</v>
      </c>
      <c r="AL732">
        <v>0</v>
      </c>
      <c r="AM732">
        <v>0</v>
      </c>
      <c r="AN732">
        <v>0</v>
      </c>
      <c r="AO732">
        <v>0</v>
      </c>
      <c r="AP732">
        <v>0.912999999999999</v>
      </c>
      <c r="AQ732">
        <v>0.077</v>
      </c>
      <c r="AR732">
        <v>0.083</v>
      </c>
      <c r="AS732" s="3">
        <v>46107.77355324074</v>
      </c>
    </row>
    <row r="733" ht="25.5" customHeight="1">
      <c r="A733" t="inlineStr">
        <is>
          <t>5e678e810000000001006ec9</t>
        </is>
      </c>
      <c r="B733" s="2" t="str">
        <f>=HYPERLINK("https://www.xiaohongshu.com/user/profile/5e678e810000000001006ec9", "https://www.xiaohongshu.com/user/profile/5e678e810000000001006ec9")</f>
        <v>https://www.xiaohongshu.com/user/profile/5e678e810000000001006ec9</v>
      </c>
      <c r="C733" s="2" t="str">
        <f>=HYPERLINK("https://pgy.xiaohongshu.com/solar/pre-trade/blogger-detail/5e678e810000000001006ec9", "https://pgy.xiaohongshu.com/solar/pre-trade/blogger-detail/5e678e810000000001006ec9")</f>
        <v>https://pgy.xiaohongshu.com/solar/pre-trade/blogger-detail/5e678e810000000001006ec9</v>
      </c>
      <c r="D733" t="inlineStr">
        <is>
          <t>女</t>
        </is>
      </c>
      <c r="E733" t="inlineStr">
        <is>
          <t>tiku6999</t>
        </is>
      </c>
      <c r="F733" t="inlineStr">
        <is>
          <t>fafa在学习</t>
        </is>
      </c>
      <c r="G733" t="inlineStr">
        <is>
          <t>河南 信阳 固始县</t>
        </is>
      </c>
      <c r="H733" t="inlineStr">
        <is>
          <t>学生</t>
        </is>
      </c>
      <c r="I733" t="inlineStr">
        <is>
          <t>教育</t>
        </is>
      </c>
      <c r="J733">
        <v>3717</v>
      </c>
      <c r="K733" t="inlineStr">
        <is>
          <t>0.4</t>
        </is>
      </c>
      <c r="L733">
        <v>8066</v>
      </c>
      <c r="M733">
        <v>2083</v>
      </c>
      <c r="N733">
        <v>109</v>
      </c>
      <c r="O733">
        <v>300</v>
      </c>
      <c r="P733">
        <v>0</v>
      </c>
      <c r="Q733">
        <v>0.5</v>
      </c>
      <c r="R733">
        <v>20433</v>
      </c>
      <c r="S733">
        <v>7739</v>
      </c>
      <c r="T733">
        <v>315</v>
      </c>
      <c r="U733">
        <v>0.34</v>
      </c>
      <c r="V733">
        <v>300</v>
      </c>
      <c r="W733">
        <v>1</v>
      </c>
      <c r="X733">
        <v>0</v>
      </c>
      <c r="Y733">
        <v>14.68</v>
      </c>
      <c r="Z733">
        <v>0.81</v>
      </c>
      <c r="AA733">
        <v>6067</v>
      </c>
      <c r="AB733">
        <v>1281</v>
      </c>
      <c r="AC733">
        <v>45</v>
      </c>
      <c r="AD733">
        <v>2.05</v>
      </c>
      <c r="AE733">
        <v>700</v>
      </c>
      <c r="AF733">
        <v>0.429</v>
      </c>
      <c r="AG733">
        <v>0</v>
      </c>
      <c r="AH733">
        <v>0.314</v>
      </c>
      <c r="AI733">
        <v>115.38</v>
      </c>
      <c r="AJ733">
        <v>16.28</v>
      </c>
      <c r="AK733">
        <v>0</v>
      </c>
      <c r="AL733">
        <v>0</v>
      </c>
      <c r="AM733">
        <v>0</v>
      </c>
      <c r="AN733">
        <v>0</v>
      </c>
      <c r="AO733">
        <v>0</v>
      </c>
      <c r="AP733">
        <v>0.732</v>
      </c>
      <c r="AQ733">
        <v>0.049</v>
      </c>
      <c r="AR733">
        <v>0.024</v>
      </c>
      <c r="AS733" s="3">
        <v>46107.77355324074</v>
      </c>
    </row>
    <row r="734" ht="25.5" customHeight="1">
      <c r="A734" t="inlineStr">
        <is>
          <t>66e3747b000000000d024b78</t>
        </is>
      </c>
      <c r="B734" s="2" t="str">
        <f>=HYPERLINK("https://www.xiaohongshu.com/user/profile/66e3747b000000000d024b78", "https://www.xiaohongshu.com/user/profile/66e3747b000000000d024b78")</f>
        <v>https://www.xiaohongshu.com/user/profile/66e3747b000000000d024b78</v>
      </c>
      <c r="C734" s="2" t="str">
        <f>=HYPERLINK("https://pgy.xiaohongshu.com/solar/pre-trade/blogger-detail/66e3747b000000000d024b78", "https://pgy.xiaohongshu.com/solar/pre-trade/blogger-detail/66e3747b000000000d024b78")</f>
        <v>https://pgy.xiaohongshu.com/solar/pre-trade/blogger-detail/66e3747b000000000d024b78</v>
      </c>
      <c r="D734" t="inlineStr">
        <is>
          <t>女</t>
        </is>
      </c>
      <c r="E734" t="inlineStr">
        <is>
          <t>42946839624</t>
        </is>
      </c>
      <c r="F734" t="inlineStr">
        <is>
          <t>Lily Mandarin</t>
        </is>
      </c>
      <c r="G734" t="inlineStr">
        <is>
          <t>陕西 西安 新城区</t>
        </is>
      </c>
      <c r="H734"/>
      <c r="I734" t="inlineStr">
        <is>
          <t>教育</t>
        </is>
      </c>
      <c r="J734">
        <v>1057</v>
      </c>
      <c r="K734" t="inlineStr">
        <is>
          <t>0.1</t>
        </is>
      </c>
      <c r="L734">
        <v>2623</v>
      </c>
      <c r="M734">
        <v>1391</v>
      </c>
      <c r="N734">
        <v>263</v>
      </c>
      <c r="O734">
        <v>200</v>
      </c>
      <c r="P734">
        <v>0</v>
      </c>
      <c r="Q734">
        <v>0.563</v>
      </c>
      <c r="R734">
        <v>0</v>
      </c>
      <c r="S734">
        <v>0</v>
      </c>
      <c r="T734">
        <v>0</v>
      </c>
      <c r="U734">
        <v>0</v>
      </c>
      <c r="V734">
        <v>200</v>
      </c>
      <c r="W734">
        <v>0</v>
      </c>
      <c r="X734">
        <v>0</v>
      </c>
      <c r="Y734">
        <v>0</v>
      </c>
      <c r="Z734">
        <v>0</v>
      </c>
      <c r="AA734">
        <v>2623</v>
      </c>
      <c r="AB734">
        <v>1391</v>
      </c>
      <c r="AC734">
        <v>196</v>
      </c>
      <c r="AD734">
        <v>1.79</v>
      </c>
      <c r="AE734">
        <v>400</v>
      </c>
      <c r="AF734">
        <v>0.563</v>
      </c>
      <c r="AG734">
        <v>0</v>
      </c>
      <c r="AH734">
        <v>0.188</v>
      </c>
      <c r="AI734">
        <v>152.5</v>
      </c>
      <c r="AJ734">
        <v>1.52</v>
      </c>
      <c r="AK734">
        <v>0</v>
      </c>
      <c r="AL734">
        <v>0</v>
      </c>
      <c r="AM734">
        <v>0</v>
      </c>
      <c r="AN734">
        <v>0</v>
      </c>
      <c r="AO734">
        <v>0</v>
      </c>
      <c r="AP734">
        <v>1</v>
      </c>
      <c r="AQ734">
        <v>0.531</v>
      </c>
      <c r="AR734">
        <v>0</v>
      </c>
      <c r="AS734" s="3">
        <v>46107.77355324074</v>
      </c>
    </row>
    <row r="735" ht="25.5" customHeight="1">
      <c r="A735" t="inlineStr">
        <is>
          <t>576206785e87e77391b85eff</t>
        </is>
      </c>
      <c r="B735" s="2" t="str">
        <f>=HYPERLINK("https://www.xiaohongshu.com/user/profile/576206785e87e77391b85eff", "https://www.xiaohongshu.com/user/profile/576206785e87e77391b85eff")</f>
        <v>https://www.xiaohongshu.com/user/profile/576206785e87e77391b85eff</v>
      </c>
      <c r="C735" s="2" t="str">
        <f>=HYPERLINK("https://pgy.xiaohongshu.com/solar/pre-trade/blogger-detail/576206785e87e77391b85eff", "https://pgy.xiaohongshu.com/solar/pre-trade/blogger-detail/576206785e87e77391b85eff")</f>
        <v>https://pgy.xiaohongshu.com/solar/pre-trade/blogger-detail/576206785e87e77391b85eff</v>
      </c>
      <c r="D735" t="inlineStr">
        <is>
          <t>女</t>
        </is>
      </c>
      <c r="E735" t="inlineStr">
        <is>
          <t>109639652</t>
        </is>
      </c>
      <c r="F735" t="inlineStr">
        <is>
          <t>任劳任怨鲁侍萍</t>
        </is>
      </c>
      <c r="G735" t="inlineStr">
        <is>
          <t>江苏 苏州 苏州工业园区</t>
        </is>
      </c>
      <c r="H735"/>
      <c r="I735"/>
      <c r="J735">
        <v>1866</v>
      </c>
      <c r="K735" t="inlineStr">
        <is>
          <t>0.2</t>
        </is>
      </c>
      <c r="L735">
        <v>72228</v>
      </c>
      <c r="M735">
        <v>14042</v>
      </c>
      <c r="N735">
        <v>520</v>
      </c>
      <c r="O735">
        <v>100</v>
      </c>
      <c r="P735">
        <v>0</v>
      </c>
      <c r="Q735">
        <v>0.5</v>
      </c>
      <c r="R735">
        <v>72228</v>
      </c>
      <c r="S735">
        <v>14042</v>
      </c>
      <c r="T735">
        <v>392</v>
      </c>
      <c r="U735">
        <v>0.38</v>
      </c>
      <c r="V735">
        <v>100</v>
      </c>
      <c r="W735">
        <v>0.5</v>
      </c>
      <c r="X735">
        <v>0</v>
      </c>
      <c r="Y735">
        <v>15.39</v>
      </c>
      <c r="Z735">
        <v>1.27</v>
      </c>
      <c r="AA735">
        <v>0</v>
      </c>
      <c r="AB735">
        <v>0</v>
      </c>
      <c r="AC735">
        <v>0</v>
      </c>
      <c r="AD735">
        <v>0</v>
      </c>
      <c r="AE735">
        <v>100</v>
      </c>
      <c r="AF735">
        <v>0</v>
      </c>
      <c r="AG735">
        <v>0</v>
      </c>
      <c r="AH735">
        <v>0</v>
      </c>
      <c r="AI735">
        <v>0</v>
      </c>
      <c r="AJ735">
        <v>0</v>
      </c>
      <c r="AK735">
        <v>2531</v>
      </c>
      <c r="AL735">
        <v>312</v>
      </c>
      <c r="AM735">
        <v>14</v>
      </c>
      <c r="AN735">
        <v>0</v>
      </c>
      <c r="AO735">
        <v>0</v>
      </c>
      <c r="AP735">
        <v>0.878</v>
      </c>
      <c r="AQ735">
        <v>0.057</v>
      </c>
      <c r="AR735">
        <v>0.072</v>
      </c>
      <c r="AS735" s="3">
        <v>46107.77355324074</v>
      </c>
    </row>
    <row r="736" ht="25.5" customHeight="1">
      <c r="A736" t="inlineStr">
        <is>
          <t>68c4c8310000000019021632</t>
        </is>
      </c>
      <c r="B736" s="2" t="str">
        <f>=HYPERLINK("https://www.xiaohongshu.com/user/profile/68c4c8310000000019021632", "https://www.xiaohongshu.com/user/profile/68c4c8310000000019021632")</f>
        <v>https://www.xiaohongshu.com/user/profile/68c4c8310000000019021632</v>
      </c>
      <c r="C736" s="2" t="str">
        <f>=HYPERLINK("https://pgy.xiaohongshu.com/solar/pre-trade/blogger-detail/68c4c8310000000019021632", "https://pgy.xiaohongshu.com/solar/pre-trade/blogger-detail/68c4c8310000000019021632")</f>
        <v>https://pgy.xiaohongshu.com/solar/pre-trade/blogger-detail/68c4c8310000000019021632</v>
      </c>
      <c r="D736" t="inlineStr">
        <is>
          <t>女</t>
        </is>
      </c>
      <c r="E736" t="inlineStr">
        <is>
          <t>18988958315</t>
        </is>
      </c>
      <c r="F736" t="inlineStr">
        <is>
          <t>每日英语3s4</t>
        </is>
      </c>
      <c r="G736" t="inlineStr">
        <is>
          <t>河北 廊坊 广阳区</t>
        </is>
      </c>
      <c r="H736"/>
      <c r="I736" t="inlineStr">
        <is>
          <t>教育</t>
        </is>
      </c>
      <c r="J736">
        <v>2908</v>
      </c>
      <c r="K736" t="inlineStr">
        <is>
          <t>0.3</t>
        </is>
      </c>
      <c r="L736">
        <v>2656</v>
      </c>
      <c r="M736">
        <v>1239</v>
      </c>
      <c r="N736">
        <v>143</v>
      </c>
      <c r="O736">
        <v>200</v>
      </c>
      <c r="P736">
        <v>0</v>
      </c>
      <c r="Q736">
        <v>0.135</v>
      </c>
      <c r="R736">
        <v>3</v>
      </c>
      <c r="S736">
        <v>1</v>
      </c>
      <c r="T736">
        <v>0</v>
      </c>
      <c r="U736">
        <v>200.3</v>
      </c>
      <c r="V736">
        <v>200</v>
      </c>
      <c r="W736">
        <v>0</v>
      </c>
      <c r="X736">
        <v>0</v>
      </c>
      <c r="Y736">
        <v>66666.67</v>
      </c>
      <c r="Z736">
        <v>0</v>
      </c>
      <c r="AA736">
        <v>2892</v>
      </c>
      <c r="AB736">
        <v>1505</v>
      </c>
      <c r="AC736">
        <v>77</v>
      </c>
      <c r="AD736">
        <v>1.67</v>
      </c>
      <c r="AE736">
        <v>260</v>
      </c>
      <c r="AF736">
        <v>0.156</v>
      </c>
      <c r="AG736">
        <v>0</v>
      </c>
      <c r="AH736">
        <v>0.587</v>
      </c>
      <c r="AI736">
        <v>89.89</v>
      </c>
      <c r="AJ736">
        <v>1.72</v>
      </c>
      <c r="AK736">
        <v>0</v>
      </c>
      <c r="AL736">
        <v>0</v>
      </c>
      <c r="AM736">
        <v>0</v>
      </c>
      <c r="AN736">
        <v>0</v>
      </c>
      <c r="AO736">
        <v>0</v>
      </c>
      <c r="AP736">
        <v>1</v>
      </c>
      <c r="AQ736">
        <v>0.296</v>
      </c>
      <c r="AR736">
        <v>0</v>
      </c>
      <c r="AS736" s="3">
        <v>46107.77355324074</v>
      </c>
    </row>
    <row r="737" ht="25.5" customHeight="1">
      <c r="A737" t="inlineStr">
        <is>
          <t>64856bfe00000000120362d7</t>
        </is>
      </c>
      <c r="B737" s="2" t="str">
        <f>=HYPERLINK("https://www.xiaohongshu.com/user/profile/64856bfe00000000120362d7", "https://www.xiaohongshu.com/user/profile/64856bfe00000000120362d7")</f>
        <v>https://www.xiaohongshu.com/user/profile/64856bfe00000000120362d7</v>
      </c>
      <c r="C737" s="2" t="str">
        <f>=HYPERLINK("https://pgy.xiaohongshu.com/solar/pre-trade/blogger-detail/64856bfe00000000120362d7", "https://pgy.xiaohongshu.com/solar/pre-trade/blogger-detail/64856bfe00000000120362d7")</f>
        <v>https://pgy.xiaohongshu.com/solar/pre-trade/blogger-detail/64856bfe00000000120362d7</v>
      </c>
      <c r="D737" t="inlineStr">
        <is>
          <t>女</t>
        </is>
      </c>
      <c r="E737" t="inlineStr">
        <is>
          <t>2200686638</t>
        </is>
      </c>
      <c r="F737" t="inlineStr">
        <is>
          <t>酒窝Dimples</t>
        </is>
      </c>
      <c r="G737" t="inlineStr">
        <is>
          <t>浙江 杭州 余杭区</t>
        </is>
      </c>
      <c r="H737" t="inlineStr">
        <is>
          <t>学生</t>
        </is>
      </c>
      <c r="I737" t="inlineStr">
        <is>
          <t>生活记录</t>
        </is>
      </c>
      <c r="J737">
        <v>32209</v>
      </c>
      <c r="K737" t="inlineStr">
        <is>
          <t>3.2</t>
        </is>
      </c>
      <c r="L737">
        <v>24653</v>
      </c>
      <c r="M737">
        <v>8233</v>
      </c>
      <c r="N737">
        <v>438</v>
      </c>
      <c r="O737">
        <v>1600</v>
      </c>
      <c r="P737">
        <v>0.35</v>
      </c>
      <c r="Q737">
        <v>0.95</v>
      </c>
      <c r="R737">
        <v>23552</v>
      </c>
      <c r="S737">
        <v>1309</v>
      </c>
      <c r="T737">
        <v>61</v>
      </c>
      <c r="U737">
        <v>2.21</v>
      </c>
      <c r="V737">
        <v>2500</v>
      </c>
      <c r="W737">
        <v>0</v>
      </c>
      <c r="X737">
        <v>0</v>
      </c>
      <c r="Y737">
        <v>106.15</v>
      </c>
      <c r="Z737">
        <v>35.21</v>
      </c>
      <c r="AA737">
        <v>25754</v>
      </c>
      <c r="AB737">
        <v>9356</v>
      </c>
      <c r="AC737">
        <v>434</v>
      </c>
      <c r="AD737">
        <v>1.74</v>
      </c>
      <c r="AE737">
        <v>1600</v>
      </c>
      <c r="AF737">
        <v>1</v>
      </c>
      <c r="AG737">
        <v>0.368</v>
      </c>
      <c r="AH737">
        <v>0.447</v>
      </c>
      <c r="AI737">
        <v>70.71</v>
      </c>
      <c r="AJ737">
        <v>6.96</v>
      </c>
      <c r="AK737">
        <v>19539</v>
      </c>
      <c r="AL737">
        <v>3609</v>
      </c>
      <c r="AM737">
        <v>128</v>
      </c>
      <c r="AN737">
        <v>0</v>
      </c>
      <c r="AO737">
        <v>0</v>
      </c>
      <c r="AP737">
        <v>0.834</v>
      </c>
      <c r="AQ737">
        <v>0.091</v>
      </c>
      <c r="AR737">
        <v>0.091</v>
      </c>
      <c r="AS737" s="3">
        <v>46107.77355324074</v>
      </c>
    </row>
    <row r="738" ht="25.5" customHeight="1">
      <c r="A738" t="inlineStr">
        <is>
          <t>65ae0195000000000e0218e1</t>
        </is>
      </c>
      <c r="B738" s="2" t="str">
        <f>=HYPERLINK("https://www.xiaohongshu.com/user/profile/65ae0195000000000e0218e1", "https://www.xiaohongshu.com/user/profile/65ae0195000000000e0218e1")</f>
        <v>https://www.xiaohongshu.com/user/profile/65ae0195000000000e0218e1</v>
      </c>
      <c r="C738" s="2" t="str">
        <f>=HYPERLINK("https://pgy.xiaohongshu.com/solar/pre-trade/blogger-detail/65ae0195000000000e0218e1", "https://pgy.xiaohongshu.com/solar/pre-trade/blogger-detail/65ae0195000000000e0218e1")</f>
        <v>https://pgy.xiaohongshu.com/solar/pre-trade/blogger-detail/65ae0195000000000e0218e1</v>
      </c>
      <c r="D738" t="inlineStr">
        <is>
          <t>女</t>
        </is>
      </c>
      <c r="E738" t="inlineStr">
        <is>
          <t>Bohexiaoyang</t>
        </is>
      </c>
      <c r="F738" t="inlineStr">
        <is>
          <t>Treeself（考公版）</t>
        </is>
      </c>
      <c r="G738" t="inlineStr">
        <is>
          <t>重庆</t>
        </is>
      </c>
      <c r="H738"/>
      <c r="I738" t="inlineStr">
        <is>
          <t>职场, 教育</t>
        </is>
      </c>
      <c r="J738">
        <v>2801</v>
      </c>
      <c r="K738" t="inlineStr">
        <is>
          <t>0.3</t>
        </is>
      </c>
      <c r="L738">
        <v>19595</v>
      </c>
      <c r="M738">
        <v>3457</v>
      </c>
      <c r="N738">
        <v>368</v>
      </c>
      <c r="O738">
        <v>500</v>
      </c>
      <c r="P738">
        <v>0</v>
      </c>
      <c r="Q738">
        <v>0.714</v>
      </c>
      <c r="R738">
        <v>19595</v>
      </c>
      <c r="S738">
        <v>3457</v>
      </c>
      <c r="T738">
        <v>226</v>
      </c>
      <c r="U738">
        <v>0.44</v>
      </c>
      <c r="V738">
        <v>500</v>
      </c>
      <c r="W738">
        <v>0.714</v>
      </c>
      <c r="X738">
        <v>0</v>
      </c>
      <c r="Y738">
        <v>25.52</v>
      </c>
      <c r="Z738">
        <v>1.36</v>
      </c>
      <c r="AA738">
        <v>0</v>
      </c>
      <c r="AB738">
        <v>0</v>
      </c>
      <c r="AC738">
        <v>0</v>
      </c>
      <c r="AD738">
        <v>0</v>
      </c>
      <c r="AE738">
        <v>0</v>
      </c>
      <c r="AF738">
        <v>0</v>
      </c>
      <c r="AG738">
        <v>0</v>
      </c>
      <c r="AH738">
        <v>0</v>
      </c>
      <c r="AI738">
        <v>0</v>
      </c>
      <c r="AJ738">
        <v>0</v>
      </c>
      <c r="AK738">
        <v>0</v>
      </c>
      <c r="AL738">
        <v>0</v>
      </c>
      <c r="AM738">
        <v>0</v>
      </c>
      <c r="AN738">
        <v>0</v>
      </c>
      <c r="AO738">
        <v>0</v>
      </c>
      <c r="AP738">
        <v>0.994</v>
      </c>
      <c r="AQ738">
        <v>0.322</v>
      </c>
      <c r="AR738">
        <v>0</v>
      </c>
      <c r="AS738" s="3">
        <v>46107.77355324074</v>
      </c>
    </row>
    <row r="739" ht="25.5" customHeight="1">
      <c r="A739" t="inlineStr">
        <is>
          <t>570eee0aaed7581f8a390e5c</t>
        </is>
      </c>
      <c r="B739" s="2" t="str">
        <f>=HYPERLINK("https://www.xiaohongshu.com/user/profile/570eee0aaed7581f8a390e5c", "https://www.xiaohongshu.com/user/profile/570eee0aaed7581f8a390e5c")</f>
        <v>https://www.xiaohongshu.com/user/profile/570eee0aaed7581f8a390e5c</v>
      </c>
      <c r="C739" s="2" t="str">
        <f>=HYPERLINK("https://pgy.xiaohongshu.com/solar/pre-trade/blogger-detail/570eee0aaed7581f8a390e5c", "https://pgy.xiaohongshu.com/solar/pre-trade/blogger-detail/570eee0aaed7581f8a390e5c")</f>
        <v>https://pgy.xiaohongshu.com/solar/pre-trade/blogger-detail/570eee0aaed7581f8a390e5c</v>
      </c>
      <c r="D739" t="inlineStr">
        <is>
          <t>女</t>
        </is>
      </c>
      <c r="E739" t="inlineStr">
        <is>
          <t>613594029</t>
        </is>
      </c>
      <c r="F739" t="inlineStr">
        <is>
          <t>茶茶</t>
        </is>
      </c>
      <c r="G739" t="inlineStr">
        <is>
          <t>河南 许昌 襄城县</t>
        </is>
      </c>
      <c r="H739"/>
      <c r="I739" t="inlineStr">
        <is>
          <t>教育</t>
        </is>
      </c>
      <c r="J739">
        <v>12300</v>
      </c>
      <c r="K739" t="inlineStr">
        <is>
          <t>1.2</t>
        </is>
      </c>
      <c r="L739">
        <v>6269</v>
      </c>
      <c r="M739">
        <v>900</v>
      </c>
      <c r="N739">
        <v>271</v>
      </c>
      <c r="O739">
        <v>2500</v>
      </c>
      <c r="P739">
        <v>0</v>
      </c>
      <c r="Q739">
        <v>1</v>
      </c>
      <c r="R739">
        <v>6269</v>
      </c>
      <c r="S739">
        <v>900</v>
      </c>
      <c r="T739">
        <v>243</v>
      </c>
      <c r="U739">
        <v>3.08</v>
      </c>
      <c r="V739">
        <v>2500</v>
      </c>
      <c r="W739">
        <v>1</v>
      </c>
      <c r="X739">
        <v>0</v>
      </c>
      <c r="Y739">
        <v>398.79</v>
      </c>
      <c r="Z739">
        <v>9.23</v>
      </c>
      <c r="AA739">
        <v>0</v>
      </c>
      <c r="AB739">
        <v>0</v>
      </c>
      <c r="AC739">
        <v>0</v>
      </c>
      <c r="AD739">
        <v>0</v>
      </c>
      <c r="AE739">
        <v>0</v>
      </c>
      <c r="AF739">
        <v>0</v>
      </c>
      <c r="AG739">
        <v>0</v>
      </c>
      <c r="AH739">
        <v>0</v>
      </c>
      <c r="AI739">
        <v>0</v>
      </c>
      <c r="AJ739">
        <v>0</v>
      </c>
      <c r="AK739">
        <v>0</v>
      </c>
      <c r="AL739">
        <v>0</v>
      </c>
      <c r="AM739">
        <v>0</v>
      </c>
      <c r="AN739">
        <v>0</v>
      </c>
      <c r="AO739">
        <v>0</v>
      </c>
      <c r="AP739">
        <v>0.905</v>
      </c>
      <c r="AQ739">
        <v>0.021</v>
      </c>
      <c r="AR739">
        <v>0.012</v>
      </c>
      <c r="AS739" s="3">
        <v>46107.77355324074</v>
      </c>
    </row>
    <row r="740" ht="25.5" customHeight="1">
      <c r="A740" t="inlineStr">
        <is>
          <t>5cc8171b000000001101132a</t>
        </is>
      </c>
      <c r="B740" s="2" t="str">
        <f>=HYPERLINK("https://www.xiaohongshu.com/user/profile/5cc8171b000000001101132a", "https://www.xiaohongshu.com/user/profile/5cc8171b000000001101132a")</f>
        <v>https://www.xiaohongshu.com/user/profile/5cc8171b000000001101132a</v>
      </c>
      <c r="C740" s="2" t="str">
        <f>=HYPERLINK("https://pgy.xiaohongshu.com/solar/pre-trade/blogger-detail/5cc8171b000000001101132a", "https://pgy.xiaohongshu.com/solar/pre-trade/blogger-detail/5cc8171b000000001101132a")</f>
        <v>https://pgy.xiaohongshu.com/solar/pre-trade/blogger-detail/5cc8171b000000001101132a</v>
      </c>
      <c r="D740" t="inlineStr">
        <is>
          <t>男</t>
        </is>
      </c>
      <c r="E740" t="inlineStr">
        <is>
          <t>726102307</t>
        </is>
      </c>
      <c r="F740" t="inlineStr">
        <is>
          <t>马学界生存指要</t>
        </is>
      </c>
      <c r="G740" t="inlineStr">
        <is>
          <t>浙江 杭州 萧山区</t>
        </is>
      </c>
      <c r="H740"/>
      <c r="I740" t="inlineStr">
        <is>
          <t>兴趣爱好, 教育</t>
        </is>
      </c>
      <c r="J740">
        <v>9208</v>
      </c>
      <c r="K740" t="inlineStr">
        <is>
          <t>0.9</t>
        </is>
      </c>
      <c r="L740">
        <v>17735</v>
      </c>
      <c r="M740">
        <v>2588</v>
      </c>
      <c r="N740">
        <v>265</v>
      </c>
      <c r="O740">
        <v>400</v>
      </c>
      <c r="P740">
        <v>0.037</v>
      </c>
      <c r="Q740">
        <v>0.63</v>
      </c>
      <c r="R740">
        <v>17735</v>
      </c>
      <c r="S740">
        <v>2588</v>
      </c>
      <c r="T740">
        <v>208</v>
      </c>
      <c r="U740">
        <v>0.45</v>
      </c>
      <c r="V740">
        <v>400</v>
      </c>
      <c r="W740">
        <v>0.63</v>
      </c>
      <c r="X740">
        <v>0.037</v>
      </c>
      <c r="Y740">
        <v>21.93</v>
      </c>
      <c r="Z740">
        <v>1.45</v>
      </c>
      <c r="AA740">
        <v>0</v>
      </c>
      <c r="AB740">
        <v>0</v>
      </c>
      <c r="AC740">
        <v>0</v>
      </c>
      <c r="AD740">
        <v>0</v>
      </c>
      <c r="AE740">
        <v>900</v>
      </c>
      <c r="AF740">
        <v>0</v>
      </c>
      <c r="AG740">
        <v>0</v>
      </c>
      <c r="AH740">
        <v>0</v>
      </c>
      <c r="AI740">
        <v>0</v>
      </c>
      <c r="AJ740">
        <v>0</v>
      </c>
      <c r="AK740">
        <v>19301</v>
      </c>
      <c r="AL740">
        <v>2735</v>
      </c>
      <c r="AM740">
        <v>414</v>
      </c>
      <c r="AN740">
        <v>0</v>
      </c>
      <c r="AO740">
        <v>0</v>
      </c>
      <c r="AP740">
        <v>0.955</v>
      </c>
      <c r="AQ740">
        <v>0.205</v>
      </c>
      <c r="AR740">
        <v>0.111</v>
      </c>
      <c r="AS740" s="3">
        <v>46107.77355324074</v>
      </c>
    </row>
    <row r="741" ht="25.5" customHeight="1">
      <c r="A741" t="inlineStr">
        <is>
          <t>5c597b6b000000001101a329</t>
        </is>
      </c>
      <c r="B741" s="2" t="str">
        <f>=HYPERLINK("https://www.xiaohongshu.com/user/profile/5c597b6b000000001101a329", "https://www.xiaohongshu.com/user/profile/5c597b6b000000001101a329")</f>
        <v>https://www.xiaohongshu.com/user/profile/5c597b6b000000001101a329</v>
      </c>
      <c r="C741" s="2" t="str">
        <f>=HYPERLINK("https://pgy.xiaohongshu.com/solar/pre-trade/blogger-detail/5c597b6b000000001101a329", "https://pgy.xiaohongshu.com/solar/pre-trade/blogger-detail/5c597b6b000000001101a329")</f>
        <v>https://pgy.xiaohongshu.com/solar/pre-trade/blogger-detail/5c597b6b000000001101a329</v>
      </c>
      <c r="D741" t="inlineStr">
        <is>
          <t>女</t>
        </is>
      </c>
      <c r="E741" t="inlineStr">
        <is>
          <t>554792133</t>
        </is>
      </c>
      <c r="F741" t="inlineStr">
        <is>
          <t>元気小鸭🐤</t>
        </is>
      </c>
      <c r="G741" t="inlineStr">
        <is>
          <t>辽宁 大连 金州区</t>
        </is>
      </c>
      <c r="H741"/>
      <c r="I741" t="inlineStr">
        <is>
          <t>教育</t>
        </is>
      </c>
      <c r="J741">
        <v>1508</v>
      </c>
      <c r="K741" t="inlineStr">
        <is>
          <t>0.2</t>
        </is>
      </c>
      <c r="L741">
        <v>6139</v>
      </c>
      <c r="M741">
        <v>1278</v>
      </c>
      <c r="N741">
        <v>130</v>
      </c>
      <c r="O741">
        <v>226</v>
      </c>
      <c r="P741">
        <v>0</v>
      </c>
      <c r="Q741">
        <v>0.25</v>
      </c>
      <c r="R741">
        <v>6139</v>
      </c>
      <c r="S741">
        <v>1278</v>
      </c>
      <c r="T741">
        <v>90</v>
      </c>
      <c r="U741">
        <v>0.57</v>
      </c>
      <c r="V741">
        <v>226</v>
      </c>
      <c r="W741">
        <v>0.25</v>
      </c>
      <c r="X741">
        <v>0</v>
      </c>
      <c r="Y741">
        <v>54.42</v>
      </c>
      <c r="Z741">
        <v>2.63</v>
      </c>
      <c r="AA741">
        <v>0</v>
      </c>
      <c r="AB741">
        <v>0</v>
      </c>
      <c r="AC741">
        <v>0</v>
      </c>
      <c r="AD741">
        <v>0</v>
      </c>
      <c r="AE741">
        <v>397</v>
      </c>
      <c r="AF741">
        <v>0</v>
      </c>
      <c r="AG741">
        <v>0</v>
      </c>
      <c r="AH741">
        <v>0</v>
      </c>
      <c r="AI741">
        <v>0</v>
      </c>
      <c r="AJ741">
        <v>0</v>
      </c>
      <c r="AK741">
        <v>2393</v>
      </c>
      <c r="AL741">
        <v>423</v>
      </c>
      <c r="AM741">
        <v>15</v>
      </c>
      <c r="AN741">
        <v>0</v>
      </c>
      <c r="AO741">
        <v>0</v>
      </c>
      <c r="AP741">
        <v>0.895</v>
      </c>
      <c r="AQ741">
        <v>0.11</v>
      </c>
      <c r="AR741">
        <v>0.102</v>
      </c>
      <c r="AS741" s="3">
        <v>46107.77376157408</v>
      </c>
    </row>
    <row r="742" ht="25.5" customHeight="1">
      <c r="A742" t="inlineStr">
        <is>
          <t>651e2f9a00000000230261cb</t>
        </is>
      </c>
      <c r="B742" s="2" t="str">
        <f>=HYPERLINK("https://www.xiaohongshu.com/user/profile/651e2f9a00000000230261cb", "https://www.xiaohongshu.com/user/profile/651e2f9a00000000230261cb")</f>
        <v>https://www.xiaohongshu.com/user/profile/651e2f9a00000000230261cb</v>
      </c>
      <c r="C742" s="2" t="str">
        <f>=HYPERLINK("https://pgy.xiaohongshu.com/solar/pre-trade/blogger-detail/651e2f9a00000000230261cb", "https://pgy.xiaohongshu.com/solar/pre-trade/blogger-detail/651e2f9a00000000230261cb")</f>
        <v>https://pgy.xiaohongshu.com/solar/pre-trade/blogger-detail/651e2f9a00000000230261cb</v>
      </c>
      <c r="D742" t="inlineStr">
        <is>
          <t>男</t>
        </is>
      </c>
      <c r="E742" t="inlineStr">
        <is>
          <t>5954180975</t>
        </is>
      </c>
      <c r="F742" t="inlineStr">
        <is>
          <t>Javens</t>
        </is>
      </c>
      <c r="G742" t="inlineStr">
        <is>
          <t>山东 潍坊 潍城区</t>
        </is>
      </c>
      <c r="H742"/>
      <c r="I742" t="inlineStr">
        <is>
          <t>教育</t>
        </is>
      </c>
      <c r="J742">
        <v>2582</v>
      </c>
      <c r="K742" t="inlineStr">
        <is>
          <t>0.3</t>
        </is>
      </c>
      <c r="L742">
        <v>24640</v>
      </c>
      <c r="M742">
        <v>7477</v>
      </c>
      <c r="N742">
        <v>1085</v>
      </c>
      <c r="O742">
        <v>199</v>
      </c>
      <c r="P742">
        <v>0.455</v>
      </c>
      <c r="Q742">
        <v>0.636</v>
      </c>
      <c r="R742">
        <v>24640</v>
      </c>
      <c r="S742">
        <v>7477</v>
      </c>
      <c r="T742">
        <v>908</v>
      </c>
      <c r="U742">
        <v>0.33</v>
      </c>
      <c r="V742">
        <v>199</v>
      </c>
      <c r="W742">
        <v>0.636</v>
      </c>
      <c r="X742">
        <v>0.455</v>
      </c>
      <c r="Y742">
        <v>8.08</v>
      </c>
      <c r="Z742">
        <v>0.18</v>
      </c>
      <c r="AA742">
        <v>0</v>
      </c>
      <c r="AB742">
        <v>0</v>
      </c>
      <c r="AC742">
        <v>0</v>
      </c>
      <c r="AD742">
        <v>0</v>
      </c>
      <c r="AE742">
        <v>425</v>
      </c>
      <c r="AF742">
        <v>0</v>
      </c>
      <c r="AG742">
        <v>0</v>
      </c>
      <c r="AH742">
        <v>0</v>
      </c>
      <c r="AI742">
        <v>0</v>
      </c>
      <c r="AJ742">
        <v>0</v>
      </c>
      <c r="AK742">
        <v>0</v>
      </c>
      <c r="AL742">
        <v>0</v>
      </c>
      <c r="AM742">
        <v>0</v>
      </c>
      <c r="AN742">
        <v>0</v>
      </c>
      <c r="AO742">
        <v>0</v>
      </c>
      <c r="AP742">
        <v>0.978</v>
      </c>
      <c r="AQ742">
        <v>0.564</v>
      </c>
      <c r="AR742">
        <v>0</v>
      </c>
      <c r="AS742" s="3">
        <v>46107.77376157408</v>
      </c>
    </row>
    <row r="743" ht="25.5" customHeight="1">
      <c r="A743" t="inlineStr">
        <is>
          <t>65f55fbd000000000600c163</t>
        </is>
      </c>
      <c r="B743" s="2" t="str">
        <f>=HYPERLINK("https://www.xiaohongshu.com/user/profile/65f55fbd000000000600c163", "https://www.xiaohongshu.com/user/profile/65f55fbd000000000600c163")</f>
        <v>https://www.xiaohongshu.com/user/profile/65f55fbd000000000600c163</v>
      </c>
      <c r="C743" s="2" t="str">
        <f>=HYPERLINK("https://pgy.xiaohongshu.com/solar/pre-trade/blogger-detail/65f55fbd000000000600c163", "https://pgy.xiaohongshu.com/solar/pre-trade/blogger-detail/65f55fbd000000000600c163")</f>
        <v>https://pgy.xiaohongshu.com/solar/pre-trade/blogger-detail/65f55fbd000000000600c163</v>
      </c>
      <c r="D743" t="inlineStr">
        <is>
          <t>女</t>
        </is>
      </c>
      <c r="E743" t="inlineStr">
        <is>
          <t>11828727948</t>
        </is>
      </c>
      <c r="F743" t="inlineStr">
        <is>
          <t>Miss怪</t>
        </is>
      </c>
      <c r="G743" t="inlineStr">
        <is>
          <t>广东 深圳 坪山区</t>
        </is>
      </c>
      <c r="H743"/>
      <c r="I743" t="inlineStr">
        <is>
          <t>兴趣爱好, 教育</t>
        </is>
      </c>
      <c r="J743">
        <v>8741</v>
      </c>
      <c r="K743" t="inlineStr">
        <is>
          <t>0.9</t>
        </is>
      </c>
      <c r="L743">
        <v>66712</v>
      </c>
      <c r="M743">
        <v>19813</v>
      </c>
      <c r="N743">
        <v>736</v>
      </c>
      <c r="O743">
        <v>500</v>
      </c>
      <c r="P743">
        <v>0.353</v>
      </c>
      <c r="Q743">
        <v>0.882</v>
      </c>
      <c r="R743">
        <v>66712</v>
      </c>
      <c r="S743">
        <v>19813</v>
      </c>
      <c r="T743">
        <v>686</v>
      </c>
      <c r="U743">
        <v>0.33</v>
      </c>
      <c r="V743">
        <v>500</v>
      </c>
      <c r="W743">
        <v>0.882</v>
      </c>
      <c r="X743">
        <v>0.353</v>
      </c>
      <c r="Y743">
        <v>7.49</v>
      </c>
      <c r="Z743">
        <v>0.68</v>
      </c>
      <c r="AA743">
        <v>0</v>
      </c>
      <c r="AB743">
        <v>0</v>
      </c>
      <c r="AC743">
        <v>0</v>
      </c>
      <c r="AD743">
        <v>0</v>
      </c>
      <c r="AE743">
        <v>750</v>
      </c>
      <c r="AF743">
        <v>0</v>
      </c>
      <c r="AG743">
        <v>0</v>
      </c>
      <c r="AH743">
        <v>0</v>
      </c>
      <c r="AI743">
        <v>0</v>
      </c>
      <c r="AJ743">
        <v>0</v>
      </c>
      <c r="AK743">
        <v>0</v>
      </c>
      <c r="AL743">
        <v>0</v>
      </c>
      <c r="AM743">
        <v>0</v>
      </c>
      <c r="AN743">
        <v>0</v>
      </c>
      <c r="AO743">
        <v>0</v>
      </c>
      <c r="AP743">
        <v>0.927</v>
      </c>
      <c r="AQ743">
        <v>0.139</v>
      </c>
      <c r="AR743">
        <v>0.133</v>
      </c>
      <c r="AS743" s="3">
        <v>46107.77376157408</v>
      </c>
    </row>
    <row r="744" ht="25.5" customHeight="1">
      <c r="A744" t="inlineStr">
        <is>
          <t>5f2c883f000000000101d54f</t>
        </is>
      </c>
      <c r="B744" s="2" t="str">
        <f>=HYPERLINK("https://www.xiaohongshu.com/user/profile/5f2c883f000000000101d54f", "https://www.xiaohongshu.com/user/profile/5f2c883f000000000101d54f")</f>
        <v>https://www.xiaohongshu.com/user/profile/5f2c883f000000000101d54f</v>
      </c>
      <c r="C744" s="2" t="str">
        <f>=HYPERLINK("https://pgy.xiaohongshu.com/solar/pre-trade/blogger-detail/5f2c883f000000000101d54f", "https://pgy.xiaohongshu.com/solar/pre-trade/blogger-detail/5f2c883f000000000101d54f")</f>
        <v>https://pgy.xiaohongshu.com/solar/pre-trade/blogger-detail/5f2c883f000000000101d54f</v>
      </c>
      <c r="D744" t="inlineStr">
        <is>
          <t>女</t>
        </is>
      </c>
      <c r="E744" t="inlineStr">
        <is>
          <t>852489704</t>
        </is>
      </c>
      <c r="F744" t="inlineStr">
        <is>
          <t>是小鱼也是小余</t>
        </is>
      </c>
      <c r="G744" t="inlineStr">
        <is>
          <t>北京</t>
        </is>
      </c>
      <c r="H744" t="inlineStr">
        <is>
          <t>学生</t>
        </is>
      </c>
      <c r="I744" t="inlineStr">
        <is>
          <t>职场, 生活记录</t>
        </is>
      </c>
      <c r="J744">
        <v>9041</v>
      </c>
      <c r="K744" t="inlineStr">
        <is>
          <t>0.9</t>
        </is>
      </c>
      <c r="L744">
        <v>7104</v>
      </c>
      <c r="M744">
        <v>1236</v>
      </c>
      <c r="N744">
        <v>102</v>
      </c>
      <c r="O744">
        <v>1500</v>
      </c>
      <c r="P744">
        <v>0</v>
      </c>
      <c r="Q744">
        <v>0</v>
      </c>
      <c r="R744">
        <v>5947</v>
      </c>
      <c r="S744">
        <v>1006</v>
      </c>
      <c r="T744">
        <v>98</v>
      </c>
      <c r="U744">
        <v>1.51</v>
      </c>
      <c r="V744">
        <v>1500</v>
      </c>
      <c r="W744">
        <v>0</v>
      </c>
      <c r="X744">
        <v>0</v>
      </c>
      <c r="Y744">
        <v>211.13</v>
      </c>
      <c r="Z744">
        <v>14.71</v>
      </c>
      <c r="AA744">
        <v>13399</v>
      </c>
      <c r="AB744">
        <v>2133</v>
      </c>
      <c r="AC744">
        <v>117</v>
      </c>
      <c r="AD744">
        <v>2.53</v>
      </c>
      <c r="AE744">
        <v>2200</v>
      </c>
      <c r="AF744">
        <v>0</v>
      </c>
      <c r="AG744">
        <v>0</v>
      </c>
      <c r="AH744">
        <v>0.297</v>
      </c>
      <c r="AI744">
        <v>164.19</v>
      </c>
      <c r="AJ744">
        <v>16.92</v>
      </c>
      <c r="AK744">
        <v>20124</v>
      </c>
      <c r="AL744">
        <v>2720</v>
      </c>
      <c r="AM744">
        <v>113</v>
      </c>
      <c r="AN744">
        <v>0</v>
      </c>
      <c r="AO744">
        <v>0</v>
      </c>
      <c r="AP744">
        <v>0.804</v>
      </c>
      <c r="AQ744">
        <v>0.038</v>
      </c>
      <c r="AR744">
        <v>0.01</v>
      </c>
      <c r="AS744" s="3">
        <v>46107.77376157408</v>
      </c>
    </row>
    <row r="745" ht="25.5" customHeight="1">
      <c r="A745" t="inlineStr">
        <is>
          <t>5e52875a000000000100a720</t>
        </is>
      </c>
      <c r="B745" s="2" t="str">
        <f>=HYPERLINK("https://www.xiaohongshu.com/user/profile/5e52875a000000000100a720", "https://www.xiaohongshu.com/user/profile/5e52875a000000000100a720")</f>
        <v>https://www.xiaohongshu.com/user/profile/5e52875a000000000100a720</v>
      </c>
      <c r="C745" s="2" t="str">
        <f>=HYPERLINK("https://pgy.xiaohongshu.com/solar/pre-trade/blogger-detail/5e52875a000000000100a720", "https://pgy.xiaohongshu.com/solar/pre-trade/blogger-detail/5e52875a000000000100a720")</f>
        <v>https://pgy.xiaohongshu.com/solar/pre-trade/blogger-detail/5e52875a000000000100a720</v>
      </c>
      <c r="D745" t="inlineStr">
        <is>
          <t>男</t>
        </is>
      </c>
      <c r="E745" t="inlineStr">
        <is>
          <t>834349624</t>
        </is>
      </c>
      <c r="F745" t="inlineStr">
        <is>
          <t>Natsu</t>
        </is>
      </c>
      <c r="G745" t="inlineStr">
        <is>
          <t>上海</t>
        </is>
      </c>
      <c r="H745" t="inlineStr">
        <is>
          <t>留学背景</t>
        </is>
      </c>
      <c r="I745" t="inlineStr">
        <is>
          <t>教育</t>
        </is>
      </c>
      <c r="J745">
        <v>143503</v>
      </c>
      <c r="K745" t="inlineStr">
        <is>
          <t>14.4</t>
        </is>
      </c>
      <c r="L745">
        <v>27994</v>
      </c>
      <c r="M745">
        <v>9926</v>
      </c>
      <c r="N745">
        <v>1659</v>
      </c>
      <c r="O745">
        <v>17500</v>
      </c>
      <c r="P745">
        <v>1</v>
      </c>
      <c r="Q745">
        <v>1</v>
      </c>
      <c r="R745">
        <v>0</v>
      </c>
      <c r="S745">
        <v>0</v>
      </c>
      <c r="T745">
        <v>0</v>
      </c>
      <c r="U745">
        <v>0</v>
      </c>
      <c r="V745">
        <v>17500</v>
      </c>
      <c r="W745">
        <v>0</v>
      </c>
      <c r="X745">
        <v>0</v>
      </c>
      <c r="Y745">
        <v>0</v>
      </c>
      <c r="Z745">
        <v>0</v>
      </c>
      <c r="AA745">
        <v>27994</v>
      </c>
      <c r="AB745">
        <v>9926</v>
      </c>
      <c r="AC745">
        <v>1476</v>
      </c>
      <c r="AD745">
        <v>4.01</v>
      </c>
      <c r="AE745">
        <v>32000</v>
      </c>
      <c r="AF745">
        <v>1</v>
      </c>
      <c r="AG745">
        <v>1</v>
      </c>
      <c r="AH745">
        <v>0.104</v>
      </c>
      <c r="AI745">
        <v>1095.18</v>
      </c>
      <c r="AJ745">
        <v>17.3</v>
      </c>
      <c r="AK745">
        <v>34077</v>
      </c>
      <c r="AL745">
        <v>14024</v>
      </c>
      <c r="AM745">
        <v>2443</v>
      </c>
      <c r="AN745">
        <v>0</v>
      </c>
      <c r="AO745">
        <v>0</v>
      </c>
      <c r="AP745">
        <v>0.882</v>
      </c>
      <c r="AQ745">
        <v>0.035</v>
      </c>
      <c r="AR745">
        <v>0.006</v>
      </c>
      <c r="AS745" s="3">
        <v>46107.77376157408</v>
      </c>
    </row>
    <row r="746" ht="25.5" customHeight="1">
      <c r="A746" t="inlineStr">
        <is>
          <t>63f8d5f7000000001001f5dd</t>
        </is>
      </c>
      <c r="B746" s="2" t="str">
        <f>=HYPERLINK("https://www.xiaohongshu.com/user/profile/63f8d5f7000000001001f5dd", "https://www.xiaohongshu.com/user/profile/63f8d5f7000000001001f5dd")</f>
        <v>https://www.xiaohongshu.com/user/profile/63f8d5f7000000001001f5dd</v>
      </c>
      <c r="C746" s="2" t="str">
        <f>=HYPERLINK("https://pgy.xiaohongshu.com/solar/pre-trade/blogger-detail/63f8d5f7000000001001f5dd", "https://pgy.xiaohongshu.com/solar/pre-trade/blogger-detail/63f8d5f7000000001001f5dd")</f>
        <v>https://pgy.xiaohongshu.com/solar/pre-trade/blogger-detail/63f8d5f7000000001001f5dd</v>
      </c>
      <c r="D746" t="inlineStr">
        <is>
          <t>女</t>
        </is>
      </c>
      <c r="E746" t="inlineStr">
        <is>
          <t>2274767484</t>
        </is>
      </c>
      <c r="F746" t="inlineStr">
        <is>
          <t>糖醋排骨(努力版)</t>
        </is>
      </c>
      <c r="G746" t="inlineStr">
        <is>
          <t>湖南 湘潭 雨湖区</t>
        </is>
      </c>
      <c r="H746"/>
      <c r="I746" t="inlineStr">
        <is>
          <t>教育</t>
        </is>
      </c>
      <c r="J746">
        <v>1362</v>
      </c>
      <c r="K746" t="inlineStr">
        <is>
          <t>0.1</t>
        </is>
      </c>
      <c r="L746">
        <v>3152</v>
      </c>
      <c r="M746">
        <v>1595</v>
      </c>
      <c r="N746">
        <v>204</v>
      </c>
      <c r="O746">
        <v>243</v>
      </c>
      <c r="P746">
        <v>0.063</v>
      </c>
      <c r="Q746">
        <v>0.688</v>
      </c>
      <c r="R746">
        <v>317</v>
      </c>
      <c r="S746">
        <v>13</v>
      </c>
      <c r="T746">
        <v>2</v>
      </c>
      <c r="U746">
        <v>18.99</v>
      </c>
      <c r="V746">
        <v>243</v>
      </c>
      <c r="W746">
        <v>0</v>
      </c>
      <c r="X746">
        <v>0</v>
      </c>
      <c r="Y746">
        <v>766.56</v>
      </c>
      <c r="Z746">
        <v>121.5</v>
      </c>
      <c r="AA746">
        <v>3171</v>
      </c>
      <c r="AB746">
        <v>1707</v>
      </c>
      <c r="AC746">
        <v>194</v>
      </c>
      <c r="AD746">
        <v>1.76</v>
      </c>
      <c r="AE746">
        <v>446</v>
      </c>
      <c r="AF746">
        <v>0.733</v>
      </c>
      <c r="AG746">
        <v>0.067</v>
      </c>
      <c r="AH746">
        <v>0.236</v>
      </c>
      <c r="AI746">
        <v>140.65</v>
      </c>
      <c r="AJ746">
        <v>2.09</v>
      </c>
      <c r="AK746">
        <v>0</v>
      </c>
      <c r="AL746">
        <v>0</v>
      </c>
      <c r="AM746">
        <v>0</v>
      </c>
      <c r="AN746">
        <v>0</v>
      </c>
      <c r="AO746">
        <v>0</v>
      </c>
      <c r="AP746">
        <v>0.424</v>
      </c>
      <c r="AQ746">
        <v>0.027</v>
      </c>
      <c r="AR746">
        <v>0.0409999999999999</v>
      </c>
      <c r="AS746" s="3">
        <v>46107.77376157408</v>
      </c>
    </row>
    <row r="747" ht="25.5" customHeight="1">
      <c r="A747" t="inlineStr">
        <is>
          <t>61878a7e000000001000bf60</t>
        </is>
      </c>
      <c r="B747" s="2" t="str">
        <f>=HYPERLINK("https://www.xiaohongshu.com/user/profile/61878a7e000000001000bf60", "https://www.xiaohongshu.com/user/profile/61878a7e000000001000bf60")</f>
        <v>https://www.xiaohongshu.com/user/profile/61878a7e000000001000bf60</v>
      </c>
      <c r="C747" s="2" t="str">
        <f>=HYPERLINK("https://pgy.xiaohongshu.com/solar/pre-trade/blogger-detail/61878a7e000000001000bf60", "https://pgy.xiaohongshu.com/solar/pre-trade/blogger-detail/61878a7e000000001000bf60")</f>
        <v>https://pgy.xiaohongshu.com/solar/pre-trade/blogger-detail/61878a7e000000001000bf60</v>
      </c>
      <c r="D747" t="inlineStr">
        <is>
          <t>男</t>
        </is>
      </c>
      <c r="E747" t="inlineStr">
        <is>
          <t>April3felice</t>
        </is>
      </c>
      <c r="F747" t="inlineStr">
        <is>
          <t>萨礼赫</t>
        </is>
      </c>
      <c r="G747" t="inlineStr">
        <is>
          <t>意大利</t>
        </is>
      </c>
      <c r="H747" t="inlineStr">
        <is>
          <t>学生, 留学背景</t>
        </is>
      </c>
      <c r="I747" t="inlineStr">
        <is>
          <t>教育</t>
        </is>
      </c>
      <c r="J747">
        <v>117917</v>
      </c>
      <c r="K747" t="inlineStr">
        <is>
          <t>11.8</t>
        </is>
      </c>
      <c r="L747">
        <v>136089</v>
      </c>
      <c r="M747">
        <v>54767</v>
      </c>
      <c r="N747">
        <v>2083</v>
      </c>
      <c r="O747">
        <v>20000</v>
      </c>
      <c r="P747">
        <v>0.833</v>
      </c>
      <c r="Q747">
        <v>1</v>
      </c>
      <c r="R747">
        <v>0</v>
      </c>
      <c r="S747">
        <v>0</v>
      </c>
      <c r="T747">
        <v>0</v>
      </c>
      <c r="U747">
        <v>0</v>
      </c>
      <c r="V747">
        <v>20000</v>
      </c>
      <c r="W747">
        <v>0</v>
      </c>
      <c r="X747">
        <v>0</v>
      </c>
      <c r="Y747">
        <v>0</v>
      </c>
      <c r="Z747">
        <v>0</v>
      </c>
      <c r="AA747">
        <v>136089</v>
      </c>
      <c r="AB747">
        <v>54767</v>
      </c>
      <c r="AC747">
        <v>1978</v>
      </c>
      <c r="AD747">
        <v>1.83</v>
      </c>
      <c r="AE747">
        <v>20000</v>
      </c>
      <c r="AF747">
        <v>1</v>
      </c>
      <c r="AG747">
        <v>0.833</v>
      </c>
      <c r="AH747">
        <v>0.103</v>
      </c>
      <c r="AI747">
        <v>141.89</v>
      </c>
      <c r="AJ747">
        <v>8.77</v>
      </c>
      <c r="AK747">
        <v>292984</v>
      </c>
      <c r="AL747">
        <v>100691</v>
      </c>
      <c r="AM747">
        <v>3628</v>
      </c>
      <c r="AN747">
        <v>3976</v>
      </c>
      <c r="AO747">
        <v>5.07</v>
      </c>
      <c r="AP747">
        <v>0.914</v>
      </c>
      <c r="AQ747">
        <v>0.115999999999999</v>
      </c>
      <c r="AR747">
        <v>0.043</v>
      </c>
      <c r="AS747" s="3">
        <v>46107.77376157408</v>
      </c>
    </row>
    <row r="748" ht="25.5" customHeight="1">
      <c r="A748" t="inlineStr">
        <is>
          <t>62ec5eea000000001f0175f7</t>
        </is>
      </c>
      <c r="B748" s="2" t="str">
        <f>=HYPERLINK("https://www.xiaohongshu.com/user/profile/62ec5eea000000001f0175f7", "https://www.xiaohongshu.com/user/profile/62ec5eea000000001f0175f7")</f>
        <v>https://www.xiaohongshu.com/user/profile/62ec5eea000000001f0175f7</v>
      </c>
      <c r="C748" s="2" t="str">
        <f>=HYPERLINK("https://pgy.xiaohongshu.com/solar/pre-trade/blogger-detail/62ec5eea000000001f0175f7", "https://pgy.xiaohongshu.com/solar/pre-trade/blogger-detail/62ec5eea000000001f0175f7")</f>
        <v>https://pgy.xiaohongshu.com/solar/pre-trade/blogger-detail/62ec5eea000000001f0175f7</v>
      </c>
      <c r="D748" t="inlineStr">
        <is>
          <t>女</t>
        </is>
      </c>
      <c r="E748" t="inlineStr">
        <is>
          <t>2996097133</t>
        </is>
      </c>
      <c r="F748" t="inlineStr">
        <is>
          <t>Kayla🐨</t>
        </is>
      </c>
      <c r="G748" t="inlineStr">
        <is>
          <t>美国</t>
        </is>
      </c>
      <c r="H748" t="inlineStr">
        <is>
          <t>户外爱好者, 留学背景, 海外华人, 学生</t>
        </is>
      </c>
      <c r="I748" t="inlineStr">
        <is>
          <t>教育</t>
        </is>
      </c>
      <c r="J748">
        <v>7533</v>
      </c>
      <c r="K748" t="inlineStr">
        <is>
          <t>0.8</t>
        </is>
      </c>
      <c r="L748">
        <v>5038</v>
      </c>
      <c r="M748">
        <v>902</v>
      </c>
      <c r="N748">
        <v>115</v>
      </c>
      <c r="O748">
        <v>900</v>
      </c>
      <c r="P748">
        <v>0</v>
      </c>
      <c r="Q748">
        <v>0</v>
      </c>
      <c r="R748">
        <v>5038</v>
      </c>
      <c r="S748">
        <v>902</v>
      </c>
      <c r="T748">
        <v>105</v>
      </c>
      <c r="U748">
        <v>1.3</v>
      </c>
      <c r="V748">
        <v>900</v>
      </c>
      <c r="W748">
        <v>0</v>
      </c>
      <c r="X748">
        <v>0</v>
      </c>
      <c r="Y748">
        <v>178.64</v>
      </c>
      <c r="Z748">
        <v>7.83</v>
      </c>
      <c r="AA748">
        <v>0</v>
      </c>
      <c r="AB748">
        <v>0</v>
      </c>
      <c r="AC748">
        <v>0</v>
      </c>
      <c r="AD748">
        <v>0</v>
      </c>
      <c r="AE748">
        <v>1400</v>
      </c>
      <c r="AF748">
        <v>0</v>
      </c>
      <c r="AG748">
        <v>0</v>
      </c>
      <c r="AH748">
        <v>0</v>
      </c>
      <c r="AI748">
        <v>0</v>
      </c>
      <c r="AJ748">
        <v>0</v>
      </c>
      <c r="AK748">
        <v>0</v>
      </c>
      <c r="AL748">
        <v>0</v>
      </c>
      <c r="AM748">
        <v>0</v>
      </c>
      <c r="AN748">
        <v>0</v>
      </c>
      <c r="AO748">
        <v>0</v>
      </c>
      <c r="AP748">
        <v>0.932</v>
      </c>
      <c r="AQ748">
        <v>0.021</v>
      </c>
      <c r="AR748">
        <v>0.004</v>
      </c>
      <c r="AS748" s="3">
        <v>46107.77376157408</v>
      </c>
    </row>
    <row r="749" ht="25.5" customHeight="1">
      <c r="A749" t="inlineStr">
        <is>
          <t>61502016000000001f0375a0</t>
        </is>
      </c>
      <c r="B749" s="2" t="str">
        <f>=HYPERLINK("https://www.xiaohongshu.com/user/profile/61502016000000001f0375a0", "https://www.xiaohongshu.com/user/profile/61502016000000001f0375a0")</f>
        <v>https://www.xiaohongshu.com/user/profile/61502016000000001f0375a0</v>
      </c>
      <c r="C749" s="2" t="str">
        <f>=HYPERLINK("https://pgy.xiaohongshu.com/solar/pre-trade/blogger-detail/61502016000000001f0375a0", "https://pgy.xiaohongshu.com/solar/pre-trade/blogger-detail/61502016000000001f0375a0")</f>
        <v>https://pgy.xiaohongshu.com/solar/pre-trade/blogger-detail/61502016000000001f0375a0</v>
      </c>
      <c r="D749" t="inlineStr">
        <is>
          <t>女</t>
        </is>
      </c>
      <c r="E749" t="inlineStr">
        <is>
          <t>1874294967</t>
        </is>
      </c>
      <c r="F749" t="inlineStr">
        <is>
          <t>bpoenmmyz</t>
        </is>
      </c>
      <c r="G749" t="inlineStr">
        <is>
          <t>山东 济宁 任城区</t>
        </is>
      </c>
      <c r="H749"/>
      <c r="I749" t="inlineStr">
        <is>
          <t>教育, 生活记录</t>
        </is>
      </c>
      <c r="J749">
        <v>4141</v>
      </c>
      <c r="K749" t="inlineStr">
        <is>
          <t>0.4</t>
        </is>
      </c>
      <c r="L749">
        <v>102345</v>
      </c>
      <c r="M749">
        <v>18219</v>
      </c>
      <c r="N749">
        <v>1849</v>
      </c>
      <c r="O749">
        <v>200</v>
      </c>
      <c r="P749">
        <v>0.5</v>
      </c>
      <c r="Q749">
        <v>0.5</v>
      </c>
      <c r="R749">
        <v>0</v>
      </c>
      <c r="S749">
        <v>0</v>
      </c>
      <c r="T749">
        <v>0</v>
      </c>
      <c r="U749">
        <v>0</v>
      </c>
      <c r="V749">
        <v>200</v>
      </c>
      <c r="W749">
        <v>0</v>
      </c>
      <c r="X749">
        <v>0</v>
      </c>
      <c r="Y749">
        <v>0</v>
      </c>
      <c r="Z749">
        <v>0</v>
      </c>
      <c r="AA749">
        <v>102345</v>
      </c>
      <c r="AB749">
        <v>18219</v>
      </c>
      <c r="AC749">
        <v>1583</v>
      </c>
      <c r="AD749">
        <v>1.52</v>
      </c>
      <c r="AE749">
        <v>400</v>
      </c>
      <c r="AF749">
        <v>0.5</v>
      </c>
      <c r="AG749">
        <v>0.5</v>
      </c>
      <c r="AH749">
        <v>0.027</v>
      </c>
      <c r="AI749">
        <v>3.91</v>
      </c>
      <c r="AJ749">
        <v>0.22</v>
      </c>
      <c r="AK749">
        <v>0</v>
      </c>
      <c r="AL749">
        <v>0</v>
      </c>
      <c r="AM749">
        <v>0</v>
      </c>
      <c r="AN749">
        <v>0</v>
      </c>
      <c r="AO749">
        <v>0</v>
      </c>
      <c r="AP749">
        <v>0.888</v>
      </c>
      <c r="AQ749">
        <v>0.103</v>
      </c>
      <c r="AR749">
        <v>0.153</v>
      </c>
      <c r="AS749" s="3">
        <v>46107.77376157408</v>
      </c>
    </row>
    <row r="750" ht="25.5" customHeight="1">
      <c r="A750" t="inlineStr">
        <is>
          <t>610ab912000000000101527d</t>
        </is>
      </c>
      <c r="B750" s="2" t="str">
        <f>=HYPERLINK("https://www.xiaohongshu.com/user/profile/610ab912000000000101527d", "https://www.xiaohongshu.com/user/profile/610ab912000000000101527d")</f>
        <v>https://www.xiaohongshu.com/user/profile/610ab912000000000101527d</v>
      </c>
      <c r="C750" s="2" t="str">
        <f>=HYPERLINK("https://pgy.xiaohongshu.com/solar/pre-trade/blogger-detail/610ab912000000000101527d", "https://pgy.xiaohongshu.com/solar/pre-trade/blogger-detail/610ab912000000000101527d")</f>
        <v>https://pgy.xiaohongshu.com/solar/pre-trade/blogger-detail/610ab912000000000101527d</v>
      </c>
      <c r="D750" t="inlineStr">
        <is>
          <t>女</t>
        </is>
      </c>
      <c r="E750" t="inlineStr">
        <is>
          <t>9438160587</t>
        </is>
      </c>
      <c r="F750" t="inlineStr">
        <is>
          <t>小脏英语学习室 : )</t>
        </is>
      </c>
      <c r="G750" t="inlineStr">
        <is>
          <t>上海</t>
        </is>
      </c>
      <c r="H750"/>
      <c r="I750" t="inlineStr">
        <is>
          <t>教育</t>
        </is>
      </c>
      <c r="J750">
        <v>12441</v>
      </c>
      <c r="K750" t="inlineStr">
        <is>
          <t>1.2</t>
        </is>
      </c>
      <c r="L750">
        <v>5989</v>
      </c>
      <c r="M750">
        <v>2069</v>
      </c>
      <c r="N750">
        <v>322</v>
      </c>
      <c r="O750">
        <v>200</v>
      </c>
      <c r="P750">
        <v>0</v>
      </c>
      <c r="Q750">
        <v>0.739</v>
      </c>
      <c r="R750">
        <v>0</v>
      </c>
      <c r="S750">
        <v>0</v>
      </c>
      <c r="T750">
        <v>0</v>
      </c>
      <c r="U750">
        <v>0</v>
      </c>
      <c r="V750">
        <v>200</v>
      </c>
      <c r="W750">
        <v>0</v>
      </c>
      <c r="X750">
        <v>0</v>
      </c>
      <c r="Y750">
        <v>0</v>
      </c>
      <c r="Z750">
        <v>0</v>
      </c>
      <c r="AA750">
        <v>5989</v>
      </c>
      <c r="AB750">
        <v>2069</v>
      </c>
      <c r="AC750">
        <v>256</v>
      </c>
      <c r="AD750">
        <v>1.81</v>
      </c>
      <c r="AE750">
        <v>650</v>
      </c>
      <c r="AF750">
        <v>0.739</v>
      </c>
      <c r="AG750">
        <v>0</v>
      </c>
      <c r="AH750">
        <v>0.214</v>
      </c>
      <c r="AI750">
        <v>108.53</v>
      </c>
      <c r="AJ750">
        <v>2.02</v>
      </c>
      <c r="AK750">
        <v>0</v>
      </c>
      <c r="AL750">
        <v>0</v>
      </c>
      <c r="AM750">
        <v>0</v>
      </c>
      <c r="AN750">
        <v>0</v>
      </c>
      <c r="AO750">
        <v>0</v>
      </c>
      <c r="AP750">
        <v>0.89</v>
      </c>
      <c r="AQ750">
        <v>0.087</v>
      </c>
      <c r="AR750">
        <v>0.102</v>
      </c>
      <c r="AS750" s="3">
        <v>46107.77376157408</v>
      </c>
    </row>
    <row r="751" ht="25.5" customHeight="1">
      <c r="A751" t="inlineStr">
        <is>
          <t>606b187b00000000010017b4</t>
        </is>
      </c>
      <c r="B751" s="2" t="str">
        <f>=HYPERLINK("https://www.xiaohongshu.com/user/profile/606b187b00000000010017b4", "https://www.xiaohongshu.com/user/profile/606b187b00000000010017b4")</f>
        <v>https://www.xiaohongshu.com/user/profile/606b187b00000000010017b4</v>
      </c>
      <c r="C751" s="2" t="str">
        <f>=HYPERLINK("https://pgy.xiaohongshu.com/solar/pre-trade/blogger-detail/606b187b00000000010017b4", "https://pgy.xiaohongshu.com/solar/pre-trade/blogger-detail/606b187b00000000010017b4")</f>
        <v>https://pgy.xiaohongshu.com/solar/pre-trade/blogger-detail/606b187b00000000010017b4</v>
      </c>
      <c r="D751" t="inlineStr">
        <is>
          <t>女</t>
        </is>
      </c>
      <c r="E751" t="inlineStr">
        <is>
          <t>2697145521</t>
        </is>
      </c>
      <c r="F751" t="inlineStr">
        <is>
          <t>困困岛</t>
        </is>
      </c>
      <c r="G751" t="inlineStr">
        <is>
          <t>江苏 南通 启东市</t>
        </is>
      </c>
      <c r="H751" t="inlineStr">
        <is>
          <t>二次元人群, 学生</t>
        </is>
      </c>
      <c r="I751" t="inlineStr">
        <is>
          <t>教育</t>
        </is>
      </c>
      <c r="J751">
        <v>4057</v>
      </c>
      <c r="K751" t="inlineStr">
        <is>
          <t>0.4</t>
        </is>
      </c>
      <c r="L751">
        <v>59430</v>
      </c>
      <c r="M751">
        <v>12034</v>
      </c>
      <c r="N751">
        <v>2550</v>
      </c>
      <c r="O751">
        <v>120</v>
      </c>
      <c r="P751">
        <v>0.579</v>
      </c>
      <c r="Q751">
        <v>0.895</v>
      </c>
      <c r="R751">
        <v>59981</v>
      </c>
      <c r="S751">
        <v>16515</v>
      </c>
      <c r="T751">
        <v>3029</v>
      </c>
      <c r="U751">
        <v>0.31</v>
      </c>
      <c r="V751">
        <v>120</v>
      </c>
      <c r="W751">
        <v>0.941</v>
      </c>
      <c r="X751">
        <v>0.647</v>
      </c>
      <c r="Y751">
        <v>2</v>
      </c>
      <c r="Z751">
        <v>0.04</v>
      </c>
      <c r="AA751">
        <v>9760</v>
      </c>
      <c r="AB751">
        <v>1455</v>
      </c>
      <c r="AC751">
        <v>148</v>
      </c>
      <c r="AD751">
        <v>1.74</v>
      </c>
      <c r="AE751">
        <v>350</v>
      </c>
      <c r="AF751">
        <v>0.5</v>
      </c>
      <c r="AG751">
        <v>0</v>
      </c>
      <c r="AH751">
        <v>0.125</v>
      </c>
      <c r="AI751">
        <v>35.86</v>
      </c>
      <c r="AJ751">
        <v>2.23</v>
      </c>
      <c r="AK751">
        <v>0</v>
      </c>
      <c r="AL751">
        <v>0</v>
      </c>
      <c r="AM751">
        <v>0</v>
      </c>
      <c r="AN751">
        <v>0</v>
      </c>
      <c r="AO751">
        <v>0</v>
      </c>
      <c r="AP751">
        <v>0.996</v>
      </c>
      <c r="AQ751">
        <v>0.633</v>
      </c>
      <c r="AR751">
        <v>0</v>
      </c>
      <c r="AS751" s="3">
        <v>46107.77376157408</v>
      </c>
    </row>
    <row r="752" ht="25.5" customHeight="1">
      <c r="A752" t="inlineStr">
        <is>
          <t>5c8d10140000000012007cc6</t>
        </is>
      </c>
      <c r="B752" s="2" t="str">
        <f>=HYPERLINK("https://www.xiaohongshu.com/user/profile/5c8d10140000000012007cc6", "https://www.xiaohongshu.com/user/profile/5c8d10140000000012007cc6")</f>
        <v>https://www.xiaohongshu.com/user/profile/5c8d10140000000012007cc6</v>
      </c>
      <c r="C752" s="2" t="str">
        <f>=HYPERLINK("https://pgy.xiaohongshu.com/solar/pre-trade/blogger-detail/5c8d10140000000012007cc6", "https://pgy.xiaohongshu.com/solar/pre-trade/blogger-detail/5c8d10140000000012007cc6")</f>
        <v>https://pgy.xiaohongshu.com/solar/pre-trade/blogger-detail/5c8d10140000000012007cc6</v>
      </c>
      <c r="D752" t="inlineStr">
        <is>
          <t>女</t>
        </is>
      </c>
      <c r="E752" t="inlineStr">
        <is>
          <t>683425145</t>
        </is>
      </c>
      <c r="F752" t="inlineStr">
        <is>
          <t>never say neverfse</t>
        </is>
      </c>
      <c r="G752" t="inlineStr">
        <is>
          <t>山西 运城 盐湖区</t>
        </is>
      </c>
      <c r="H752" t="inlineStr">
        <is>
          <t>手账爱好者</t>
        </is>
      </c>
      <c r="I752" t="inlineStr">
        <is>
          <t>教育</t>
        </is>
      </c>
      <c r="J752">
        <v>5979</v>
      </c>
      <c r="K752" t="inlineStr">
        <is>
          <t>0.6</t>
        </is>
      </c>
      <c r="L752">
        <v>6723</v>
      </c>
      <c r="M752">
        <v>1456</v>
      </c>
      <c r="N752">
        <v>101</v>
      </c>
      <c r="O752">
        <v>450</v>
      </c>
      <c r="P752">
        <v>0</v>
      </c>
      <c r="Q752">
        <v>0.348</v>
      </c>
      <c r="R752">
        <v>5432</v>
      </c>
      <c r="S752">
        <v>1159</v>
      </c>
      <c r="T752">
        <v>43</v>
      </c>
      <c r="U752">
        <v>0.69</v>
      </c>
      <c r="V752">
        <v>450</v>
      </c>
      <c r="W752">
        <v>0.143</v>
      </c>
      <c r="X752">
        <v>0</v>
      </c>
      <c r="Y752">
        <v>82.84</v>
      </c>
      <c r="Z752">
        <v>7.5</v>
      </c>
      <c r="AA752">
        <v>9173</v>
      </c>
      <c r="AB752">
        <v>1721</v>
      </c>
      <c r="AC752">
        <v>104</v>
      </c>
      <c r="AD752">
        <v>1.98</v>
      </c>
      <c r="AE752">
        <v>820</v>
      </c>
      <c r="AF752">
        <v>0.437999999999999</v>
      </c>
      <c r="AG752">
        <v>0</v>
      </c>
      <c r="AH752">
        <v>0.06</v>
      </c>
      <c r="AI752">
        <v>89.39</v>
      </c>
      <c r="AJ752">
        <v>7.07</v>
      </c>
      <c r="AK752">
        <v>0</v>
      </c>
      <c r="AL752">
        <v>0</v>
      </c>
      <c r="AM752">
        <v>0</v>
      </c>
      <c r="AN752">
        <v>0</v>
      </c>
      <c r="AO752">
        <v>0</v>
      </c>
      <c r="AP752">
        <v>0.966</v>
      </c>
      <c r="AQ752">
        <v>0.124</v>
      </c>
      <c r="AR752">
        <v>0.06</v>
      </c>
      <c r="AS752" s="3">
        <v>46107.77376157408</v>
      </c>
    </row>
    <row r="753" ht="25.5" customHeight="1">
      <c r="A753" t="inlineStr">
        <is>
          <t>5c5ecb81000000001203d263</t>
        </is>
      </c>
      <c r="B753" s="2" t="str">
        <f>=HYPERLINK("https://www.xiaohongshu.com/user/profile/5c5ecb81000000001203d263", "https://www.xiaohongshu.com/user/profile/5c5ecb81000000001203d263")</f>
        <v>https://www.xiaohongshu.com/user/profile/5c5ecb81000000001203d263</v>
      </c>
      <c r="C753" s="2" t="str">
        <f>=HYPERLINK("https://pgy.xiaohongshu.com/solar/pre-trade/blogger-detail/5c5ecb81000000001203d263", "https://pgy.xiaohongshu.com/solar/pre-trade/blogger-detail/5c5ecb81000000001203d263")</f>
        <v>https://pgy.xiaohongshu.com/solar/pre-trade/blogger-detail/5c5ecb81000000001203d263</v>
      </c>
      <c r="D753" t="inlineStr">
        <is>
          <t>女</t>
        </is>
      </c>
      <c r="E753" t="inlineStr">
        <is>
          <t>741282204</t>
        </is>
      </c>
      <c r="F753" t="inlineStr">
        <is>
          <t>绿豆沙小姐</t>
        </is>
      </c>
      <c r="G753" t="inlineStr">
        <is>
          <t>澳大利亚</t>
        </is>
      </c>
      <c r="H753" t="inlineStr">
        <is>
          <t>萌娃, 妈妈, 留学背景, 摄影师</t>
        </is>
      </c>
      <c r="I753" t="inlineStr">
        <is>
          <t>出行旅游, 生活记录</t>
        </is>
      </c>
      <c r="J753">
        <v>112401</v>
      </c>
      <c r="K753" t="inlineStr">
        <is>
          <t>11.2</t>
        </is>
      </c>
      <c r="L753">
        <v>170687</v>
      </c>
      <c r="M753">
        <v>34179</v>
      </c>
      <c r="N753">
        <v>547</v>
      </c>
      <c r="O753">
        <v>11500</v>
      </c>
      <c r="P753">
        <v>0.25</v>
      </c>
      <c r="Q753">
        <v>0.5</v>
      </c>
      <c r="R753">
        <v>165585</v>
      </c>
      <c r="S753">
        <v>33805</v>
      </c>
      <c r="T753">
        <v>494</v>
      </c>
      <c r="U753">
        <v>0.64</v>
      </c>
      <c r="V753">
        <v>11500</v>
      </c>
      <c r="W753">
        <v>0.5</v>
      </c>
      <c r="X753">
        <v>0</v>
      </c>
      <c r="Y753">
        <v>69.45</v>
      </c>
      <c r="Z753">
        <v>21.02</v>
      </c>
      <c r="AA753">
        <v>1774733</v>
      </c>
      <c r="AB753">
        <v>286953</v>
      </c>
      <c r="AC753">
        <v>16753</v>
      </c>
      <c r="AD753">
        <v>1.55</v>
      </c>
      <c r="AE753">
        <v>13500</v>
      </c>
      <c r="AF753">
        <v>0.5</v>
      </c>
      <c r="AG753">
        <v>0.5</v>
      </c>
      <c r="AH753">
        <v>0.087</v>
      </c>
      <c r="AI753">
        <v>7.61</v>
      </c>
      <c r="AJ753">
        <v>0.71</v>
      </c>
      <c r="AK753">
        <v>0</v>
      </c>
      <c r="AL753">
        <v>0</v>
      </c>
      <c r="AM753">
        <v>0</v>
      </c>
      <c r="AN753">
        <v>0</v>
      </c>
      <c r="AO753">
        <v>0</v>
      </c>
      <c r="AP753">
        <v>0.629</v>
      </c>
      <c r="AQ753">
        <v>0.005</v>
      </c>
      <c r="AR753">
        <v>0.005</v>
      </c>
      <c r="AS753" s="3">
        <v>46107.77376157408</v>
      </c>
    </row>
    <row r="754" ht="25.5" customHeight="1">
      <c r="A754" t="inlineStr">
        <is>
          <t>5bfba1bb27150f0001c1e5a9</t>
        </is>
      </c>
      <c r="B754" s="2" t="str">
        <f>=HYPERLINK("https://www.xiaohongshu.com/user/profile/5bfba1bb27150f0001c1e5a9", "https://www.xiaohongshu.com/user/profile/5bfba1bb27150f0001c1e5a9")</f>
        <v>https://www.xiaohongshu.com/user/profile/5bfba1bb27150f0001c1e5a9</v>
      </c>
      <c r="C754" s="2" t="str">
        <f>=HYPERLINK("https://pgy.xiaohongshu.com/solar/pre-trade/blogger-detail/5bfba1bb27150f0001c1e5a9", "https://pgy.xiaohongshu.com/solar/pre-trade/blogger-detail/5bfba1bb27150f0001c1e5a9")</f>
        <v>https://pgy.xiaohongshu.com/solar/pre-trade/blogger-detail/5bfba1bb27150f0001c1e5a9</v>
      </c>
      <c r="D754" t="inlineStr">
        <is>
          <t>女</t>
        </is>
      </c>
      <c r="E754" t="inlineStr">
        <is>
          <t>291813068</t>
        </is>
      </c>
      <c r="F754" t="inlineStr">
        <is>
          <t>还不学英语是喵</t>
        </is>
      </c>
      <c r="G754" t="inlineStr">
        <is>
          <t>上海</t>
        </is>
      </c>
      <c r="H754"/>
      <c r="I754" t="inlineStr">
        <is>
          <t>教育</t>
        </is>
      </c>
      <c r="J754">
        <v>4283</v>
      </c>
      <c r="K754" t="inlineStr">
        <is>
          <t>0.4</t>
        </is>
      </c>
      <c r="L754">
        <v>7463</v>
      </c>
      <c r="M754">
        <v>1965</v>
      </c>
      <c r="N754">
        <v>306</v>
      </c>
      <c r="O754">
        <v>175</v>
      </c>
      <c r="P754">
        <v>0</v>
      </c>
      <c r="Q754">
        <v>0.5</v>
      </c>
      <c r="R754">
        <v>0</v>
      </c>
      <c r="S754">
        <v>0</v>
      </c>
      <c r="T754">
        <v>0</v>
      </c>
      <c r="U754">
        <v>0</v>
      </c>
      <c r="V754">
        <v>175</v>
      </c>
      <c r="W754">
        <v>0</v>
      </c>
      <c r="X754">
        <v>0</v>
      </c>
      <c r="Y754">
        <v>0</v>
      </c>
      <c r="Z754">
        <v>0</v>
      </c>
      <c r="AA754">
        <v>7463</v>
      </c>
      <c r="AB754">
        <v>1965</v>
      </c>
      <c r="AC754">
        <v>198</v>
      </c>
      <c r="AD754">
        <v>1.62</v>
      </c>
      <c r="AE754">
        <v>233</v>
      </c>
      <c r="AF754">
        <v>0.5</v>
      </c>
      <c r="AG754">
        <v>0</v>
      </c>
      <c r="AH754">
        <v>0.093</v>
      </c>
      <c r="AI754">
        <v>31.22</v>
      </c>
      <c r="AJ754">
        <v>0.76</v>
      </c>
      <c r="AK754">
        <v>0</v>
      </c>
      <c r="AL754">
        <v>0</v>
      </c>
      <c r="AM754">
        <v>0</v>
      </c>
      <c r="AN754">
        <v>0</v>
      </c>
      <c r="AO754">
        <v>0</v>
      </c>
      <c r="AP754">
        <v>0.994</v>
      </c>
      <c r="AQ754">
        <v>0.171</v>
      </c>
      <c r="AR754">
        <v>0</v>
      </c>
      <c r="AS754" s="3">
        <v>46107.77376157408</v>
      </c>
    </row>
    <row r="755" ht="25.5" customHeight="1">
      <c r="A755" t="inlineStr">
        <is>
          <t>5de216750000000001009dc2</t>
        </is>
      </c>
      <c r="B755" s="2" t="str">
        <f>=HYPERLINK("https://www.xiaohongshu.com/user/profile/5de216750000000001009dc2", "https://www.xiaohongshu.com/user/profile/5de216750000000001009dc2")</f>
        <v>https://www.xiaohongshu.com/user/profile/5de216750000000001009dc2</v>
      </c>
      <c r="C755" s="2" t="str">
        <f>=HYPERLINK("https://pgy.xiaohongshu.com/solar/pre-trade/blogger-detail/5de216750000000001009dc2", "https://pgy.xiaohongshu.com/solar/pre-trade/blogger-detail/5de216750000000001009dc2")</f>
        <v>https://pgy.xiaohongshu.com/solar/pre-trade/blogger-detail/5de216750000000001009dc2</v>
      </c>
      <c r="D755" t="inlineStr">
        <is>
          <t>男</t>
        </is>
      </c>
      <c r="E755" t="inlineStr">
        <is>
          <t>918518811</t>
        </is>
      </c>
      <c r="F755" t="inlineStr">
        <is>
          <t>考拉邦德</t>
        </is>
      </c>
      <c r="G755" t="inlineStr">
        <is>
          <t>广东 深圳 福田区</t>
        </is>
      </c>
      <c r="H755" t="inlineStr">
        <is>
          <t>考研过来人, 法考过来人, 学生</t>
        </is>
      </c>
      <c r="I755" t="inlineStr">
        <is>
          <t>教育</t>
        </is>
      </c>
      <c r="J755">
        <v>2703</v>
      </c>
      <c r="K755" t="inlineStr">
        <is>
          <t>0.3</t>
        </is>
      </c>
      <c r="L755">
        <v>10891</v>
      </c>
      <c r="M755">
        <v>1356</v>
      </c>
      <c r="N755">
        <v>365</v>
      </c>
      <c r="O755">
        <v>188</v>
      </c>
      <c r="P755">
        <v>0.133</v>
      </c>
      <c r="Q755">
        <v>0.733</v>
      </c>
      <c r="R755">
        <v>10332</v>
      </c>
      <c r="S755">
        <v>1279</v>
      </c>
      <c r="T755">
        <v>331</v>
      </c>
      <c r="U755">
        <v>0.45</v>
      </c>
      <c r="V755">
        <v>188</v>
      </c>
      <c r="W755">
        <v>0.714</v>
      </c>
      <c r="X755">
        <v>0.143</v>
      </c>
      <c r="Y755">
        <v>18.56</v>
      </c>
      <c r="Z755">
        <v>0.51</v>
      </c>
      <c r="AA755">
        <v>15829</v>
      </c>
      <c r="AB755">
        <v>1414</v>
      </c>
      <c r="AC755">
        <v>217</v>
      </c>
      <c r="AD755">
        <v>1.78</v>
      </c>
      <c r="AE755">
        <v>390</v>
      </c>
      <c r="AF755">
        <v>1</v>
      </c>
      <c r="AG755">
        <v>0</v>
      </c>
      <c r="AH755">
        <v>0.006</v>
      </c>
      <c r="AI755">
        <v>36.11</v>
      </c>
      <c r="AJ755">
        <v>1.49</v>
      </c>
      <c r="AK755">
        <v>0</v>
      </c>
      <c r="AL755">
        <v>0</v>
      </c>
      <c r="AM755">
        <v>0</v>
      </c>
      <c r="AN755">
        <v>0</v>
      </c>
      <c r="AO755">
        <v>0</v>
      </c>
      <c r="AP755">
        <v>0.997</v>
      </c>
      <c r="AQ755">
        <v>0.587</v>
      </c>
      <c r="AR755">
        <v>0</v>
      </c>
      <c r="AS755" s="3">
        <v>46107.77376157408</v>
      </c>
    </row>
    <row r="756" ht="25.5" customHeight="1">
      <c r="A756" t="inlineStr">
        <is>
          <t>5a8913a111be107b6d3e8b6d</t>
        </is>
      </c>
      <c r="B756" s="2" t="str">
        <f>=HYPERLINK("https://www.xiaohongshu.com/user/profile/5a8913a111be107b6d3e8b6d", "https://www.xiaohongshu.com/user/profile/5a8913a111be107b6d3e8b6d")</f>
        <v>https://www.xiaohongshu.com/user/profile/5a8913a111be107b6d3e8b6d</v>
      </c>
      <c r="C756" s="2" t="str">
        <f>=HYPERLINK("https://pgy.xiaohongshu.com/solar/pre-trade/blogger-detail/5a8913a111be107b6d3e8b6d", "https://pgy.xiaohongshu.com/solar/pre-trade/blogger-detail/5a8913a111be107b6d3e8b6d")</f>
        <v>https://pgy.xiaohongshu.com/solar/pre-trade/blogger-detail/5a8913a111be107b6d3e8b6d</v>
      </c>
      <c r="D756" t="inlineStr">
        <is>
          <t>女</t>
        </is>
      </c>
      <c r="E756" t="inlineStr">
        <is>
          <t>264887969</t>
        </is>
      </c>
      <c r="F756" t="inlineStr">
        <is>
          <t>小宋在读博</t>
        </is>
      </c>
      <c r="G756" t="inlineStr">
        <is>
          <t>北京</t>
        </is>
      </c>
      <c r="H756" t="inlineStr">
        <is>
          <t>学生</t>
        </is>
      </c>
      <c r="I756" t="inlineStr">
        <is>
          <t>教育, 文化艺术</t>
        </is>
      </c>
      <c r="J756">
        <v>26030</v>
      </c>
      <c r="K756" t="inlineStr">
        <is>
          <t>2.6</t>
        </is>
      </c>
      <c r="L756">
        <v>9633</v>
      </c>
      <c r="M756">
        <v>3254</v>
      </c>
      <c r="N756">
        <v>201</v>
      </c>
      <c r="O756">
        <v>1800</v>
      </c>
      <c r="P756">
        <v>0</v>
      </c>
      <c r="Q756">
        <v>0.5</v>
      </c>
      <c r="R756">
        <v>0</v>
      </c>
      <c r="S756">
        <v>0</v>
      </c>
      <c r="T756">
        <v>0</v>
      </c>
      <c r="U756">
        <v>0</v>
      </c>
      <c r="V756">
        <v>1800</v>
      </c>
      <c r="W756">
        <v>0</v>
      </c>
      <c r="X756">
        <v>0</v>
      </c>
      <c r="Y756">
        <v>0</v>
      </c>
      <c r="Z756">
        <v>0</v>
      </c>
      <c r="AA756">
        <v>9633</v>
      </c>
      <c r="AB756">
        <v>3254</v>
      </c>
      <c r="AC756">
        <v>140</v>
      </c>
      <c r="AD756">
        <v>2.33</v>
      </c>
      <c r="AE756">
        <v>2687</v>
      </c>
      <c r="AF756">
        <v>0.5</v>
      </c>
      <c r="AG756">
        <v>0</v>
      </c>
      <c r="AH756">
        <v>0.125</v>
      </c>
      <c r="AI756">
        <v>278.94</v>
      </c>
      <c r="AJ756">
        <v>13.33</v>
      </c>
      <c r="AK756">
        <v>0</v>
      </c>
      <c r="AL756">
        <v>0</v>
      </c>
      <c r="AM756">
        <v>0</v>
      </c>
      <c r="AN756">
        <v>0</v>
      </c>
      <c r="AO756">
        <v>0</v>
      </c>
      <c r="AP756">
        <v>0.920999999999999</v>
      </c>
      <c r="AQ756">
        <v>0.046</v>
      </c>
      <c r="AR756">
        <v>0.012</v>
      </c>
      <c r="AS756" s="3">
        <v>46107.77376157408</v>
      </c>
    </row>
    <row r="757" ht="25.5" customHeight="1">
      <c r="A757" t="inlineStr">
        <is>
          <t>6444cd4b000000002901628b</t>
        </is>
      </c>
      <c r="B757" s="2" t="str">
        <f>=HYPERLINK("https://www.xiaohongshu.com/user/profile/6444cd4b000000002901628b", "https://www.xiaohongshu.com/user/profile/6444cd4b000000002901628b")</f>
        <v>https://www.xiaohongshu.com/user/profile/6444cd4b000000002901628b</v>
      </c>
      <c r="C757" s="2" t="str">
        <f>=HYPERLINK("https://pgy.xiaohongshu.com/solar/pre-trade/blogger-detail/6444cd4b000000002901628b", "https://pgy.xiaohongshu.com/solar/pre-trade/blogger-detail/6444cd4b000000002901628b")</f>
        <v>https://pgy.xiaohongshu.com/solar/pre-trade/blogger-detail/6444cd4b000000002901628b</v>
      </c>
      <c r="D757" t="inlineStr">
        <is>
          <t>男</t>
        </is>
      </c>
      <c r="E757" t="inlineStr">
        <is>
          <t>9672087516</t>
        </is>
      </c>
      <c r="F757" t="inlineStr">
        <is>
          <t>数学治愈者</t>
        </is>
      </c>
      <c r="G757" t="inlineStr">
        <is>
          <t>重庆</t>
        </is>
      </c>
      <c r="H757" t="inlineStr">
        <is>
          <t>学生</t>
        </is>
      </c>
      <c r="I757" t="inlineStr">
        <is>
          <t>教育</t>
        </is>
      </c>
      <c r="J757">
        <v>12873</v>
      </c>
      <c r="K757" t="inlineStr">
        <is>
          <t>1.3</t>
        </is>
      </c>
      <c r="L757">
        <v>12738</v>
      </c>
      <c r="M757">
        <v>1764</v>
      </c>
      <c r="N757">
        <v>168</v>
      </c>
      <c r="O757">
        <v>1500</v>
      </c>
      <c r="P757">
        <v>0</v>
      </c>
      <c r="Q757">
        <v>0.385</v>
      </c>
      <c r="R757">
        <v>12738</v>
      </c>
      <c r="S757">
        <v>1764</v>
      </c>
      <c r="T757">
        <v>119</v>
      </c>
      <c r="U757">
        <v>1.15</v>
      </c>
      <c r="V757">
        <v>1500</v>
      </c>
      <c r="W757">
        <v>0.385</v>
      </c>
      <c r="X757">
        <v>0</v>
      </c>
      <c r="Y757">
        <v>117.76</v>
      </c>
      <c r="Z757">
        <v>8.93</v>
      </c>
      <c r="AA757">
        <v>0</v>
      </c>
      <c r="AB757">
        <v>0</v>
      </c>
      <c r="AC757">
        <v>0</v>
      </c>
      <c r="AD757">
        <v>0</v>
      </c>
      <c r="AE757">
        <v>0</v>
      </c>
      <c r="AF757">
        <v>0</v>
      </c>
      <c r="AG757">
        <v>0</v>
      </c>
      <c r="AH757">
        <v>0</v>
      </c>
      <c r="AI757">
        <v>0</v>
      </c>
      <c r="AJ757">
        <v>0</v>
      </c>
      <c r="AK757">
        <v>0</v>
      </c>
      <c r="AL757">
        <v>0</v>
      </c>
      <c r="AM757">
        <v>0</v>
      </c>
      <c r="AN757">
        <v>0</v>
      </c>
      <c r="AO757">
        <v>0</v>
      </c>
      <c r="AP757">
        <v>0.784</v>
      </c>
      <c r="AQ757">
        <v>0.055</v>
      </c>
      <c r="AR757">
        <v>0.025</v>
      </c>
      <c r="AS757" s="3">
        <v>46107.77376157408</v>
      </c>
    </row>
    <row r="758" ht="25.5" customHeight="1">
      <c r="A758" t="inlineStr">
        <is>
          <t>5e6ed8980000000001009f7a</t>
        </is>
      </c>
      <c r="B758" s="2" t="str">
        <f>=HYPERLINK("https://www.xiaohongshu.com/user/profile/5e6ed8980000000001009f7a", "https://www.xiaohongshu.com/user/profile/5e6ed8980000000001009f7a")</f>
        <v>https://www.xiaohongshu.com/user/profile/5e6ed8980000000001009f7a</v>
      </c>
      <c r="C758" s="2" t="str">
        <f>=HYPERLINK("https://pgy.xiaohongshu.com/solar/pre-trade/blogger-detail/5e6ed8980000000001009f7a", "https://pgy.xiaohongshu.com/solar/pre-trade/blogger-detail/5e6ed8980000000001009f7a")</f>
        <v>https://pgy.xiaohongshu.com/solar/pre-trade/blogger-detail/5e6ed8980000000001009f7a</v>
      </c>
      <c r="D758" t="inlineStr">
        <is>
          <t>女</t>
        </is>
      </c>
      <c r="E758" t="inlineStr">
        <is>
          <t>danny0920</t>
        </is>
      </c>
      <c r="F758" t="inlineStr">
        <is>
          <t>小叮当麻麻</t>
        </is>
      </c>
      <c r="G758" t="inlineStr">
        <is>
          <t>湖北 武汉 江夏区</t>
        </is>
      </c>
      <c r="H758" t="inlineStr">
        <is>
          <t>1-3岁, 妈妈, 萌娃, 留学背景</t>
        </is>
      </c>
      <c r="I758" t="inlineStr">
        <is>
          <t>出行旅游</t>
        </is>
      </c>
      <c r="J758">
        <v>3087</v>
      </c>
      <c r="K758" t="inlineStr">
        <is>
          <t>0.3</t>
        </is>
      </c>
      <c r="L758">
        <v>3540</v>
      </c>
      <c r="M758">
        <v>491</v>
      </c>
      <c r="N758">
        <v>176</v>
      </c>
      <c r="O758">
        <v>230</v>
      </c>
      <c r="P758">
        <v>0</v>
      </c>
      <c r="Q758">
        <v>0.417</v>
      </c>
      <c r="R758">
        <v>3574</v>
      </c>
      <c r="S758">
        <v>484</v>
      </c>
      <c r="T758">
        <v>169</v>
      </c>
      <c r="U758">
        <v>0.75</v>
      </c>
      <c r="V758">
        <v>230</v>
      </c>
      <c r="W758">
        <v>0.471</v>
      </c>
      <c r="X758">
        <v>0</v>
      </c>
      <c r="Y758">
        <v>58.47</v>
      </c>
      <c r="Z758">
        <v>1.11</v>
      </c>
      <c r="AA758">
        <v>2993</v>
      </c>
      <c r="AB758">
        <v>499</v>
      </c>
      <c r="AC758">
        <v>147</v>
      </c>
      <c r="AD758">
        <v>2.1</v>
      </c>
      <c r="AE758">
        <v>300</v>
      </c>
      <c r="AF758">
        <v>0.286</v>
      </c>
      <c r="AG758">
        <v>0</v>
      </c>
      <c r="AH758">
        <v>0.352</v>
      </c>
      <c r="AI758">
        <v>100.23</v>
      </c>
      <c r="AJ758">
        <v>1.73</v>
      </c>
      <c r="AK758">
        <v>17738</v>
      </c>
      <c r="AL758">
        <v>3368</v>
      </c>
      <c r="AM758">
        <v>288</v>
      </c>
      <c r="AN758">
        <v>0</v>
      </c>
      <c r="AO758">
        <v>0</v>
      </c>
      <c r="AP758">
        <v>0.758</v>
      </c>
      <c r="AQ758">
        <v>0.044</v>
      </c>
      <c r="AR758">
        <v>0.677999999999999</v>
      </c>
      <c r="AS758" s="3">
        <v>46107.77376157408</v>
      </c>
    </row>
    <row r="759" ht="25.5" customHeight="1">
      <c r="A759" t="inlineStr">
        <is>
          <t>6869e78b000000001d008d12</t>
        </is>
      </c>
      <c r="B759" s="2" t="str">
        <f>=HYPERLINK("https://www.xiaohongshu.com/user/profile/6869e78b000000001d008d12", "https://www.xiaohongshu.com/user/profile/6869e78b000000001d008d12")</f>
        <v>https://www.xiaohongshu.com/user/profile/6869e78b000000001d008d12</v>
      </c>
      <c r="C759" s="2" t="str">
        <f>=HYPERLINK("https://pgy.xiaohongshu.com/solar/pre-trade/blogger-detail/6869e78b000000001d008d12", "https://pgy.xiaohongshu.com/solar/pre-trade/blogger-detail/6869e78b000000001d008d12")</f>
        <v>https://pgy.xiaohongshu.com/solar/pre-trade/blogger-detail/6869e78b000000001d008d12</v>
      </c>
      <c r="D759" t="inlineStr">
        <is>
          <t>男</t>
        </is>
      </c>
      <c r="E759" t="inlineStr">
        <is>
          <t>49674096584</t>
        </is>
      </c>
      <c r="F759" t="inlineStr">
        <is>
          <t>Lena英语语料库</t>
        </is>
      </c>
      <c r="G759" t="inlineStr">
        <is>
          <t>重庆</t>
        </is>
      </c>
      <c r="H759"/>
      <c r="I759" t="inlineStr">
        <is>
          <t>教育</t>
        </is>
      </c>
      <c r="J759">
        <v>15244</v>
      </c>
      <c r="K759" t="inlineStr">
        <is>
          <t>1.5</t>
        </is>
      </c>
      <c r="L759">
        <v>6507</v>
      </c>
      <c r="M759">
        <v>1009</v>
      </c>
      <c r="N759">
        <v>120</v>
      </c>
      <c r="O759">
        <v>298</v>
      </c>
      <c r="P759">
        <v>0</v>
      </c>
      <c r="Q759">
        <v>0.263</v>
      </c>
      <c r="R759">
        <v>1</v>
      </c>
      <c r="S759">
        <v>1</v>
      </c>
      <c r="T759">
        <v>0</v>
      </c>
      <c r="U759">
        <v>35.36</v>
      </c>
      <c r="V759">
        <v>298</v>
      </c>
      <c r="W759">
        <v>0</v>
      </c>
      <c r="X759">
        <v>0</v>
      </c>
      <c r="Y759">
        <v>31368.42</v>
      </c>
      <c r="Z759">
        <v>0</v>
      </c>
      <c r="AA759">
        <v>6671</v>
      </c>
      <c r="AB759">
        <v>1011</v>
      </c>
      <c r="AC759">
        <v>93</v>
      </c>
      <c r="AD759">
        <v>2.28</v>
      </c>
      <c r="AE759">
        <v>788</v>
      </c>
      <c r="AF759">
        <v>0.278</v>
      </c>
      <c r="AG759">
        <v>0</v>
      </c>
      <c r="AH759">
        <v>0.273999999999999</v>
      </c>
      <c r="AI759">
        <v>118.12</v>
      </c>
      <c r="AJ759">
        <v>6.49</v>
      </c>
      <c r="AK759">
        <v>18</v>
      </c>
      <c r="AL759">
        <v>16</v>
      </c>
      <c r="AM759">
        <v>0</v>
      </c>
      <c r="AN759">
        <v>0</v>
      </c>
      <c r="AO759">
        <v>0</v>
      </c>
      <c r="AP759">
        <v>0.952</v>
      </c>
      <c r="AQ759">
        <v>0.039</v>
      </c>
      <c r="AR759">
        <v>0.053</v>
      </c>
      <c r="AS759" s="3">
        <v>46107.77376157408</v>
      </c>
    </row>
    <row r="760" ht="25.5" customHeight="1">
      <c r="A760" t="inlineStr">
        <is>
          <t>682c22e9000000000e01f0f2</t>
        </is>
      </c>
      <c r="B760" s="2" t="str">
        <f>=HYPERLINK("https://www.xiaohongshu.com/user/profile/682c22e9000000000e01f0f2", "https://www.xiaohongshu.com/user/profile/682c22e9000000000e01f0f2")</f>
        <v>https://www.xiaohongshu.com/user/profile/682c22e9000000000e01f0f2</v>
      </c>
      <c r="C760" s="2" t="str">
        <f>=HYPERLINK("https://pgy.xiaohongshu.com/solar/pre-trade/blogger-detail/682c22e9000000000e01f0f2", "https://pgy.xiaohongshu.com/solar/pre-trade/blogger-detail/682c22e9000000000e01f0f2")</f>
        <v>https://pgy.xiaohongshu.com/solar/pre-trade/blogger-detail/682c22e9000000000e01f0f2</v>
      </c>
      <c r="D760" t="inlineStr">
        <is>
          <t>女</t>
        </is>
      </c>
      <c r="E760" t="inlineStr">
        <is>
          <t>95073799020</t>
        </is>
      </c>
      <c r="F760" t="inlineStr">
        <is>
          <t>桃子学日语</t>
        </is>
      </c>
      <c r="G760" t="inlineStr">
        <is>
          <t>浙江 宁波 象山县</t>
        </is>
      </c>
      <c r="H760"/>
      <c r="I760" t="inlineStr">
        <is>
          <t>教育</t>
        </is>
      </c>
      <c r="J760">
        <v>1267</v>
      </c>
      <c r="K760" t="inlineStr">
        <is>
          <t>0.1</t>
        </is>
      </c>
      <c r="L760">
        <v>5005</v>
      </c>
      <c r="M760">
        <v>740</v>
      </c>
      <c r="N760">
        <v>195</v>
      </c>
      <c r="O760">
        <v>200</v>
      </c>
      <c r="P760">
        <v>0</v>
      </c>
      <c r="Q760">
        <v>0.357</v>
      </c>
      <c r="R760">
        <v>8113</v>
      </c>
      <c r="S760">
        <v>931</v>
      </c>
      <c r="T760">
        <v>197</v>
      </c>
      <c r="U760">
        <v>0.51</v>
      </c>
      <c r="V760">
        <v>200</v>
      </c>
      <c r="W760">
        <v>0.5</v>
      </c>
      <c r="X760">
        <v>0</v>
      </c>
      <c r="Y760">
        <v>24.65</v>
      </c>
      <c r="Z760">
        <v>0.84</v>
      </c>
      <c r="AA760">
        <v>2708</v>
      </c>
      <c r="AB760">
        <v>647</v>
      </c>
      <c r="AC760">
        <v>63</v>
      </c>
      <c r="AD760">
        <v>1.81</v>
      </c>
      <c r="AE760">
        <v>200</v>
      </c>
      <c r="AF760">
        <v>0</v>
      </c>
      <c r="AG760">
        <v>0</v>
      </c>
      <c r="AH760">
        <v>0.207</v>
      </c>
      <c r="AI760">
        <v>73.84</v>
      </c>
      <c r="AJ760">
        <v>1.95</v>
      </c>
      <c r="AK760">
        <v>0</v>
      </c>
      <c r="AL760">
        <v>0</v>
      </c>
      <c r="AM760">
        <v>0</v>
      </c>
      <c r="AN760">
        <v>0</v>
      </c>
      <c r="AO760">
        <v>0</v>
      </c>
      <c r="AP760">
        <v>0.993</v>
      </c>
      <c r="AQ760">
        <v>0.257</v>
      </c>
      <c r="AR760">
        <v>0</v>
      </c>
      <c r="AS760" s="3">
        <v>46107.77376157408</v>
      </c>
    </row>
    <row r="761" ht="25.5" customHeight="1">
      <c r="A761" t="inlineStr">
        <is>
          <t>5bb334cfdc30da0001bbb2ce</t>
        </is>
      </c>
      <c r="B761" s="2" t="str">
        <f>=HYPERLINK("https://www.xiaohongshu.com/user/profile/5bb334cfdc30da0001bbb2ce", "https://www.xiaohongshu.com/user/profile/5bb334cfdc30da0001bbb2ce")</f>
        <v>https://www.xiaohongshu.com/user/profile/5bb334cfdc30da0001bbb2ce</v>
      </c>
      <c r="C761" s="2" t="str">
        <f>=HYPERLINK("https://pgy.xiaohongshu.com/solar/pre-trade/blogger-detail/5bb334cfdc30da0001bbb2ce", "https://pgy.xiaohongshu.com/solar/pre-trade/blogger-detail/5bb334cfdc30da0001bbb2ce")</f>
        <v>https://pgy.xiaohongshu.com/solar/pre-trade/blogger-detail/5bb334cfdc30da0001bbb2ce</v>
      </c>
      <c r="D761" t="inlineStr">
        <is>
          <t>女</t>
        </is>
      </c>
      <c r="E761" t="inlineStr">
        <is>
          <t>CeciliaLee1208</t>
        </is>
      </c>
      <c r="F761" t="inlineStr">
        <is>
          <t>猫今天吃饭了吗</t>
        </is>
      </c>
      <c r="G761" t="inlineStr">
        <is>
          <t>新加坡</t>
        </is>
      </c>
      <c r="H761" t="inlineStr">
        <is>
          <t>留学背景</t>
        </is>
      </c>
      <c r="I761" t="inlineStr">
        <is>
          <t>美食</t>
        </is>
      </c>
      <c r="J761">
        <v>4578</v>
      </c>
      <c r="K761" t="inlineStr">
        <is>
          <t>0.5</t>
        </is>
      </c>
      <c r="L761">
        <v>9315</v>
      </c>
      <c r="M761">
        <v>1481</v>
      </c>
      <c r="N761">
        <v>239</v>
      </c>
      <c r="O761">
        <v>600</v>
      </c>
      <c r="P761">
        <v>0</v>
      </c>
      <c r="Q761">
        <v>0.654</v>
      </c>
      <c r="R761">
        <v>10135</v>
      </c>
      <c r="S761">
        <v>1383</v>
      </c>
      <c r="T761">
        <v>194</v>
      </c>
      <c r="U761">
        <v>0.73</v>
      </c>
      <c r="V761">
        <v>600</v>
      </c>
      <c r="W761">
        <v>0.667</v>
      </c>
      <c r="X761">
        <v>0</v>
      </c>
      <c r="Y761">
        <v>57.25</v>
      </c>
      <c r="Z761">
        <v>2.61</v>
      </c>
      <c r="AA761">
        <v>6237</v>
      </c>
      <c r="AB761">
        <v>1851</v>
      </c>
      <c r="AC761">
        <v>222</v>
      </c>
      <c r="AD761">
        <v>1.93</v>
      </c>
      <c r="AE761">
        <v>800</v>
      </c>
      <c r="AF761">
        <v>0.643</v>
      </c>
      <c r="AG761">
        <v>0</v>
      </c>
      <c r="AH761">
        <v>0.113</v>
      </c>
      <c r="AI761">
        <v>97.82</v>
      </c>
      <c r="AJ761">
        <v>3.16</v>
      </c>
      <c r="AK761">
        <v>11093</v>
      </c>
      <c r="AL761">
        <v>1420</v>
      </c>
      <c r="AM761">
        <v>188</v>
      </c>
      <c r="AN761">
        <v>0</v>
      </c>
      <c r="AO761">
        <v>0</v>
      </c>
      <c r="AP761">
        <v>0.813</v>
      </c>
      <c r="AQ761">
        <v>0.114</v>
      </c>
      <c r="AR761">
        <v>0.1</v>
      </c>
      <c r="AS761" s="3">
        <v>46107.7740162037</v>
      </c>
    </row>
    <row r="762" ht="25.5" customHeight="1">
      <c r="A762" t="inlineStr">
        <is>
          <t>5b1a84c1e8ac2b70e719bb01</t>
        </is>
      </c>
      <c r="B762" s="2" t="str">
        <f>=HYPERLINK("https://www.xiaohongshu.com/user/profile/5b1a84c1e8ac2b70e719bb01", "https://www.xiaohongshu.com/user/profile/5b1a84c1e8ac2b70e719bb01")</f>
        <v>https://www.xiaohongshu.com/user/profile/5b1a84c1e8ac2b70e719bb01</v>
      </c>
      <c r="C762" s="2" t="str">
        <f>=HYPERLINK("https://pgy.xiaohongshu.com/solar/pre-trade/blogger-detail/5b1a84c1e8ac2b70e719bb01", "https://pgy.xiaohongshu.com/solar/pre-trade/blogger-detail/5b1a84c1e8ac2b70e719bb01")</f>
        <v>https://pgy.xiaohongshu.com/solar/pre-trade/blogger-detail/5b1a84c1e8ac2b70e719bb01</v>
      </c>
      <c r="D762" t="inlineStr">
        <is>
          <t>男</t>
        </is>
      </c>
      <c r="E762" t="inlineStr">
        <is>
          <t>633862033</t>
        </is>
      </c>
      <c r="F762" t="inlineStr">
        <is>
          <t>alberttttt.zzz</t>
        </is>
      </c>
      <c r="G762" t="inlineStr">
        <is>
          <t>澳大利亚</t>
        </is>
      </c>
      <c r="H762" t="inlineStr">
        <is>
          <t>户外爱好者, 学生, 留学背景, 海外华人, 模特</t>
        </is>
      </c>
      <c r="I762" t="inlineStr">
        <is>
          <t>出行旅游</t>
        </is>
      </c>
      <c r="J762">
        <v>66508</v>
      </c>
      <c r="K762" t="inlineStr">
        <is>
          <t>6.7</t>
        </is>
      </c>
      <c r="L762">
        <v>20746</v>
      </c>
      <c r="M762">
        <v>5102</v>
      </c>
      <c r="N762">
        <v>524</v>
      </c>
      <c r="O762">
        <v>5400</v>
      </c>
      <c r="P762">
        <v>0.1</v>
      </c>
      <c r="Q762">
        <v>1</v>
      </c>
      <c r="R762">
        <v>11508</v>
      </c>
      <c r="S762">
        <v>1281</v>
      </c>
      <c r="T762">
        <v>168</v>
      </c>
      <c r="U762">
        <v>4.52</v>
      </c>
      <c r="V762">
        <v>5400</v>
      </c>
      <c r="W762">
        <v>1</v>
      </c>
      <c r="X762">
        <v>0</v>
      </c>
      <c r="Y762">
        <v>469.24</v>
      </c>
      <c r="Z762">
        <v>27.98</v>
      </c>
      <c r="AA762">
        <v>21418</v>
      </c>
      <c r="AB762">
        <v>5233</v>
      </c>
      <c r="AC762">
        <v>541</v>
      </c>
      <c r="AD762">
        <v>2.99</v>
      </c>
      <c r="AE762">
        <v>7600</v>
      </c>
      <c r="AF762">
        <v>1</v>
      </c>
      <c r="AG762">
        <v>0.111</v>
      </c>
      <c r="AH762">
        <v>0.158</v>
      </c>
      <c r="AI762">
        <v>366.33</v>
      </c>
      <c r="AJ762">
        <v>14.49</v>
      </c>
      <c r="AK762">
        <v>25771</v>
      </c>
      <c r="AL762">
        <v>2773</v>
      </c>
      <c r="AM762">
        <v>265</v>
      </c>
      <c r="AN762">
        <v>0</v>
      </c>
      <c r="AO762">
        <v>0</v>
      </c>
      <c r="AP762">
        <v>0.72</v>
      </c>
      <c r="AQ762">
        <v>0.038</v>
      </c>
      <c r="AR762">
        <v>0</v>
      </c>
      <c r="AS762" s="3">
        <v>46107.7740162037</v>
      </c>
    </row>
    <row r="763" ht="25.5" customHeight="1">
      <c r="A763" t="inlineStr">
        <is>
          <t>6245572a000000001000c545</t>
        </is>
      </c>
      <c r="B763" s="2" t="str">
        <f>=HYPERLINK("https://www.xiaohongshu.com/user/profile/6245572a000000001000c545", "https://www.xiaohongshu.com/user/profile/6245572a000000001000c545")</f>
        <v>https://www.xiaohongshu.com/user/profile/6245572a000000001000c545</v>
      </c>
      <c r="C763" s="2" t="str">
        <f>=HYPERLINK("https://pgy.xiaohongshu.com/solar/pre-trade/blogger-detail/6245572a000000001000c545", "https://pgy.xiaohongshu.com/solar/pre-trade/blogger-detail/6245572a000000001000c545")</f>
        <v>https://pgy.xiaohongshu.com/solar/pre-trade/blogger-detail/6245572a000000001000c545</v>
      </c>
      <c r="D763" t="inlineStr">
        <is>
          <t>女</t>
        </is>
      </c>
      <c r="E763" t="inlineStr">
        <is>
          <t>BAOBXo_0813</t>
        </is>
      </c>
      <c r="F763" t="inlineStr">
        <is>
          <t>George0yv</t>
        </is>
      </c>
      <c r="G763" t="inlineStr">
        <is>
          <t>广东 深圳 龙华区</t>
        </is>
      </c>
      <c r="H763" t="inlineStr">
        <is>
          <t>学生</t>
        </is>
      </c>
      <c r="I763" t="inlineStr">
        <is>
          <t>美食</t>
        </is>
      </c>
      <c r="J763">
        <v>17652</v>
      </c>
      <c r="K763" t="inlineStr">
        <is>
          <t>1.8</t>
        </is>
      </c>
      <c r="L763">
        <v>2234</v>
      </c>
      <c r="M763">
        <v>1529</v>
      </c>
      <c r="N763">
        <v>215</v>
      </c>
      <c r="O763">
        <v>400</v>
      </c>
      <c r="P763">
        <v>0.088</v>
      </c>
      <c r="Q763">
        <v>0.618</v>
      </c>
      <c r="R763">
        <v>0</v>
      </c>
      <c r="S763">
        <v>0</v>
      </c>
      <c r="T763">
        <v>0</v>
      </c>
      <c r="U763">
        <v>0</v>
      </c>
      <c r="V763">
        <v>400</v>
      </c>
      <c r="W763">
        <v>0</v>
      </c>
      <c r="X763">
        <v>0</v>
      </c>
      <c r="Y763">
        <v>0</v>
      </c>
      <c r="Z763">
        <v>0</v>
      </c>
      <c r="AA763">
        <v>2374</v>
      </c>
      <c r="AB763">
        <v>1574</v>
      </c>
      <c r="AC763">
        <v>196</v>
      </c>
      <c r="AD763">
        <v>2.45</v>
      </c>
      <c r="AE763">
        <v>1500</v>
      </c>
      <c r="AF763">
        <v>0.618</v>
      </c>
      <c r="AG763">
        <v>0.088</v>
      </c>
      <c r="AH763">
        <v>0.391</v>
      </c>
      <c r="AI763">
        <v>631.71</v>
      </c>
      <c r="AJ763">
        <v>6.71</v>
      </c>
      <c r="AK763">
        <v>0</v>
      </c>
      <c r="AL763">
        <v>0</v>
      </c>
      <c r="AM763">
        <v>0</v>
      </c>
      <c r="AN763">
        <v>0</v>
      </c>
      <c r="AO763">
        <v>0</v>
      </c>
      <c r="AP763">
        <v>0.69</v>
      </c>
      <c r="AQ763">
        <v>0.045</v>
      </c>
      <c r="AR763">
        <v>0.0279999999999999</v>
      </c>
      <c r="AS763" s="3">
        <v>46107.7740162037</v>
      </c>
    </row>
    <row r="764" ht="25.5" customHeight="1">
      <c r="A764" t="inlineStr">
        <is>
          <t>62e13437000000001f007342</t>
        </is>
      </c>
      <c r="B764" s="2" t="str">
        <f>=HYPERLINK("https://www.xiaohongshu.com/user/profile/62e13437000000001f007342", "https://www.xiaohongshu.com/user/profile/62e13437000000001f007342")</f>
        <v>https://www.xiaohongshu.com/user/profile/62e13437000000001f007342</v>
      </c>
      <c r="C764" s="2" t="str">
        <f>=HYPERLINK("https://pgy.xiaohongshu.com/solar/pre-trade/blogger-detail/62e13437000000001f007342", "https://pgy.xiaohongshu.com/solar/pre-trade/blogger-detail/62e13437000000001f007342")</f>
        <v>https://pgy.xiaohongshu.com/solar/pre-trade/blogger-detail/62e13437000000001f007342</v>
      </c>
      <c r="D764" t="inlineStr">
        <is>
          <t>女</t>
        </is>
      </c>
      <c r="E764" t="inlineStr">
        <is>
          <t>2995063109</t>
        </is>
      </c>
      <c r="F764" t="inlineStr">
        <is>
          <t>鬼谷老师麦外敷</t>
        </is>
      </c>
      <c r="G764" t="inlineStr">
        <is>
          <t>浙江 湖州 吴兴区</t>
        </is>
      </c>
      <c r="H764" t="inlineStr">
        <is>
          <t>二次元人群</t>
        </is>
      </c>
      <c r="I764" t="inlineStr">
        <is>
          <t>影视综资讯, 教育</t>
        </is>
      </c>
      <c r="J764">
        <v>14803</v>
      </c>
      <c r="K764" t="inlineStr">
        <is>
          <t>1.5</t>
        </is>
      </c>
      <c r="L764">
        <v>37164</v>
      </c>
      <c r="M764">
        <v>7550</v>
      </c>
      <c r="N764">
        <v>1446</v>
      </c>
      <c r="O764">
        <v>347</v>
      </c>
      <c r="P764">
        <v>0.522</v>
      </c>
      <c r="Q764">
        <v>0.87</v>
      </c>
      <c r="R764">
        <v>37164</v>
      </c>
      <c r="S764">
        <v>7550</v>
      </c>
      <c r="T764">
        <v>1309</v>
      </c>
      <c r="U764">
        <v>0.35</v>
      </c>
      <c r="V764">
        <v>347</v>
      </c>
      <c r="W764">
        <v>0.87</v>
      </c>
      <c r="X764">
        <v>0.522</v>
      </c>
      <c r="Y764">
        <v>9.34</v>
      </c>
      <c r="Z764">
        <v>0.24</v>
      </c>
      <c r="AA764">
        <v>0</v>
      </c>
      <c r="AB764">
        <v>0</v>
      </c>
      <c r="AC764">
        <v>0</v>
      </c>
      <c r="AD764">
        <v>0</v>
      </c>
      <c r="AE764">
        <v>820</v>
      </c>
      <c r="AF764">
        <v>0</v>
      </c>
      <c r="AG764">
        <v>0</v>
      </c>
      <c r="AH764">
        <v>0</v>
      </c>
      <c r="AI764">
        <v>0</v>
      </c>
      <c r="AJ764">
        <v>0</v>
      </c>
      <c r="AK764">
        <v>0</v>
      </c>
      <c r="AL764">
        <v>0</v>
      </c>
      <c r="AM764">
        <v>0</v>
      </c>
      <c r="AN764">
        <v>0</v>
      </c>
      <c r="AO764">
        <v>0</v>
      </c>
      <c r="AP764">
        <v>0.792999999999999</v>
      </c>
      <c r="AQ764">
        <v>0.152</v>
      </c>
      <c r="AR764">
        <v>0.152</v>
      </c>
      <c r="AS764" s="3">
        <v>46107.7740162037</v>
      </c>
    </row>
    <row r="765" ht="25.5" customHeight="1">
      <c r="A765" t="inlineStr">
        <is>
          <t>62bd6e98000000001b02a4be</t>
        </is>
      </c>
      <c r="B765" s="2" t="str">
        <f>=HYPERLINK("https://www.xiaohongshu.com/user/profile/62bd6e98000000001b02a4be", "https://www.xiaohongshu.com/user/profile/62bd6e98000000001b02a4be")</f>
        <v>https://www.xiaohongshu.com/user/profile/62bd6e98000000001b02a4be</v>
      </c>
      <c r="C765" s="2" t="str">
        <f>=HYPERLINK("https://pgy.xiaohongshu.com/solar/pre-trade/blogger-detail/62bd6e98000000001b02a4be", "https://pgy.xiaohongshu.com/solar/pre-trade/blogger-detail/62bd6e98000000001b02a4be")</f>
        <v>https://pgy.xiaohongshu.com/solar/pre-trade/blogger-detail/62bd6e98000000001b02a4be</v>
      </c>
      <c r="D765" t="inlineStr">
        <is>
          <t>女</t>
        </is>
      </c>
      <c r="E765" t="inlineStr">
        <is>
          <t>5678755007</t>
        </is>
      </c>
      <c r="F765" t="inlineStr">
        <is>
          <t>爱吃巧克力</t>
        </is>
      </c>
      <c r="G765" t="inlineStr">
        <is>
          <t>美国</t>
        </is>
      </c>
      <c r="H765" t="inlineStr">
        <is>
          <t>学生, 留学背景</t>
        </is>
      </c>
      <c r="I765" t="inlineStr">
        <is>
          <t>科技数码</t>
        </is>
      </c>
      <c r="J765">
        <v>5248</v>
      </c>
      <c r="K765" t="inlineStr">
        <is>
          <t>0.5</t>
        </is>
      </c>
      <c r="L765">
        <v>32154</v>
      </c>
      <c r="M765">
        <v>29153</v>
      </c>
      <c r="N765">
        <v>3700</v>
      </c>
      <c r="O765">
        <v>550</v>
      </c>
      <c r="P765">
        <v>0.571</v>
      </c>
      <c r="Q765">
        <v>0.714</v>
      </c>
      <c r="R765">
        <v>2951</v>
      </c>
      <c r="S765">
        <v>317</v>
      </c>
      <c r="T765">
        <v>87</v>
      </c>
      <c r="U765">
        <v>2.03</v>
      </c>
      <c r="V765">
        <v>550</v>
      </c>
      <c r="W765">
        <v>0</v>
      </c>
      <c r="X765">
        <v>0</v>
      </c>
      <c r="Y765">
        <v>186.38</v>
      </c>
      <c r="Z765">
        <v>5.76</v>
      </c>
      <c r="AA765">
        <v>57113</v>
      </c>
      <c r="AB765">
        <v>50661</v>
      </c>
      <c r="AC765">
        <v>4223</v>
      </c>
      <c r="AD765">
        <v>1.51</v>
      </c>
      <c r="AE765">
        <v>600</v>
      </c>
      <c r="AF765">
        <v>1</v>
      </c>
      <c r="AG765">
        <v>0.8</v>
      </c>
      <c r="AH765">
        <v>0.078</v>
      </c>
      <c r="AI765">
        <v>10.51</v>
      </c>
      <c r="AJ765">
        <v>0.13</v>
      </c>
      <c r="AK765">
        <v>0</v>
      </c>
      <c r="AL765">
        <v>0</v>
      </c>
      <c r="AM765">
        <v>0</v>
      </c>
      <c r="AN765">
        <v>0</v>
      </c>
      <c r="AO765">
        <v>0</v>
      </c>
      <c r="AP765">
        <v>0.742</v>
      </c>
      <c r="AQ765">
        <v>0.037</v>
      </c>
      <c r="AR765">
        <v>0.039</v>
      </c>
      <c r="AS765" s="3">
        <v>46107.7740162037</v>
      </c>
    </row>
    <row r="766" ht="25.5" customHeight="1">
      <c r="A766" t="inlineStr">
        <is>
          <t>55e04c40e4b1cf5a86969b6f</t>
        </is>
      </c>
      <c r="B766" s="2" t="str">
        <f>=HYPERLINK("https://www.xiaohongshu.com/user/profile/55e04c40e4b1cf5a86969b6f", "https://www.xiaohongshu.com/user/profile/55e04c40e4b1cf5a86969b6f")</f>
        <v>https://www.xiaohongshu.com/user/profile/55e04c40e4b1cf5a86969b6f</v>
      </c>
      <c r="C766" s="2" t="str">
        <f>=HYPERLINK("https://pgy.xiaohongshu.com/solar/pre-trade/blogger-detail/55e04c40e4b1cf5a86969b6f", "https://pgy.xiaohongshu.com/solar/pre-trade/blogger-detail/55e04c40e4b1cf5a86969b6f")</f>
        <v>https://pgy.xiaohongshu.com/solar/pre-trade/blogger-detail/55e04c40e4b1cf5a86969b6f</v>
      </c>
      <c r="D766" t="inlineStr">
        <is>
          <t>女</t>
        </is>
      </c>
      <c r="E766" t="inlineStr">
        <is>
          <t>954404450</t>
        </is>
      </c>
      <c r="F766" t="inlineStr">
        <is>
          <t>树懒yue</t>
        </is>
      </c>
      <c r="G766" t="inlineStr">
        <is>
          <t>广东 深圳 南山区</t>
        </is>
      </c>
      <c r="H766" t="inlineStr">
        <is>
          <t>留学背景, 学生</t>
        </is>
      </c>
      <c r="I766" t="inlineStr">
        <is>
          <t>生活记录</t>
        </is>
      </c>
      <c r="J766">
        <v>65685</v>
      </c>
      <c r="K766" t="inlineStr">
        <is>
          <t>6.6</t>
        </is>
      </c>
      <c r="L766">
        <v>77844</v>
      </c>
      <c r="M766">
        <v>21659</v>
      </c>
      <c r="N766">
        <v>641</v>
      </c>
      <c r="O766">
        <v>6787</v>
      </c>
      <c r="P766">
        <v>0</v>
      </c>
      <c r="Q766">
        <v>0.889</v>
      </c>
      <c r="R766">
        <v>7798</v>
      </c>
      <c r="S766">
        <v>2291</v>
      </c>
      <c r="T766">
        <v>66</v>
      </c>
      <c r="U766">
        <v>3.26</v>
      </c>
      <c r="V766">
        <v>6787</v>
      </c>
      <c r="W766">
        <v>0</v>
      </c>
      <c r="X766">
        <v>0</v>
      </c>
      <c r="Y766">
        <v>870.35</v>
      </c>
      <c r="Z766">
        <v>98.36</v>
      </c>
      <c r="AA766">
        <v>89698</v>
      </c>
      <c r="AB766">
        <v>22227</v>
      </c>
      <c r="AC766">
        <v>605</v>
      </c>
      <c r="AD766">
        <v>1.9</v>
      </c>
      <c r="AE766">
        <v>8900</v>
      </c>
      <c r="AF766">
        <v>1</v>
      </c>
      <c r="AG766">
        <v>0</v>
      </c>
      <c r="AH766">
        <v>0.148</v>
      </c>
      <c r="AI766">
        <v>99.22</v>
      </c>
      <c r="AJ766">
        <v>12.82</v>
      </c>
      <c r="AK766">
        <v>0</v>
      </c>
      <c r="AL766">
        <v>0</v>
      </c>
      <c r="AM766">
        <v>0</v>
      </c>
      <c r="AN766">
        <v>0</v>
      </c>
      <c r="AO766">
        <v>0</v>
      </c>
      <c r="AP766">
        <v>0.810999999999999</v>
      </c>
      <c r="AQ766">
        <v>0.032</v>
      </c>
      <c r="AR766">
        <v>0.039</v>
      </c>
      <c r="AS766" s="3">
        <v>46107.7740162037</v>
      </c>
    </row>
    <row r="767" ht="25.5" customHeight="1">
      <c r="A767" t="inlineStr">
        <is>
          <t>61e3a1060000000010006e1c</t>
        </is>
      </c>
      <c r="B767" s="2" t="str">
        <f>=HYPERLINK("https://www.xiaohongshu.com/user/profile/61e3a1060000000010006e1c", "https://www.xiaohongshu.com/user/profile/61e3a1060000000010006e1c")</f>
        <v>https://www.xiaohongshu.com/user/profile/61e3a1060000000010006e1c</v>
      </c>
      <c r="C767" s="2" t="str">
        <f>=HYPERLINK("https://pgy.xiaohongshu.com/solar/pre-trade/blogger-detail/61e3a1060000000010006e1c", "https://pgy.xiaohongshu.com/solar/pre-trade/blogger-detail/61e3a1060000000010006e1c")</f>
        <v>https://pgy.xiaohongshu.com/solar/pre-trade/blogger-detail/61e3a1060000000010006e1c</v>
      </c>
      <c r="D767" t="inlineStr">
        <is>
          <t>女</t>
        </is>
      </c>
      <c r="E767" t="inlineStr">
        <is>
          <t>6565725121</t>
        </is>
      </c>
      <c r="F767" t="inlineStr">
        <is>
          <t>幸运小花</t>
        </is>
      </c>
      <c r="G767" t="inlineStr">
        <is>
          <t>广东 广州 番禺区</t>
        </is>
      </c>
      <c r="H767"/>
      <c r="I767" t="inlineStr">
        <is>
          <t>教育</t>
        </is>
      </c>
      <c r="J767">
        <v>2516</v>
      </c>
      <c r="K767" t="inlineStr">
        <is>
          <t>0.3</t>
        </is>
      </c>
      <c r="L767">
        <v>7794</v>
      </c>
      <c r="M767">
        <v>1555</v>
      </c>
      <c r="N767">
        <v>334</v>
      </c>
      <c r="O767">
        <v>200</v>
      </c>
      <c r="P767">
        <v>0</v>
      </c>
      <c r="Q767">
        <v>0.5</v>
      </c>
      <c r="R767">
        <v>7794</v>
      </c>
      <c r="S767">
        <v>1555</v>
      </c>
      <c r="T767">
        <v>310</v>
      </c>
      <c r="U767">
        <v>0.75</v>
      </c>
      <c r="V767">
        <v>200</v>
      </c>
      <c r="W767">
        <v>0.5</v>
      </c>
      <c r="X767">
        <v>0</v>
      </c>
      <c r="Y767">
        <v>59.47</v>
      </c>
      <c r="Z767">
        <v>3.03</v>
      </c>
      <c r="AA767">
        <v>0</v>
      </c>
      <c r="AB767">
        <v>0</v>
      </c>
      <c r="AC767">
        <v>0</v>
      </c>
      <c r="AD767">
        <v>0</v>
      </c>
      <c r="AE767">
        <v>0</v>
      </c>
      <c r="AF767">
        <v>0</v>
      </c>
      <c r="AG767">
        <v>0</v>
      </c>
      <c r="AH767">
        <v>0</v>
      </c>
      <c r="AI767">
        <v>0</v>
      </c>
      <c r="AJ767">
        <v>0</v>
      </c>
      <c r="AK767">
        <v>3363</v>
      </c>
      <c r="AL767">
        <v>330</v>
      </c>
      <c r="AM767">
        <v>16</v>
      </c>
      <c r="AN767">
        <v>0</v>
      </c>
      <c r="AO767">
        <v>0</v>
      </c>
      <c r="AP767">
        <v>0.938</v>
      </c>
      <c r="AQ767">
        <v>0.147</v>
      </c>
      <c r="AR767">
        <v>0.079</v>
      </c>
      <c r="AS767" s="3">
        <v>46107.7740162037</v>
      </c>
    </row>
    <row r="768" ht="25.5" customHeight="1">
      <c r="A768" t="inlineStr">
        <is>
          <t>622936840000000010009e7e</t>
        </is>
      </c>
      <c r="B768" s="2" t="str">
        <f>=HYPERLINK("https://www.xiaohongshu.com/user/profile/622936840000000010009e7e", "https://www.xiaohongshu.com/user/profile/622936840000000010009e7e")</f>
        <v>https://www.xiaohongshu.com/user/profile/622936840000000010009e7e</v>
      </c>
      <c r="C768" s="2" t="str">
        <f>=HYPERLINK("https://pgy.xiaohongshu.com/solar/pre-trade/blogger-detail/622936840000000010009e7e", "https://pgy.xiaohongshu.com/solar/pre-trade/blogger-detail/622936840000000010009e7e")</f>
        <v>https://pgy.xiaohongshu.com/solar/pre-trade/blogger-detail/622936840000000010009e7e</v>
      </c>
      <c r="D768" t="inlineStr">
        <is>
          <t>男</t>
        </is>
      </c>
      <c r="E768" t="inlineStr">
        <is>
          <t>6911696823</t>
        </is>
      </c>
      <c r="F768" t="inlineStr">
        <is>
          <t>海棠哇塞</t>
        </is>
      </c>
      <c r="G768" t="inlineStr">
        <is>
          <t>浙江 台州 三门县</t>
        </is>
      </c>
      <c r="H768"/>
      <c r="I768" t="inlineStr">
        <is>
          <t>教育</t>
        </is>
      </c>
      <c r="J768">
        <v>7389</v>
      </c>
      <c r="K768" t="inlineStr">
        <is>
          <t>0.7</t>
        </is>
      </c>
      <c r="L768">
        <v>50835</v>
      </c>
      <c r="M768">
        <v>11712</v>
      </c>
      <c r="N768">
        <v>1758</v>
      </c>
      <c r="O768">
        <v>500</v>
      </c>
      <c r="P768">
        <v>0</v>
      </c>
      <c r="Q768">
        <v>1</v>
      </c>
      <c r="R768">
        <v>50835</v>
      </c>
      <c r="S768">
        <v>11712</v>
      </c>
      <c r="T768">
        <v>1405</v>
      </c>
      <c r="U768">
        <v>0.34</v>
      </c>
      <c r="V768">
        <v>500</v>
      </c>
      <c r="W768">
        <v>1</v>
      </c>
      <c r="X768">
        <v>0</v>
      </c>
      <c r="Y768">
        <v>9.84</v>
      </c>
      <c r="Z768">
        <v>0.28</v>
      </c>
      <c r="AA768">
        <v>0</v>
      </c>
      <c r="AB768">
        <v>0</v>
      </c>
      <c r="AC768">
        <v>0</v>
      </c>
      <c r="AD768">
        <v>0</v>
      </c>
      <c r="AE768">
        <v>800</v>
      </c>
      <c r="AF768">
        <v>0</v>
      </c>
      <c r="AG768">
        <v>0</v>
      </c>
      <c r="AH768">
        <v>0</v>
      </c>
      <c r="AI768">
        <v>0</v>
      </c>
      <c r="AJ768">
        <v>0</v>
      </c>
      <c r="AK768">
        <v>0</v>
      </c>
      <c r="AL768">
        <v>0</v>
      </c>
      <c r="AM768">
        <v>0</v>
      </c>
      <c r="AN768">
        <v>0</v>
      </c>
      <c r="AO768">
        <v>0</v>
      </c>
      <c r="AP768">
        <v>0.857</v>
      </c>
      <c r="AQ768">
        <v>0.121</v>
      </c>
      <c r="AR768">
        <v>0.226999999999999</v>
      </c>
      <c r="AS768" s="3">
        <v>46107.7740162037</v>
      </c>
    </row>
    <row r="769" ht="25.5" customHeight="1">
      <c r="A769" t="inlineStr">
        <is>
          <t>666e6cd20000000007006661</t>
        </is>
      </c>
      <c r="B769" s="2" t="str">
        <f>=HYPERLINK("https://www.xiaohongshu.com/user/profile/666e6cd20000000007006661", "https://www.xiaohongshu.com/user/profile/666e6cd20000000007006661")</f>
        <v>https://www.xiaohongshu.com/user/profile/666e6cd20000000007006661</v>
      </c>
      <c r="C769" s="2" t="str">
        <f>=HYPERLINK("https://pgy.xiaohongshu.com/solar/pre-trade/blogger-detail/666e6cd20000000007006661", "https://pgy.xiaohongshu.com/solar/pre-trade/blogger-detail/666e6cd20000000007006661")</f>
        <v>https://pgy.xiaohongshu.com/solar/pre-trade/blogger-detail/666e6cd20000000007006661</v>
      </c>
      <c r="D769" t="inlineStr">
        <is>
          <t>男</t>
        </is>
      </c>
      <c r="E769" t="inlineStr">
        <is>
          <t>Lrn1dhsa</t>
        </is>
      </c>
      <c r="F769" t="inlineStr">
        <is>
          <t>添才木南</t>
        </is>
      </c>
      <c r="G769" t="inlineStr">
        <is>
          <t>广东 广州 白云区</t>
        </is>
      </c>
      <c r="H769" t="inlineStr">
        <is>
          <t>学生</t>
        </is>
      </c>
      <c r="I769" t="inlineStr">
        <is>
          <t>搞笑</t>
        </is>
      </c>
      <c r="J769">
        <v>1161</v>
      </c>
      <c r="K769" t="inlineStr">
        <is>
          <t>0.1</t>
        </is>
      </c>
      <c r="L769">
        <v>2272</v>
      </c>
      <c r="M769">
        <v>1380</v>
      </c>
      <c r="N769">
        <v>154</v>
      </c>
      <c r="O769">
        <v>99</v>
      </c>
      <c r="P769">
        <v>0.045</v>
      </c>
      <c r="Q769">
        <v>0.545</v>
      </c>
      <c r="R769">
        <v>0</v>
      </c>
      <c r="S769">
        <v>0</v>
      </c>
      <c r="T769">
        <v>0</v>
      </c>
      <c r="U769">
        <v>0</v>
      </c>
      <c r="V769">
        <v>99</v>
      </c>
      <c r="W769">
        <v>0</v>
      </c>
      <c r="X769">
        <v>0</v>
      </c>
      <c r="Y769">
        <v>0</v>
      </c>
      <c r="Z769">
        <v>0</v>
      </c>
      <c r="AA769">
        <v>2272</v>
      </c>
      <c r="AB769">
        <v>1380</v>
      </c>
      <c r="AC769">
        <v>138</v>
      </c>
      <c r="AD769">
        <v>1.64</v>
      </c>
      <c r="AE769">
        <v>199</v>
      </c>
      <c r="AF769">
        <v>0.545</v>
      </c>
      <c r="AG769">
        <v>0.045</v>
      </c>
      <c r="AH769">
        <v>0.3</v>
      </c>
      <c r="AI769">
        <v>87.59</v>
      </c>
      <c r="AJ769">
        <v>1.29</v>
      </c>
      <c r="AK769">
        <v>0</v>
      </c>
      <c r="AL769">
        <v>0</v>
      </c>
      <c r="AM769">
        <v>0</v>
      </c>
      <c r="AN769">
        <v>0</v>
      </c>
      <c r="AO769">
        <v>0</v>
      </c>
      <c r="AP769">
        <v>0.991</v>
      </c>
      <c r="AQ769">
        <v>0.711</v>
      </c>
      <c r="AR769">
        <v>0</v>
      </c>
      <c r="AS769" s="3">
        <v>46107.7740162037</v>
      </c>
    </row>
    <row r="770" ht="25.5" customHeight="1">
      <c r="A770" t="inlineStr">
        <is>
          <t>641d1b320000000011020747</t>
        </is>
      </c>
      <c r="B770" s="2" t="str">
        <f>=HYPERLINK("https://www.xiaohongshu.com/user/profile/641d1b320000000011020747", "https://www.xiaohongshu.com/user/profile/641d1b320000000011020747")</f>
        <v>https://www.xiaohongshu.com/user/profile/641d1b320000000011020747</v>
      </c>
      <c r="C770" s="2" t="str">
        <f>=HYPERLINK("https://pgy.xiaohongshu.com/solar/pre-trade/blogger-detail/641d1b320000000011020747", "https://pgy.xiaohongshu.com/solar/pre-trade/blogger-detail/641d1b320000000011020747")</f>
        <v>https://pgy.xiaohongshu.com/solar/pre-trade/blogger-detail/641d1b320000000011020747</v>
      </c>
      <c r="D770" t="inlineStr">
        <is>
          <t>女</t>
        </is>
      </c>
      <c r="E770" t="inlineStr">
        <is>
          <t>6162808824</t>
        </is>
      </c>
      <c r="F770" t="inlineStr">
        <is>
          <t>一只楽楽在读博</t>
        </is>
      </c>
      <c r="G770" t="inlineStr">
        <is>
          <t>德国</t>
        </is>
      </c>
      <c r="H770" t="inlineStr">
        <is>
          <t>创业者, 留学背景</t>
        </is>
      </c>
      <c r="I770" t="inlineStr">
        <is>
          <t>教育</t>
        </is>
      </c>
      <c r="J770">
        <v>5575</v>
      </c>
      <c r="K770" t="inlineStr">
        <is>
          <t>0.6</t>
        </is>
      </c>
      <c r="L770">
        <v>51231</v>
      </c>
      <c r="M770">
        <v>11086</v>
      </c>
      <c r="N770">
        <v>637</v>
      </c>
      <c r="O770">
        <v>753</v>
      </c>
      <c r="P770">
        <v>0.25</v>
      </c>
      <c r="Q770">
        <v>0.75</v>
      </c>
      <c r="R770">
        <v>51231</v>
      </c>
      <c r="S770">
        <v>11086</v>
      </c>
      <c r="T770">
        <v>605</v>
      </c>
      <c r="U770">
        <v>0.74</v>
      </c>
      <c r="V770">
        <v>753</v>
      </c>
      <c r="W770">
        <v>0.75</v>
      </c>
      <c r="X770">
        <v>0.25</v>
      </c>
      <c r="Y770">
        <v>94.15</v>
      </c>
      <c r="Z770">
        <v>4.92</v>
      </c>
      <c r="AA770">
        <v>0</v>
      </c>
      <c r="AB770">
        <v>0</v>
      </c>
      <c r="AC770">
        <v>0</v>
      </c>
      <c r="AD770">
        <v>0</v>
      </c>
      <c r="AE770">
        <v>980</v>
      </c>
      <c r="AF770">
        <v>0</v>
      </c>
      <c r="AG770">
        <v>0</v>
      </c>
      <c r="AH770">
        <v>0</v>
      </c>
      <c r="AI770">
        <v>0</v>
      </c>
      <c r="AJ770">
        <v>0</v>
      </c>
      <c r="AK770">
        <v>778</v>
      </c>
      <c r="AL770">
        <v>106</v>
      </c>
      <c r="AM770">
        <v>3</v>
      </c>
      <c r="AN770">
        <v>0</v>
      </c>
      <c r="AO770">
        <v>0</v>
      </c>
      <c r="AP770">
        <v>0.839</v>
      </c>
      <c r="AQ770">
        <v>0.046</v>
      </c>
      <c r="AR770">
        <v>0.024</v>
      </c>
      <c r="AS770" s="3">
        <v>46107.7740162037</v>
      </c>
    </row>
    <row r="771" ht="25.5" customHeight="1">
      <c r="A771" t="inlineStr">
        <is>
          <t>5b28a5074eacab4adedd0605</t>
        </is>
      </c>
      <c r="B771" s="2" t="str">
        <f>=HYPERLINK("https://www.xiaohongshu.com/user/profile/5b28a5074eacab4adedd0605", "https://www.xiaohongshu.com/user/profile/5b28a5074eacab4adedd0605")</f>
        <v>https://www.xiaohongshu.com/user/profile/5b28a5074eacab4adedd0605</v>
      </c>
      <c r="C771" s="2" t="str">
        <f>=HYPERLINK("https://pgy.xiaohongshu.com/solar/pre-trade/blogger-detail/5b28a5074eacab4adedd0605", "https://pgy.xiaohongshu.com/solar/pre-trade/blogger-detail/5b28a5074eacab4adedd0605")</f>
        <v>https://pgy.xiaohongshu.com/solar/pre-trade/blogger-detail/5b28a5074eacab4adedd0605</v>
      </c>
      <c r="D771" t="inlineStr">
        <is>
          <t>男</t>
        </is>
      </c>
      <c r="E771" t="inlineStr">
        <is>
          <t>278114654</t>
        </is>
      </c>
      <c r="F771" t="inlineStr">
        <is>
          <t>五校老博士</t>
        </is>
      </c>
      <c r="G771" t="inlineStr">
        <is>
          <t>浙江 杭州 西湖区</t>
        </is>
      </c>
      <c r="H771" t="inlineStr">
        <is>
          <t>留学背景, 法律从业者</t>
        </is>
      </c>
      <c r="I771" t="inlineStr">
        <is>
          <t>教育</t>
        </is>
      </c>
      <c r="J771">
        <v>12317</v>
      </c>
      <c r="K771" t="inlineStr">
        <is>
          <t>1.2</t>
        </is>
      </c>
      <c r="L771">
        <v>62891</v>
      </c>
      <c r="M771">
        <v>11879</v>
      </c>
      <c r="N771">
        <v>309</v>
      </c>
      <c r="O771">
        <v>417</v>
      </c>
      <c r="P771">
        <v>0.313</v>
      </c>
      <c r="Q771">
        <v>0.563</v>
      </c>
      <c r="R771">
        <v>124398</v>
      </c>
      <c r="S771">
        <v>36948</v>
      </c>
      <c r="T771">
        <v>646</v>
      </c>
      <c r="U771">
        <v>0.32</v>
      </c>
      <c r="V771">
        <v>417</v>
      </c>
      <c r="W771">
        <v>0.692</v>
      </c>
      <c r="X771">
        <v>0.385</v>
      </c>
      <c r="Y771">
        <v>4.4</v>
      </c>
      <c r="Z771">
        <v>0.66</v>
      </c>
      <c r="AA771">
        <v>7548</v>
      </c>
      <c r="AB771">
        <v>556</v>
      </c>
      <c r="AC771">
        <v>10</v>
      </c>
      <c r="AD771">
        <v>2.8</v>
      </c>
      <c r="AE771">
        <v>721</v>
      </c>
      <c r="AF771">
        <v>0</v>
      </c>
      <c r="AG771">
        <v>0</v>
      </c>
      <c r="AH771">
        <v>0.093</v>
      </c>
      <c r="AI771">
        <v>95.52</v>
      </c>
      <c r="AJ771">
        <v>72.1</v>
      </c>
      <c r="AK771">
        <v>6641</v>
      </c>
      <c r="AL771">
        <v>348</v>
      </c>
      <c r="AM771">
        <v>23</v>
      </c>
      <c r="AN771">
        <v>0</v>
      </c>
      <c r="AO771">
        <v>0</v>
      </c>
      <c r="AP771">
        <v>0.885</v>
      </c>
      <c r="AQ771">
        <v>0.068</v>
      </c>
      <c r="AR771">
        <v>0.0559999999999999</v>
      </c>
      <c r="AS771" s="3">
        <v>46107.7740162037</v>
      </c>
    </row>
    <row r="772" ht="25.5" customHeight="1">
      <c r="A772" t="inlineStr">
        <is>
          <t>689632970000000028014370</t>
        </is>
      </c>
      <c r="B772" s="2" t="str">
        <f>=HYPERLINK("https://www.xiaohongshu.com/user/profile/689632970000000028014370", "https://www.xiaohongshu.com/user/profile/689632970000000028014370")</f>
        <v>https://www.xiaohongshu.com/user/profile/689632970000000028014370</v>
      </c>
      <c r="C772" s="2" t="str">
        <f>=HYPERLINK("https://pgy.xiaohongshu.com/solar/pre-trade/blogger-detail/689632970000000028014370", "https://pgy.xiaohongshu.com/solar/pre-trade/blogger-detail/689632970000000028014370")</f>
        <v>https://pgy.xiaohongshu.com/solar/pre-trade/blogger-detail/689632970000000028014370</v>
      </c>
      <c r="D772" t="inlineStr">
        <is>
          <t>男</t>
        </is>
      </c>
      <c r="E772" t="inlineStr">
        <is>
          <t>49619193856</t>
        </is>
      </c>
      <c r="F772" t="inlineStr">
        <is>
          <t>驻外百晓生</t>
        </is>
      </c>
      <c r="G772" t="inlineStr">
        <is>
          <t>尼加拉瓜</t>
        </is>
      </c>
      <c r="H772" t="inlineStr">
        <is>
          <t>海外华人</t>
        </is>
      </c>
      <c r="I772" t="inlineStr">
        <is>
          <t>职场</t>
        </is>
      </c>
      <c r="J772">
        <v>14314</v>
      </c>
      <c r="K772" t="inlineStr">
        <is>
          <t>1.4</t>
        </is>
      </c>
      <c r="L772">
        <v>10434</v>
      </c>
      <c r="M772">
        <v>1469</v>
      </c>
      <c r="N772">
        <v>161</v>
      </c>
      <c r="O772">
        <v>2500</v>
      </c>
      <c r="P772">
        <v>0.031</v>
      </c>
      <c r="Q772">
        <v>0.344</v>
      </c>
      <c r="R772">
        <v>10434</v>
      </c>
      <c r="S772">
        <v>1469</v>
      </c>
      <c r="T772">
        <v>122</v>
      </c>
      <c r="U772">
        <v>2</v>
      </c>
      <c r="V772">
        <v>2500</v>
      </c>
      <c r="W772">
        <v>0.344</v>
      </c>
      <c r="X772">
        <v>0.031</v>
      </c>
      <c r="Y772">
        <v>239.6</v>
      </c>
      <c r="Z772">
        <v>15.53</v>
      </c>
      <c r="AA772">
        <v>0</v>
      </c>
      <c r="AB772">
        <v>0</v>
      </c>
      <c r="AC772">
        <v>0</v>
      </c>
      <c r="AD772">
        <v>0</v>
      </c>
      <c r="AE772">
        <v>8000</v>
      </c>
      <c r="AF772">
        <v>0</v>
      </c>
      <c r="AG772">
        <v>0</v>
      </c>
      <c r="AH772">
        <v>0</v>
      </c>
      <c r="AI772">
        <v>0</v>
      </c>
      <c r="AJ772">
        <v>0</v>
      </c>
      <c r="AK772">
        <v>0</v>
      </c>
      <c r="AL772">
        <v>0</v>
      </c>
      <c r="AM772">
        <v>0</v>
      </c>
      <c r="AN772">
        <v>0</v>
      </c>
      <c r="AO772">
        <v>0</v>
      </c>
      <c r="AP772">
        <v>0.961</v>
      </c>
      <c r="AQ772">
        <v>0.126</v>
      </c>
      <c r="AR772">
        <v>0.192</v>
      </c>
      <c r="AS772" s="3">
        <v>46107.7740162037</v>
      </c>
    </row>
    <row r="773" ht="25.5" customHeight="1">
      <c r="A773" t="inlineStr">
        <is>
          <t>62d795bb000000000e00efbd</t>
        </is>
      </c>
      <c r="B773" s="2" t="str">
        <f>=HYPERLINK("https://www.xiaohongshu.com/user/profile/62d795bb000000000e00efbd", "https://www.xiaohongshu.com/user/profile/62d795bb000000000e00efbd")</f>
        <v>https://www.xiaohongshu.com/user/profile/62d795bb000000000e00efbd</v>
      </c>
      <c r="C773" s="2" t="str">
        <f>=HYPERLINK("https://pgy.xiaohongshu.com/solar/pre-trade/blogger-detail/62d795bb000000000e00efbd", "https://pgy.xiaohongshu.com/solar/pre-trade/blogger-detail/62d795bb000000000e00efbd")</f>
        <v>https://pgy.xiaohongshu.com/solar/pre-trade/blogger-detail/62d795bb000000000e00efbd</v>
      </c>
      <c r="D773" t="inlineStr">
        <is>
          <t>女</t>
        </is>
      </c>
      <c r="E773" t="inlineStr">
        <is>
          <t>xxxxxi0505</t>
        </is>
      </c>
      <c r="F773" t="inlineStr">
        <is>
          <t>Xxxxxi汐🎧</t>
        </is>
      </c>
      <c r="G773" t="inlineStr">
        <is>
          <t>英国</t>
        </is>
      </c>
      <c r="H773" t="inlineStr">
        <is>
          <t>留学背景, 学生</t>
        </is>
      </c>
      <c r="I773" t="inlineStr">
        <is>
          <t>教育</t>
        </is>
      </c>
      <c r="J773">
        <v>3259</v>
      </c>
      <c r="K773" t="inlineStr">
        <is>
          <t>0.3</t>
        </is>
      </c>
      <c r="L773">
        <v>4493</v>
      </c>
      <c r="M773">
        <v>1013</v>
      </c>
      <c r="N773">
        <v>132</v>
      </c>
      <c r="O773">
        <v>320</v>
      </c>
      <c r="P773">
        <v>0</v>
      </c>
      <c r="Q773">
        <v>0.332999999999999</v>
      </c>
      <c r="R773">
        <v>0</v>
      </c>
      <c r="S773">
        <v>0</v>
      </c>
      <c r="T773">
        <v>0</v>
      </c>
      <c r="U773">
        <v>0</v>
      </c>
      <c r="V773">
        <v>210</v>
      </c>
      <c r="W773">
        <v>0</v>
      </c>
      <c r="X773">
        <v>0</v>
      </c>
      <c r="Y773">
        <v>0</v>
      </c>
      <c r="Z773">
        <v>0</v>
      </c>
      <c r="AA773">
        <v>4493</v>
      </c>
      <c r="AB773">
        <v>1013</v>
      </c>
      <c r="AC773">
        <v>116</v>
      </c>
      <c r="AD773">
        <v>1.73</v>
      </c>
      <c r="AE773">
        <v>320</v>
      </c>
      <c r="AF773">
        <v>0.332999999999999</v>
      </c>
      <c r="AG773">
        <v>0</v>
      </c>
      <c r="AH773">
        <v>0.0819999999999999</v>
      </c>
      <c r="AI773">
        <v>56.24</v>
      </c>
      <c r="AJ773">
        <v>1.29</v>
      </c>
      <c r="AK773">
        <v>10008</v>
      </c>
      <c r="AL773">
        <v>1824</v>
      </c>
      <c r="AM773">
        <v>345</v>
      </c>
      <c r="AN773">
        <v>0</v>
      </c>
      <c r="AO773">
        <v>0</v>
      </c>
      <c r="AP773">
        <v>0.814</v>
      </c>
      <c r="AQ773">
        <v>0.062</v>
      </c>
      <c r="AR773">
        <v>0.019</v>
      </c>
      <c r="AS773" s="3">
        <v>46107.7740162037</v>
      </c>
    </row>
    <row r="774" ht="25.5" customHeight="1">
      <c r="A774" t="inlineStr">
        <is>
          <t>608bfaa700000000010061c2</t>
        </is>
      </c>
      <c r="B774" s="2" t="str">
        <f>=HYPERLINK("https://www.xiaohongshu.com/user/profile/608bfaa700000000010061c2", "https://www.xiaohongshu.com/user/profile/608bfaa700000000010061c2")</f>
        <v>https://www.xiaohongshu.com/user/profile/608bfaa700000000010061c2</v>
      </c>
      <c r="C774" s="2" t="str">
        <f>=HYPERLINK("https://pgy.xiaohongshu.com/solar/pre-trade/blogger-detail/608bfaa700000000010061c2", "https://pgy.xiaohongshu.com/solar/pre-trade/blogger-detail/608bfaa700000000010061c2")</f>
        <v>https://pgy.xiaohongshu.com/solar/pre-trade/blogger-detail/608bfaa700000000010061c2</v>
      </c>
      <c r="D774" t="inlineStr">
        <is>
          <t>女</t>
        </is>
      </c>
      <c r="E774" t="inlineStr">
        <is>
          <t>9479202005</t>
        </is>
      </c>
      <c r="F774" t="inlineStr">
        <is>
          <t>是丹个呀~</t>
        </is>
      </c>
      <c r="G774" t="inlineStr">
        <is>
          <t>广东 广州 白云区</t>
        </is>
      </c>
      <c r="H774" t="inlineStr">
        <is>
          <t>创业者, 学生, 运营</t>
        </is>
      </c>
      <c r="I774" t="inlineStr">
        <is>
          <t>生活记录</t>
        </is>
      </c>
      <c r="J774">
        <v>1639</v>
      </c>
      <c r="K774" t="inlineStr">
        <is>
          <t>0.2</t>
        </is>
      </c>
      <c r="L774">
        <v>2021</v>
      </c>
      <c r="M774">
        <v>284</v>
      </c>
      <c r="N774">
        <v>259</v>
      </c>
      <c r="O774">
        <v>200</v>
      </c>
      <c r="P774">
        <v>0</v>
      </c>
      <c r="Q774">
        <v>0.4</v>
      </c>
      <c r="R774">
        <v>2021</v>
      </c>
      <c r="S774">
        <v>284</v>
      </c>
      <c r="T774">
        <v>243</v>
      </c>
      <c r="U774">
        <v>1</v>
      </c>
      <c r="V774">
        <v>200</v>
      </c>
      <c r="W774">
        <v>0.4</v>
      </c>
      <c r="X774">
        <v>0</v>
      </c>
      <c r="Y774">
        <v>98.96</v>
      </c>
      <c r="Z774">
        <v>0.77</v>
      </c>
      <c r="AA774">
        <v>0</v>
      </c>
      <c r="AB774">
        <v>0</v>
      </c>
      <c r="AC774">
        <v>0</v>
      </c>
      <c r="AD774">
        <v>0</v>
      </c>
      <c r="AE774">
        <v>300</v>
      </c>
      <c r="AF774">
        <v>0</v>
      </c>
      <c r="AG774">
        <v>0</v>
      </c>
      <c r="AH774">
        <v>0</v>
      </c>
      <c r="AI774">
        <v>0</v>
      </c>
      <c r="AJ774">
        <v>0</v>
      </c>
      <c r="AK774">
        <v>0</v>
      </c>
      <c r="AL774">
        <v>0</v>
      </c>
      <c r="AM774">
        <v>0</v>
      </c>
      <c r="AN774">
        <v>0</v>
      </c>
      <c r="AO774">
        <v>0</v>
      </c>
      <c r="AP774">
        <v>0.547</v>
      </c>
      <c r="AQ774">
        <v>0.108</v>
      </c>
      <c r="AR774">
        <v>0.159</v>
      </c>
      <c r="AS774" s="3">
        <v>46107.7740162037</v>
      </c>
    </row>
    <row r="775" ht="25.5" customHeight="1">
      <c r="A775" t="inlineStr">
        <is>
          <t>5ece6aec000000000101fd2f</t>
        </is>
      </c>
      <c r="B775" s="2" t="str">
        <f>=HYPERLINK("https://www.xiaohongshu.com/user/profile/5ece6aec000000000101fd2f", "https://www.xiaohongshu.com/user/profile/5ece6aec000000000101fd2f")</f>
        <v>https://www.xiaohongshu.com/user/profile/5ece6aec000000000101fd2f</v>
      </c>
      <c r="C775" s="2" t="str">
        <f>=HYPERLINK("https://pgy.xiaohongshu.com/solar/pre-trade/blogger-detail/5ece6aec000000000101fd2f", "https://pgy.xiaohongshu.com/solar/pre-trade/blogger-detail/5ece6aec000000000101fd2f")</f>
        <v>https://pgy.xiaohongshu.com/solar/pre-trade/blogger-detail/5ece6aec000000000101fd2f</v>
      </c>
      <c r="D775" t="inlineStr">
        <is>
          <t>女</t>
        </is>
      </c>
      <c r="E775" t="inlineStr">
        <is>
          <t>781509989</t>
        </is>
      </c>
      <c r="F775" t="inlineStr">
        <is>
          <t>江酱的法语日记</t>
        </is>
      </c>
      <c r="G775" t="inlineStr">
        <is>
          <t>重庆</t>
        </is>
      </c>
      <c r="H775" t="inlineStr">
        <is>
          <t>铲屎官, 留学背景, 学生</t>
        </is>
      </c>
      <c r="I775" t="inlineStr">
        <is>
          <t>情感, 生活记录</t>
        </is>
      </c>
      <c r="J775">
        <v>224426</v>
      </c>
      <c r="K775" t="inlineStr">
        <is>
          <t>22.4</t>
        </is>
      </c>
      <c r="L775">
        <v>52604</v>
      </c>
      <c r="M775">
        <v>10959</v>
      </c>
      <c r="N775">
        <v>886</v>
      </c>
      <c r="O775">
        <v>19990</v>
      </c>
      <c r="P775">
        <v>0.25</v>
      </c>
      <c r="Q775">
        <v>1</v>
      </c>
      <c r="R775">
        <v>48541</v>
      </c>
      <c r="S775">
        <v>6564</v>
      </c>
      <c r="T775">
        <v>516</v>
      </c>
      <c r="U775">
        <v>3.35</v>
      </c>
      <c r="V775">
        <v>19990</v>
      </c>
      <c r="W775">
        <v>1</v>
      </c>
      <c r="X775">
        <v>0</v>
      </c>
      <c r="Y775">
        <v>411.82</v>
      </c>
      <c r="Z775">
        <v>36.75</v>
      </c>
      <c r="AA775">
        <v>52604</v>
      </c>
      <c r="AB775">
        <v>11778</v>
      </c>
      <c r="AC775">
        <v>1040</v>
      </c>
      <c r="AD775">
        <v>3.96</v>
      </c>
      <c r="AE775">
        <v>29000</v>
      </c>
      <c r="AF775">
        <v>1</v>
      </c>
      <c r="AG775">
        <v>0.332999999999999</v>
      </c>
      <c r="AH775">
        <v>0.025</v>
      </c>
      <c r="AI775">
        <v>551.28</v>
      </c>
      <c r="AJ775">
        <v>26.35</v>
      </c>
      <c r="AK775">
        <v>0</v>
      </c>
      <c r="AL775">
        <v>0</v>
      </c>
      <c r="AM775">
        <v>0</v>
      </c>
      <c r="AN775">
        <v>0</v>
      </c>
      <c r="AO775">
        <v>0</v>
      </c>
      <c r="AP775">
        <v>0.809</v>
      </c>
      <c r="AQ775">
        <v>0.068</v>
      </c>
      <c r="AR775">
        <v>0.0559999999999999</v>
      </c>
      <c r="AS775" s="3">
        <v>46107.7740162037</v>
      </c>
    </row>
    <row r="776" ht="25.5" customHeight="1">
      <c r="A776" t="inlineStr">
        <is>
          <t>673eb6fd000000001d02e1cd</t>
        </is>
      </c>
      <c r="B776" s="2" t="str">
        <f>=HYPERLINK("https://www.xiaohongshu.com/user/profile/673eb6fd000000001d02e1cd", "https://www.xiaohongshu.com/user/profile/673eb6fd000000001d02e1cd")</f>
        <v>https://www.xiaohongshu.com/user/profile/673eb6fd000000001d02e1cd</v>
      </c>
      <c r="C776" s="2" t="str">
        <f>=HYPERLINK("https://pgy.xiaohongshu.com/solar/pre-trade/blogger-detail/673eb6fd000000001d02e1cd", "https://pgy.xiaohongshu.com/solar/pre-trade/blogger-detail/673eb6fd000000001d02e1cd")</f>
        <v>https://pgy.xiaohongshu.com/solar/pre-trade/blogger-detail/673eb6fd000000001d02e1cd</v>
      </c>
      <c r="D776" t="inlineStr">
        <is>
          <t>男</t>
        </is>
      </c>
      <c r="E776" t="inlineStr">
        <is>
          <t>95627594989</t>
        </is>
      </c>
      <c r="F776" t="inlineStr">
        <is>
          <t>ClaireAndGallen</t>
        </is>
      </c>
      <c r="G776" t="inlineStr">
        <is>
          <t>北京</t>
        </is>
      </c>
      <c r="H776"/>
      <c r="I776" t="inlineStr">
        <is>
          <t>教育</t>
        </is>
      </c>
      <c r="J776">
        <v>3067</v>
      </c>
      <c r="K776" t="inlineStr">
        <is>
          <t>0.3</t>
        </is>
      </c>
      <c r="L776">
        <v>3941</v>
      </c>
      <c r="M776">
        <v>817</v>
      </c>
      <c r="N776">
        <v>112</v>
      </c>
      <c r="O776">
        <v>200</v>
      </c>
      <c r="P776">
        <v>0</v>
      </c>
      <c r="Q776">
        <v>0.375</v>
      </c>
      <c r="R776">
        <v>1712</v>
      </c>
      <c r="S776">
        <v>208</v>
      </c>
      <c r="T776">
        <v>10</v>
      </c>
      <c r="U776">
        <v>1.26</v>
      </c>
      <c r="V776">
        <v>200</v>
      </c>
      <c r="W776">
        <v>0</v>
      </c>
      <c r="X776">
        <v>0</v>
      </c>
      <c r="Y776">
        <v>116.82</v>
      </c>
      <c r="Z776">
        <v>18.18</v>
      </c>
      <c r="AA776">
        <v>4300</v>
      </c>
      <c r="AB776">
        <v>873</v>
      </c>
      <c r="AC776">
        <v>103</v>
      </c>
      <c r="AD776">
        <v>2.07</v>
      </c>
      <c r="AE776">
        <v>500</v>
      </c>
      <c r="AF776">
        <v>0.4</v>
      </c>
      <c r="AG776">
        <v>0</v>
      </c>
      <c r="AH776">
        <v>0.053</v>
      </c>
      <c r="AI776">
        <v>116.28</v>
      </c>
      <c r="AJ776">
        <v>3.79</v>
      </c>
      <c r="AK776">
        <v>0</v>
      </c>
      <c r="AL776">
        <v>0</v>
      </c>
      <c r="AM776">
        <v>0</v>
      </c>
      <c r="AN776">
        <v>0</v>
      </c>
      <c r="AO776">
        <v>0</v>
      </c>
      <c r="AP776">
        <v>0.984</v>
      </c>
      <c r="AQ776">
        <v>0.143</v>
      </c>
      <c r="AR776">
        <v>0</v>
      </c>
      <c r="AS776" s="3">
        <v>46107.7740162037</v>
      </c>
    </row>
    <row r="777" ht="25.5" customHeight="1">
      <c r="A777" t="inlineStr">
        <is>
          <t>59dd8a5951783a255a99bd37</t>
        </is>
      </c>
      <c r="B777" s="2" t="str">
        <f>=HYPERLINK("https://www.xiaohongshu.com/user/profile/59dd8a5951783a255a99bd37", "https://www.xiaohongshu.com/user/profile/59dd8a5951783a255a99bd37")</f>
        <v>https://www.xiaohongshu.com/user/profile/59dd8a5951783a255a99bd37</v>
      </c>
      <c r="C777" s="2" t="str">
        <f>=HYPERLINK("https://pgy.xiaohongshu.com/solar/pre-trade/blogger-detail/59dd8a5951783a255a99bd37", "https://pgy.xiaohongshu.com/solar/pre-trade/blogger-detail/59dd8a5951783a255a99bd37")</f>
        <v>https://pgy.xiaohongshu.com/solar/pre-trade/blogger-detail/59dd8a5951783a255a99bd37</v>
      </c>
      <c r="D777" t="inlineStr">
        <is>
          <t>男</t>
        </is>
      </c>
      <c r="E777" t="inlineStr">
        <is>
          <t>950186700</t>
        </is>
      </c>
      <c r="F777" t="inlineStr">
        <is>
          <t>海棠未眠</t>
        </is>
      </c>
      <c r="G777" t="inlineStr">
        <is>
          <t>福建 厦门 思明区</t>
        </is>
      </c>
      <c r="H777"/>
      <c r="I777" t="inlineStr">
        <is>
          <t>教育</t>
        </is>
      </c>
      <c r="J777">
        <v>2376</v>
      </c>
      <c r="K777" t="inlineStr">
        <is>
          <t>0.2</t>
        </is>
      </c>
      <c r="L777">
        <v>10621</v>
      </c>
      <c r="M777">
        <v>2296</v>
      </c>
      <c r="N777">
        <v>267</v>
      </c>
      <c r="O777">
        <v>260</v>
      </c>
      <c r="P777">
        <v>0</v>
      </c>
      <c r="Q777">
        <v>0.5</v>
      </c>
      <c r="R777">
        <v>10621</v>
      </c>
      <c r="S777">
        <v>2296</v>
      </c>
      <c r="T777">
        <v>204</v>
      </c>
      <c r="U777">
        <v>0.41</v>
      </c>
      <c r="V777">
        <v>260</v>
      </c>
      <c r="W777">
        <v>0.5</v>
      </c>
      <c r="X777">
        <v>0</v>
      </c>
      <c r="Y777">
        <v>24.48</v>
      </c>
      <c r="Z777">
        <v>0.97</v>
      </c>
      <c r="AA777">
        <v>0</v>
      </c>
      <c r="AB777">
        <v>0</v>
      </c>
      <c r="AC777">
        <v>0</v>
      </c>
      <c r="AD777">
        <v>0</v>
      </c>
      <c r="AE777">
        <v>320</v>
      </c>
      <c r="AF777">
        <v>0</v>
      </c>
      <c r="AG777">
        <v>0</v>
      </c>
      <c r="AH777">
        <v>0</v>
      </c>
      <c r="AI777">
        <v>0</v>
      </c>
      <c r="AJ777">
        <v>0</v>
      </c>
      <c r="AK777">
        <v>0</v>
      </c>
      <c r="AL777">
        <v>0</v>
      </c>
      <c r="AM777">
        <v>0</v>
      </c>
      <c r="AN777">
        <v>0</v>
      </c>
      <c r="AO777">
        <v>0</v>
      </c>
      <c r="AP777">
        <v>0.823</v>
      </c>
      <c r="AQ777">
        <v>0.043</v>
      </c>
      <c r="AR777">
        <v>0.022</v>
      </c>
      <c r="AS777" s="3">
        <v>46107.7740162037</v>
      </c>
    </row>
    <row r="778" ht="25.5" customHeight="1">
      <c r="A778" t="inlineStr">
        <is>
          <t>632a0119000000002303f2f8</t>
        </is>
      </c>
      <c r="B778" s="2" t="str">
        <f>=HYPERLINK("https://www.xiaohongshu.com/user/profile/632a0119000000002303f2f8", "https://www.xiaohongshu.com/user/profile/632a0119000000002303f2f8")</f>
        <v>https://www.xiaohongshu.com/user/profile/632a0119000000002303f2f8</v>
      </c>
      <c r="C778" s="2" t="str">
        <f>=HYPERLINK("https://pgy.xiaohongshu.com/solar/pre-trade/blogger-detail/632a0119000000002303f2f8", "https://pgy.xiaohongshu.com/solar/pre-trade/blogger-detail/632a0119000000002303f2f8")</f>
        <v>https://pgy.xiaohongshu.com/solar/pre-trade/blogger-detail/632a0119000000002303f2f8</v>
      </c>
      <c r="D778" t="inlineStr">
        <is>
          <t>男</t>
        </is>
      </c>
      <c r="E778" t="inlineStr">
        <is>
          <t>5441573451</t>
        </is>
      </c>
      <c r="F778" t="inlineStr">
        <is>
          <t>恩恩恩里克</t>
        </is>
      </c>
      <c r="G778" t="inlineStr">
        <is>
          <t>安徽 阜阳 颍上县</t>
        </is>
      </c>
      <c r="H778" t="inlineStr">
        <is>
          <t>留学背景</t>
        </is>
      </c>
      <c r="I778" t="inlineStr">
        <is>
          <t>教育</t>
        </is>
      </c>
      <c r="J778">
        <v>6729</v>
      </c>
      <c r="K778" t="inlineStr">
        <is>
          <t>0.7</t>
        </is>
      </c>
      <c r="L778">
        <v>7418</v>
      </c>
      <c r="M778">
        <v>2730</v>
      </c>
      <c r="N778">
        <v>296</v>
      </c>
      <c r="O778">
        <v>178</v>
      </c>
      <c r="P778">
        <v>0.273</v>
      </c>
      <c r="Q778">
        <v>0.455</v>
      </c>
      <c r="R778">
        <v>0</v>
      </c>
      <c r="S778">
        <v>0</v>
      </c>
      <c r="T778">
        <v>0</v>
      </c>
      <c r="U778">
        <v>0</v>
      </c>
      <c r="V778">
        <v>178</v>
      </c>
      <c r="W778">
        <v>0</v>
      </c>
      <c r="X778">
        <v>0</v>
      </c>
      <c r="Y778">
        <v>0</v>
      </c>
      <c r="Z778">
        <v>0</v>
      </c>
      <c r="AA778">
        <v>7418</v>
      </c>
      <c r="AB778">
        <v>2730</v>
      </c>
      <c r="AC778">
        <v>133</v>
      </c>
      <c r="AD778">
        <v>1.63</v>
      </c>
      <c r="AE778">
        <v>295</v>
      </c>
      <c r="AF778">
        <v>0.455</v>
      </c>
      <c r="AG778">
        <v>0.273</v>
      </c>
      <c r="AH778">
        <v>0.325</v>
      </c>
      <c r="AI778">
        <v>40.19</v>
      </c>
      <c r="AJ778">
        <v>1.48</v>
      </c>
      <c r="AK778">
        <v>3764</v>
      </c>
      <c r="AL778">
        <v>549</v>
      </c>
      <c r="AM778">
        <v>21</v>
      </c>
      <c r="AN778">
        <v>0</v>
      </c>
      <c r="AO778">
        <v>0</v>
      </c>
      <c r="AP778">
        <v>0.965</v>
      </c>
      <c r="AQ778">
        <v>0.079</v>
      </c>
      <c r="AR778">
        <v>0.066</v>
      </c>
      <c r="AS778" s="3">
        <v>46107.7740162037</v>
      </c>
    </row>
    <row r="779" ht="25.5" customHeight="1">
      <c r="A779" t="inlineStr">
        <is>
          <t>597ff92c50c4b47124089825</t>
        </is>
      </c>
      <c r="B779" s="2" t="str">
        <f>=HYPERLINK("https://www.xiaohongshu.com/user/profile/597ff92c50c4b47124089825", "https://www.xiaohongshu.com/user/profile/597ff92c50c4b47124089825")</f>
        <v>https://www.xiaohongshu.com/user/profile/597ff92c50c4b47124089825</v>
      </c>
      <c r="C779" s="2" t="str">
        <f>=HYPERLINK("https://pgy.xiaohongshu.com/solar/pre-trade/blogger-detail/597ff92c50c4b47124089825", "https://pgy.xiaohongshu.com/solar/pre-trade/blogger-detail/597ff92c50c4b47124089825")</f>
        <v>https://pgy.xiaohongshu.com/solar/pre-trade/blogger-detail/597ff92c50c4b47124089825</v>
      </c>
      <c r="D779" t="inlineStr">
        <is>
          <t>女</t>
        </is>
      </c>
      <c r="E779" t="inlineStr">
        <is>
          <t>429568760</t>
        </is>
      </c>
      <c r="F779" t="inlineStr">
        <is>
          <t>Sweettea</t>
        </is>
      </c>
      <c r="G779" t="inlineStr">
        <is>
          <t>广东 佛山 顺德区</t>
        </is>
      </c>
      <c r="H779"/>
      <c r="I779" t="inlineStr">
        <is>
          <t>教育</t>
        </is>
      </c>
      <c r="J779">
        <v>8628</v>
      </c>
      <c r="K779" t="inlineStr">
        <is>
          <t>0.9</t>
        </is>
      </c>
      <c r="L779">
        <v>7691</v>
      </c>
      <c r="M779">
        <v>1254</v>
      </c>
      <c r="N779">
        <v>121</v>
      </c>
      <c r="O779">
        <v>300</v>
      </c>
      <c r="P779">
        <v>0</v>
      </c>
      <c r="Q779">
        <v>0.417</v>
      </c>
      <c r="R779">
        <v>7691</v>
      </c>
      <c r="S779">
        <v>1254</v>
      </c>
      <c r="T779">
        <v>101</v>
      </c>
      <c r="U779">
        <v>0.54</v>
      </c>
      <c r="V779">
        <v>300</v>
      </c>
      <c r="W779">
        <v>0.417</v>
      </c>
      <c r="X779">
        <v>0</v>
      </c>
      <c r="Y779">
        <v>39.01</v>
      </c>
      <c r="Z779">
        <v>2.47</v>
      </c>
      <c r="AA779">
        <v>0</v>
      </c>
      <c r="AB779">
        <v>0</v>
      </c>
      <c r="AC779">
        <v>0</v>
      </c>
      <c r="AD779">
        <v>0</v>
      </c>
      <c r="AE779">
        <v>500</v>
      </c>
      <c r="AF779">
        <v>0</v>
      </c>
      <c r="AG779">
        <v>0</v>
      </c>
      <c r="AH779">
        <v>0</v>
      </c>
      <c r="AI779">
        <v>0</v>
      </c>
      <c r="AJ779">
        <v>0</v>
      </c>
      <c r="AK779">
        <v>0</v>
      </c>
      <c r="AL779">
        <v>0</v>
      </c>
      <c r="AM779">
        <v>0</v>
      </c>
      <c r="AN779">
        <v>0</v>
      </c>
      <c r="AO779">
        <v>0</v>
      </c>
      <c r="AP779">
        <v>0.919</v>
      </c>
      <c r="AQ779">
        <v>0.09</v>
      </c>
      <c r="AR779">
        <v>0.109</v>
      </c>
      <c r="AS779" s="3">
        <v>46107.7740162037</v>
      </c>
    </row>
    <row r="780" ht="25.5" customHeight="1">
      <c r="A780" t="inlineStr">
        <is>
          <t>6925c0b10000000037000ea9</t>
        </is>
      </c>
      <c r="B780" s="2" t="str">
        <f>=HYPERLINK("https://www.xiaohongshu.com/user/profile/6925c0b10000000037000ea9", "https://www.xiaohongshu.com/user/profile/6925c0b10000000037000ea9")</f>
        <v>https://www.xiaohongshu.com/user/profile/6925c0b10000000037000ea9</v>
      </c>
      <c r="C780" s="2" t="str">
        <f>=HYPERLINK("https://pgy.xiaohongshu.com/solar/pre-trade/blogger-detail/6925c0b10000000037000ea9", "https://pgy.xiaohongshu.com/solar/pre-trade/blogger-detail/6925c0b10000000037000ea9")</f>
        <v>https://pgy.xiaohongshu.com/solar/pre-trade/blogger-detail/6925c0b10000000037000ea9</v>
      </c>
      <c r="D780" t="inlineStr">
        <is>
          <t>女</t>
        </is>
      </c>
      <c r="E780" t="inlineStr">
        <is>
          <t>42043636647</t>
        </is>
      </c>
      <c r="F780" t="inlineStr">
        <is>
          <t>桃气满满吖</t>
        </is>
      </c>
      <c r="G780" t="inlineStr">
        <is>
          <t>安徽 阜阳 太和县</t>
        </is>
      </c>
      <c r="H780"/>
      <c r="I780"/>
      <c r="J780">
        <v>17047</v>
      </c>
      <c r="K780" t="inlineStr">
        <is>
          <t>1.7</t>
        </is>
      </c>
      <c r="L780">
        <v>557846</v>
      </c>
      <c r="M780">
        <v>88011</v>
      </c>
      <c r="N780">
        <v>3684</v>
      </c>
      <c r="O780">
        <v>1800</v>
      </c>
      <c r="P780">
        <v>1</v>
      </c>
      <c r="Q780">
        <v>1</v>
      </c>
      <c r="R780">
        <v>557846</v>
      </c>
      <c r="S780">
        <v>88011</v>
      </c>
      <c r="T780">
        <v>3469</v>
      </c>
      <c r="U780">
        <v>0.3</v>
      </c>
      <c r="V780">
        <v>1800</v>
      </c>
      <c r="W780">
        <v>1</v>
      </c>
      <c r="X780">
        <v>1</v>
      </c>
      <c r="Y780">
        <v>0.36</v>
      </c>
      <c r="Z780">
        <v>0.05</v>
      </c>
      <c r="AA780">
        <v>0</v>
      </c>
      <c r="AB780">
        <v>0</v>
      </c>
      <c r="AC780">
        <v>0</v>
      </c>
      <c r="AD780">
        <v>0</v>
      </c>
      <c r="AE780">
        <v>2946</v>
      </c>
      <c r="AF780">
        <v>0</v>
      </c>
      <c r="AG780">
        <v>0</v>
      </c>
      <c r="AH780">
        <v>0</v>
      </c>
      <c r="AI780">
        <v>0</v>
      </c>
      <c r="AJ780">
        <v>0</v>
      </c>
      <c r="AK780">
        <v>0</v>
      </c>
      <c r="AL780">
        <v>0</v>
      </c>
      <c r="AM780">
        <v>0</v>
      </c>
      <c r="AN780">
        <v>0</v>
      </c>
      <c r="AO780">
        <v>0</v>
      </c>
      <c r="AP780">
        <v>0.951</v>
      </c>
      <c r="AQ780">
        <v>0.085</v>
      </c>
      <c r="AR780">
        <v>0.149</v>
      </c>
      <c r="AS780" s="3">
        <v>46107.7740162037</v>
      </c>
    </row>
    <row r="781" ht="25.5" customHeight="1">
      <c r="A781" t="inlineStr">
        <is>
          <t>5f6eb74f00000000010033ee</t>
        </is>
      </c>
      <c r="B781" s="2" t="str">
        <f>=HYPERLINK("https://www.xiaohongshu.com/user/profile/5f6eb74f00000000010033ee", "https://www.xiaohongshu.com/user/profile/5f6eb74f00000000010033ee")</f>
        <v>https://www.xiaohongshu.com/user/profile/5f6eb74f00000000010033ee</v>
      </c>
      <c r="C781" s="2" t="str">
        <f>=HYPERLINK("https://pgy.xiaohongshu.com/solar/pre-trade/blogger-detail/5f6eb74f00000000010033ee", "https://pgy.xiaohongshu.com/solar/pre-trade/blogger-detail/5f6eb74f00000000010033ee")</f>
        <v>https://pgy.xiaohongshu.com/solar/pre-trade/blogger-detail/5f6eb74f00000000010033ee</v>
      </c>
      <c r="D781" t="inlineStr">
        <is>
          <t>男</t>
        </is>
      </c>
      <c r="E781" t="inlineStr">
        <is>
          <t>734085768</t>
        </is>
      </c>
      <c r="F781" t="inlineStr">
        <is>
          <t>大头心怀宇宙</t>
        </is>
      </c>
      <c r="G781" t="inlineStr">
        <is>
          <t>湖南 长沙 岳麓区</t>
        </is>
      </c>
      <c r="H781" t="inlineStr">
        <is>
          <t>考研过来人, 学生</t>
        </is>
      </c>
      <c r="I781" t="inlineStr">
        <is>
          <t>教育, 健康养生</t>
        </is>
      </c>
      <c r="J781">
        <v>4186</v>
      </c>
      <c r="K781" t="inlineStr">
        <is>
          <t>0.4</t>
        </is>
      </c>
      <c r="L781">
        <v>25201</v>
      </c>
      <c r="M781">
        <v>6951</v>
      </c>
      <c r="N781">
        <v>620</v>
      </c>
      <c r="O781">
        <v>140</v>
      </c>
      <c r="P781">
        <v>0</v>
      </c>
      <c r="Q781">
        <v>0.5</v>
      </c>
      <c r="R781">
        <v>25201</v>
      </c>
      <c r="S781">
        <v>6951</v>
      </c>
      <c r="T781">
        <v>220</v>
      </c>
      <c r="U781">
        <v>0.32</v>
      </c>
      <c r="V781">
        <v>140</v>
      </c>
      <c r="W781">
        <v>0.5</v>
      </c>
      <c r="X781">
        <v>0</v>
      </c>
      <c r="Y781">
        <v>5.56</v>
      </c>
      <c r="Z781">
        <v>0.23</v>
      </c>
      <c r="AA781">
        <v>0</v>
      </c>
      <c r="AB781">
        <v>0</v>
      </c>
      <c r="AC781">
        <v>0</v>
      </c>
      <c r="AD781">
        <v>0</v>
      </c>
      <c r="AE781">
        <v>299</v>
      </c>
      <c r="AF781">
        <v>0</v>
      </c>
      <c r="AG781">
        <v>0</v>
      </c>
      <c r="AH781">
        <v>0</v>
      </c>
      <c r="AI781">
        <v>0</v>
      </c>
      <c r="AJ781">
        <v>0</v>
      </c>
      <c r="AK781">
        <v>0</v>
      </c>
      <c r="AL781">
        <v>0</v>
      </c>
      <c r="AM781">
        <v>0</v>
      </c>
      <c r="AN781">
        <v>0</v>
      </c>
      <c r="AO781">
        <v>0</v>
      </c>
      <c r="AP781">
        <v>0.790999999999999</v>
      </c>
      <c r="AQ781">
        <v>0.00699999999999999</v>
      </c>
      <c r="AR781">
        <v>0.002</v>
      </c>
      <c r="AS781" s="3">
        <v>46107.77422453704</v>
      </c>
    </row>
    <row r="782" ht="25.5" customHeight="1">
      <c r="A782" t="inlineStr">
        <is>
          <t>62926e070000000021027f42</t>
        </is>
      </c>
      <c r="B782" s="2" t="str">
        <f>=HYPERLINK("https://www.xiaohongshu.com/user/profile/62926e070000000021027f42", "https://www.xiaohongshu.com/user/profile/62926e070000000021027f42")</f>
        <v>https://www.xiaohongshu.com/user/profile/62926e070000000021027f42</v>
      </c>
      <c r="C782" s="2" t="str">
        <f>=HYPERLINK("https://pgy.xiaohongshu.com/solar/pre-trade/blogger-detail/62926e070000000021027f42", "https://pgy.xiaohongshu.com/solar/pre-trade/blogger-detail/62926e070000000021027f42")</f>
        <v>https://pgy.xiaohongshu.com/solar/pre-trade/blogger-detail/62926e070000000021027f42</v>
      </c>
      <c r="D782" t="inlineStr">
        <is>
          <t>女</t>
        </is>
      </c>
      <c r="E782" t="inlineStr">
        <is>
          <t>5657591897</t>
        </is>
      </c>
      <c r="F782" t="inlineStr">
        <is>
          <t>rafa 哈发</t>
        </is>
      </c>
      <c r="G782" t="inlineStr">
        <is>
          <t>北京</t>
        </is>
      </c>
      <c r="H782" t="inlineStr">
        <is>
          <t>留学背景, 外国人</t>
        </is>
      </c>
      <c r="I782" t="inlineStr">
        <is>
          <t>教育, 生活记录</t>
        </is>
      </c>
      <c r="J782">
        <v>4916</v>
      </c>
      <c r="K782" t="inlineStr">
        <is>
          <t>0.5</t>
        </is>
      </c>
      <c r="L782">
        <v>3427</v>
      </c>
      <c r="M782">
        <v>1231</v>
      </c>
      <c r="N782">
        <v>113</v>
      </c>
      <c r="O782">
        <v>200</v>
      </c>
      <c r="P782">
        <v>0.125</v>
      </c>
      <c r="Q782">
        <v>0.375</v>
      </c>
      <c r="R782">
        <v>0</v>
      </c>
      <c r="S782">
        <v>0</v>
      </c>
      <c r="T782">
        <v>0</v>
      </c>
      <c r="U782">
        <v>0</v>
      </c>
      <c r="V782">
        <v>200</v>
      </c>
      <c r="W782">
        <v>0</v>
      </c>
      <c r="X782">
        <v>0</v>
      </c>
      <c r="Y782">
        <v>0</v>
      </c>
      <c r="Z782">
        <v>0</v>
      </c>
      <c r="AA782">
        <v>3427</v>
      </c>
      <c r="AB782">
        <v>1231</v>
      </c>
      <c r="AC782">
        <v>114</v>
      </c>
      <c r="AD782">
        <v>1.67</v>
      </c>
      <c r="AE782">
        <v>210</v>
      </c>
      <c r="AF782">
        <v>0.375</v>
      </c>
      <c r="AG782">
        <v>0.125</v>
      </c>
      <c r="AH782">
        <v>0.257</v>
      </c>
      <c r="AI782">
        <v>61.27</v>
      </c>
      <c r="AJ782">
        <v>1.86</v>
      </c>
      <c r="AK782">
        <v>0</v>
      </c>
      <c r="AL782">
        <v>0</v>
      </c>
      <c r="AM782">
        <v>0</v>
      </c>
      <c r="AN782">
        <v>0</v>
      </c>
      <c r="AO782">
        <v>0</v>
      </c>
      <c r="AP782">
        <v>0.894</v>
      </c>
      <c r="AQ782">
        <v>0.05</v>
      </c>
      <c r="AR782">
        <v>0.0279999999999999</v>
      </c>
      <c r="AS782" s="3">
        <v>46107.77422453704</v>
      </c>
    </row>
    <row r="783" ht="25.5" customHeight="1">
      <c r="A783" t="inlineStr">
        <is>
          <t>5d2404980000000016020970</t>
        </is>
      </c>
      <c r="B783" s="2" t="str">
        <f>=HYPERLINK("https://www.xiaohongshu.com/user/profile/5d2404980000000016020970", "https://www.xiaohongshu.com/user/profile/5d2404980000000016020970")</f>
        <v>https://www.xiaohongshu.com/user/profile/5d2404980000000016020970</v>
      </c>
      <c r="C783" s="2" t="str">
        <f>=HYPERLINK("https://pgy.xiaohongshu.com/solar/pre-trade/blogger-detail/5d2404980000000016020970", "https://pgy.xiaohongshu.com/solar/pre-trade/blogger-detail/5d2404980000000016020970")</f>
        <v>https://pgy.xiaohongshu.com/solar/pre-trade/blogger-detail/5d2404980000000016020970</v>
      </c>
      <c r="D783" t="inlineStr">
        <is>
          <t>男</t>
        </is>
      </c>
      <c r="E783" t="inlineStr">
        <is>
          <t>304892316</t>
        </is>
      </c>
      <c r="F783" t="inlineStr">
        <is>
          <t>查理李</t>
        </is>
      </c>
      <c r="G783" t="inlineStr">
        <is>
          <t>上海</t>
        </is>
      </c>
      <c r="H783"/>
      <c r="I783" t="inlineStr">
        <is>
          <t>教育</t>
        </is>
      </c>
      <c r="J783">
        <v>6311</v>
      </c>
      <c r="K783" t="inlineStr">
        <is>
          <t>0.6</t>
        </is>
      </c>
      <c r="L783">
        <v>7479</v>
      </c>
      <c r="M783">
        <v>1871</v>
      </c>
      <c r="N783">
        <v>182</v>
      </c>
      <c r="O783">
        <v>200</v>
      </c>
      <c r="P783">
        <v>0.065</v>
      </c>
      <c r="Q783">
        <v>0.547999999999999</v>
      </c>
      <c r="R783">
        <v>0</v>
      </c>
      <c r="S783">
        <v>0</v>
      </c>
      <c r="T783">
        <v>0</v>
      </c>
      <c r="U783">
        <v>0</v>
      </c>
      <c r="V783">
        <v>200</v>
      </c>
      <c r="W783">
        <v>0</v>
      </c>
      <c r="X783">
        <v>0</v>
      </c>
      <c r="Y783">
        <v>0</v>
      </c>
      <c r="Z783">
        <v>0</v>
      </c>
      <c r="AA783">
        <v>7479</v>
      </c>
      <c r="AB783">
        <v>1871</v>
      </c>
      <c r="AC783">
        <v>162</v>
      </c>
      <c r="AD783">
        <v>1.66</v>
      </c>
      <c r="AE783">
        <v>300</v>
      </c>
      <c r="AF783">
        <v>0.547999999999999</v>
      </c>
      <c r="AG783">
        <v>0.065</v>
      </c>
      <c r="AH783">
        <v>0.086</v>
      </c>
      <c r="AI783">
        <v>40.11</v>
      </c>
      <c r="AJ783">
        <v>1.65</v>
      </c>
      <c r="AK783">
        <v>0</v>
      </c>
      <c r="AL783">
        <v>0</v>
      </c>
      <c r="AM783">
        <v>0</v>
      </c>
      <c r="AN783">
        <v>0</v>
      </c>
      <c r="AO783">
        <v>0</v>
      </c>
      <c r="AP783">
        <v>0.98</v>
      </c>
      <c r="AQ783">
        <v>0.184</v>
      </c>
      <c r="AR783">
        <v>0.319</v>
      </c>
      <c r="AS783" s="3">
        <v>46107.77422453704</v>
      </c>
    </row>
    <row r="784" ht="25.5" customHeight="1">
      <c r="A784" t="inlineStr">
        <is>
          <t>59031b6d5e87e71c32140267</t>
        </is>
      </c>
      <c r="B784" s="2" t="str">
        <f>=HYPERLINK("https://www.xiaohongshu.com/user/profile/59031b6d5e87e71c32140267", "https://www.xiaohongshu.com/user/profile/59031b6d5e87e71c32140267")</f>
        <v>https://www.xiaohongshu.com/user/profile/59031b6d5e87e71c32140267</v>
      </c>
      <c r="C784" s="2" t="str">
        <f>=HYPERLINK("https://pgy.xiaohongshu.com/solar/pre-trade/blogger-detail/59031b6d5e87e71c32140267", "https://pgy.xiaohongshu.com/solar/pre-trade/blogger-detail/59031b6d5e87e71c32140267")</f>
        <v>https://pgy.xiaohongshu.com/solar/pre-trade/blogger-detail/59031b6d5e87e71c32140267</v>
      </c>
      <c r="D784" t="inlineStr">
        <is>
          <t>女</t>
        </is>
      </c>
      <c r="E784" t="inlineStr">
        <is>
          <t>ProfessorCY</t>
        </is>
      </c>
      <c r="F784" t="inlineStr">
        <is>
          <t>Bettysmore</t>
        </is>
      </c>
      <c r="G784" t="inlineStr">
        <is>
          <t>贵州 贵阳 观山湖区</t>
        </is>
      </c>
      <c r="H784" t="inlineStr">
        <is>
          <t>留学背景</t>
        </is>
      </c>
      <c r="I784" t="inlineStr">
        <is>
          <t>教育</t>
        </is>
      </c>
      <c r="J784">
        <v>7297</v>
      </c>
      <c r="K784" t="inlineStr">
        <is>
          <t>0.7</t>
        </is>
      </c>
      <c r="L784">
        <v>5801</v>
      </c>
      <c r="M784">
        <v>885</v>
      </c>
      <c r="N784">
        <v>226</v>
      </c>
      <c r="O784">
        <v>474</v>
      </c>
      <c r="P784">
        <v>0</v>
      </c>
      <c r="Q784">
        <v>0.332999999999999</v>
      </c>
      <c r="R784">
        <v>5801</v>
      </c>
      <c r="S784">
        <v>885</v>
      </c>
      <c r="T784">
        <v>202</v>
      </c>
      <c r="U784">
        <v>0.84</v>
      </c>
      <c r="V784">
        <v>474</v>
      </c>
      <c r="W784">
        <v>0</v>
      </c>
      <c r="X784">
        <v>0</v>
      </c>
      <c r="Y784">
        <v>81.71</v>
      </c>
      <c r="Z784">
        <v>2.1</v>
      </c>
      <c r="AA784">
        <v>7016</v>
      </c>
      <c r="AB784">
        <v>956</v>
      </c>
      <c r="AC784">
        <v>110</v>
      </c>
      <c r="AD784">
        <v>2.28</v>
      </c>
      <c r="AE784">
        <v>746</v>
      </c>
      <c r="AF784">
        <v>0.5</v>
      </c>
      <c r="AG784">
        <v>0</v>
      </c>
      <c r="AH784">
        <v>0.019</v>
      </c>
      <c r="AI784">
        <v>106.33</v>
      </c>
      <c r="AJ784">
        <v>4.53</v>
      </c>
      <c r="AK784">
        <v>0</v>
      </c>
      <c r="AL784">
        <v>0</v>
      </c>
      <c r="AM784">
        <v>0</v>
      </c>
      <c r="AN784">
        <v>0</v>
      </c>
      <c r="AO784">
        <v>0</v>
      </c>
      <c r="AP784">
        <v>0.509</v>
      </c>
      <c r="AQ784">
        <v>0.012</v>
      </c>
      <c r="AR784">
        <v>0.0819999999999999</v>
      </c>
      <c r="AS784" s="3">
        <v>46107.77422453704</v>
      </c>
    </row>
    <row r="785" ht="25.5" customHeight="1">
      <c r="A785" t="inlineStr">
        <is>
          <t>5ad286aee8ac2b59bd391f73</t>
        </is>
      </c>
      <c r="B785" s="2" t="str">
        <f>=HYPERLINK("https://www.xiaohongshu.com/user/profile/5ad286aee8ac2b59bd391f73", "https://www.xiaohongshu.com/user/profile/5ad286aee8ac2b59bd391f73")</f>
        <v>https://www.xiaohongshu.com/user/profile/5ad286aee8ac2b59bd391f73</v>
      </c>
      <c r="C785" s="2" t="str">
        <f>=HYPERLINK("https://pgy.xiaohongshu.com/solar/pre-trade/blogger-detail/5ad286aee8ac2b59bd391f73", "https://pgy.xiaohongshu.com/solar/pre-trade/blogger-detail/5ad286aee8ac2b59bd391f73")</f>
        <v>https://pgy.xiaohongshu.com/solar/pre-trade/blogger-detail/5ad286aee8ac2b59bd391f73</v>
      </c>
      <c r="D785" t="inlineStr">
        <is>
          <t>男</t>
        </is>
      </c>
      <c r="E785" t="inlineStr">
        <is>
          <t>187690048</t>
        </is>
      </c>
      <c r="F785" t="inlineStr">
        <is>
          <t>Genji</t>
        </is>
      </c>
      <c r="G785" t="inlineStr">
        <is>
          <t>四川 成都 双流区</t>
        </is>
      </c>
      <c r="H785"/>
      <c r="I785" t="inlineStr">
        <is>
          <t>教育</t>
        </is>
      </c>
      <c r="J785">
        <v>1376</v>
      </c>
      <c r="K785" t="inlineStr">
        <is>
          <t>0.1</t>
        </is>
      </c>
      <c r="L785">
        <v>12479</v>
      </c>
      <c r="M785">
        <v>3248</v>
      </c>
      <c r="N785">
        <v>258</v>
      </c>
      <c r="O785">
        <v>200</v>
      </c>
      <c r="P785">
        <v>0</v>
      </c>
      <c r="Q785">
        <v>0.667</v>
      </c>
      <c r="R785">
        <v>0</v>
      </c>
      <c r="S785">
        <v>0</v>
      </c>
      <c r="T785">
        <v>0</v>
      </c>
      <c r="U785">
        <v>0</v>
      </c>
      <c r="V785">
        <v>200</v>
      </c>
      <c r="W785">
        <v>0</v>
      </c>
      <c r="X785">
        <v>0</v>
      </c>
      <c r="Y785">
        <v>0</v>
      </c>
      <c r="Z785">
        <v>0</v>
      </c>
      <c r="AA785">
        <v>12479</v>
      </c>
      <c r="AB785">
        <v>3248</v>
      </c>
      <c r="AC785">
        <v>193</v>
      </c>
      <c r="AD785">
        <v>1.65</v>
      </c>
      <c r="AE785">
        <v>500</v>
      </c>
      <c r="AF785">
        <v>0.667</v>
      </c>
      <c r="AG785">
        <v>0</v>
      </c>
      <c r="AH785">
        <v>0.256</v>
      </c>
      <c r="AI785">
        <v>40.07</v>
      </c>
      <c r="AJ785">
        <v>1.94</v>
      </c>
      <c r="AK785">
        <v>0</v>
      </c>
      <c r="AL785">
        <v>0</v>
      </c>
      <c r="AM785">
        <v>0</v>
      </c>
      <c r="AN785">
        <v>0</v>
      </c>
      <c r="AO785">
        <v>0</v>
      </c>
      <c r="AP785">
        <v>0.962</v>
      </c>
      <c r="AQ785">
        <v>0.247</v>
      </c>
      <c r="AR785">
        <v>0</v>
      </c>
      <c r="AS785" s="3">
        <v>46107.77422453704</v>
      </c>
    </row>
    <row r="786" ht="25.5" customHeight="1">
      <c r="A786" t="inlineStr">
        <is>
          <t>5f8bf6a8000000000100510f</t>
        </is>
      </c>
      <c r="B786" s="2" t="str">
        <f>=HYPERLINK("https://www.xiaohongshu.com/user/profile/5f8bf6a8000000000100510f", "https://www.xiaohongshu.com/user/profile/5f8bf6a8000000000100510f")</f>
        <v>https://www.xiaohongshu.com/user/profile/5f8bf6a8000000000100510f</v>
      </c>
      <c r="C786" s="2" t="str">
        <f>=HYPERLINK("https://pgy.xiaohongshu.com/solar/pre-trade/blogger-detail/5f8bf6a8000000000100510f", "https://pgy.xiaohongshu.com/solar/pre-trade/blogger-detail/5f8bf6a8000000000100510f")</f>
        <v>https://pgy.xiaohongshu.com/solar/pre-trade/blogger-detail/5f8bf6a8000000000100510f</v>
      </c>
      <c r="D786" t="inlineStr">
        <is>
          <t>女</t>
        </is>
      </c>
      <c r="E786" t="inlineStr">
        <is>
          <t>26255900635</t>
        </is>
      </c>
      <c r="F786" t="inlineStr">
        <is>
          <t>蜜梨学姐的英语屋</t>
        </is>
      </c>
      <c r="G786" t="inlineStr">
        <is>
          <t>重庆</t>
        </is>
      </c>
      <c r="H786"/>
      <c r="I786" t="inlineStr">
        <is>
          <t>教育</t>
        </is>
      </c>
      <c r="J786">
        <v>4463</v>
      </c>
      <c r="K786" t="inlineStr">
        <is>
          <t>0.4</t>
        </is>
      </c>
      <c r="L786">
        <v>12140</v>
      </c>
      <c r="M786">
        <v>2781</v>
      </c>
      <c r="N786">
        <v>132</v>
      </c>
      <c r="O786">
        <v>228</v>
      </c>
      <c r="P786">
        <v>0.25</v>
      </c>
      <c r="Q786">
        <v>0.417</v>
      </c>
      <c r="R786">
        <v>12140</v>
      </c>
      <c r="S786">
        <v>2781</v>
      </c>
      <c r="T786">
        <v>117</v>
      </c>
      <c r="U786">
        <v>0.38</v>
      </c>
      <c r="V786">
        <v>228</v>
      </c>
      <c r="W786">
        <v>0.417</v>
      </c>
      <c r="X786">
        <v>0.25</v>
      </c>
      <c r="Y786">
        <v>18.78</v>
      </c>
      <c r="Z786">
        <v>1.72</v>
      </c>
      <c r="AA786">
        <v>0</v>
      </c>
      <c r="AB786">
        <v>0</v>
      </c>
      <c r="AC786">
        <v>0</v>
      </c>
      <c r="AD786">
        <v>0</v>
      </c>
      <c r="AE786">
        <v>300</v>
      </c>
      <c r="AF786">
        <v>0</v>
      </c>
      <c r="AG786">
        <v>0</v>
      </c>
      <c r="AH786">
        <v>0</v>
      </c>
      <c r="AI786">
        <v>0</v>
      </c>
      <c r="AJ786">
        <v>0</v>
      </c>
      <c r="AK786">
        <v>0</v>
      </c>
      <c r="AL786">
        <v>0</v>
      </c>
      <c r="AM786">
        <v>0</v>
      </c>
      <c r="AN786">
        <v>0</v>
      </c>
      <c r="AO786">
        <v>0</v>
      </c>
      <c r="AP786">
        <v>0.877</v>
      </c>
      <c r="AQ786">
        <v>0.175</v>
      </c>
      <c r="AR786">
        <v>0.188</v>
      </c>
      <c r="AS786" s="3">
        <v>46107.77422453704</v>
      </c>
    </row>
    <row r="787" ht="25.5" customHeight="1">
      <c r="A787" t="inlineStr">
        <is>
          <t>5ed9c9640000000001004316</t>
        </is>
      </c>
      <c r="B787" s="2" t="str">
        <f>=HYPERLINK("https://www.xiaohongshu.com/user/profile/5ed9c9640000000001004316", "https://www.xiaohongshu.com/user/profile/5ed9c9640000000001004316")</f>
        <v>https://www.xiaohongshu.com/user/profile/5ed9c9640000000001004316</v>
      </c>
      <c r="C787" s="2" t="str">
        <f>=HYPERLINK("https://pgy.xiaohongshu.com/solar/pre-trade/blogger-detail/5ed9c9640000000001004316", "https://pgy.xiaohongshu.com/solar/pre-trade/blogger-detail/5ed9c9640000000001004316")</f>
        <v>https://pgy.xiaohongshu.com/solar/pre-trade/blogger-detail/5ed9c9640000000001004316</v>
      </c>
      <c r="D787" t="inlineStr">
        <is>
          <t>男</t>
        </is>
      </c>
      <c r="E787" t="inlineStr">
        <is>
          <t>170909543</t>
        </is>
      </c>
      <c r="F787" t="inlineStr">
        <is>
          <t>小蔣和</t>
        </is>
      </c>
      <c r="G787" t="inlineStr">
        <is>
          <t>乌克兰</t>
        </is>
      </c>
      <c r="H787" t="inlineStr">
        <is>
          <t>户外爱好者, 二次元人群, 学生, 留学背景</t>
        </is>
      </c>
      <c r="I787" t="inlineStr">
        <is>
          <t>生活记录</t>
        </is>
      </c>
      <c r="J787">
        <v>43295</v>
      </c>
      <c r="K787" t="inlineStr">
        <is>
          <t>4.3</t>
        </is>
      </c>
      <c r="L787">
        <v>55024</v>
      </c>
      <c r="M787">
        <v>22191</v>
      </c>
      <c r="N787">
        <v>3665</v>
      </c>
      <c r="O787">
        <v>449</v>
      </c>
      <c r="P787">
        <v>0.778</v>
      </c>
      <c r="Q787">
        <v>1</v>
      </c>
      <c r="R787">
        <v>0</v>
      </c>
      <c r="S787">
        <v>0</v>
      </c>
      <c r="T787">
        <v>0</v>
      </c>
      <c r="U787">
        <v>0</v>
      </c>
      <c r="V787">
        <v>449</v>
      </c>
      <c r="W787">
        <v>0</v>
      </c>
      <c r="X787">
        <v>0</v>
      </c>
      <c r="Y787">
        <v>0</v>
      </c>
      <c r="Z787">
        <v>0</v>
      </c>
      <c r="AA787">
        <v>55024</v>
      </c>
      <c r="AB787">
        <v>22191</v>
      </c>
      <c r="AC787">
        <v>3402</v>
      </c>
      <c r="AD787">
        <v>1.54</v>
      </c>
      <c r="AE787">
        <v>824</v>
      </c>
      <c r="AF787">
        <v>1</v>
      </c>
      <c r="AG787">
        <v>0.778</v>
      </c>
      <c r="AH787">
        <v>0.192</v>
      </c>
      <c r="AI787">
        <v>14.98</v>
      </c>
      <c r="AJ787">
        <v>0.22</v>
      </c>
      <c r="AK787">
        <v>0</v>
      </c>
      <c r="AL787">
        <v>0</v>
      </c>
      <c r="AM787">
        <v>0</v>
      </c>
      <c r="AN787">
        <v>0</v>
      </c>
      <c r="AO787">
        <v>0</v>
      </c>
      <c r="AP787">
        <v>0.996</v>
      </c>
      <c r="AQ787">
        <v>0.643</v>
      </c>
      <c r="AR787">
        <v>0</v>
      </c>
      <c r="AS787" s="3">
        <v>46107.77422453704</v>
      </c>
    </row>
    <row r="788" ht="25.5" customHeight="1">
      <c r="A788" t="inlineStr">
        <is>
          <t>5cad7c930000000012030431</t>
        </is>
      </c>
      <c r="B788" s="2" t="str">
        <f>=HYPERLINK("https://www.xiaohongshu.com/user/profile/5cad7c930000000012030431", "https://www.xiaohongshu.com/user/profile/5cad7c930000000012030431")</f>
        <v>https://www.xiaohongshu.com/user/profile/5cad7c930000000012030431</v>
      </c>
      <c r="C788" s="2" t="str">
        <f>=HYPERLINK("https://pgy.xiaohongshu.com/solar/pre-trade/blogger-detail/5cad7c930000000012030431", "https://pgy.xiaohongshu.com/solar/pre-trade/blogger-detail/5cad7c930000000012030431")</f>
        <v>https://pgy.xiaohongshu.com/solar/pre-trade/blogger-detail/5cad7c930000000012030431</v>
      </c>
      <c r="D788" t="inlineStr">
        <is>
          <t>女</t>
        </is>
      </c>
      <c r="E788" t="inlineStr">
        <is>
          <t>685611876</t>
        </is>
      </c>
      <c r="F788" t="inlineStr">
        <is>
          <t>温温温迪Wendy</t>
        </is>
      </c>
      <c r="G788" t="inlineStr">
        <is>
          <t>四川 成都 龙泉驿区</t>
        </is>
      </c>
      <c r="H788"/>
      <c r="I788" t="inlineStr">
        <is>
          <t>教育</t>
        </is>
      </c>
      <c r="J788">
        <v>4683</v>
      </c>
      <c r="K788" t="inlineStr">
        <is>
          <t>0.5</t>
        </is>
      </c>
      <c r="L788">
        <v>3641</v>
      </c>
      <c r="M788">
        <v>1298</v>
      </c>
      <c r="N788">
        <v>174</v>
      </c>
      <c r="O788">
        <v>150</v>
      </c>
      <c r="P788">
        <v>0.054</v>
      </c>
      <c r="Q788">
        <v>0.486</v>
      </c>
      <c r="R788">
        <v>2763</v>
      </c>
      <c r="S788">
        <v>291</v>
      </c>
      <c r="T788">
        <v>16</v>
      </c>
      <c r="U788">
        <v>0.81</v>
      </c>
      <c r="V788">
        <v>150</v>
      </c>
      <c r="W788">
        <v>0</v>
      </c>
      <c r="X788">
        <v>0</v>
      </c>
      <c r="Y788">
        <v>54.29</v>
      </c>
      <c r="Z788">
        <v>8.33</v>
      </c>
      <c r="AA788">
        <v>3641</v>
      </c>
      <c r="AB788">
        <v>1558</v>
      </c>
      <c r="AC788">
        <v>156</v>
      </c>
      <c r="AD788">
        <v>1.64</v>
      </c>
      <c r="AE788">
        <v>200</v>
      </c>
      <c r="AF788">
        <v>0.514</v>
      </c>
      <c r="AG788">
        <v>0.057</v>
      </c>
      <c r="AH788">
        <v>0.013</v>
      </c>
      <c r="AI788">
        <v>54.26</v>
      </c>
      <c r="AJ788">
        <v>1.09</v>
      </c>
      <c r="AK788">
        <v>8442</v>
      </c>
      <c r="AL788">
        <v>1188</v>
      </c>
      <c r="AM788">
        <v>108</v>
      </c>
      <c r="AN788">
        <v>0</v>
      </c>
      <c r="AO788">
        <v>0</v>
      </c>
      <c r="AP788">
        <v>0.942</v>
      </c>
      <c r="AQ788">
        <v>0.398999999999999</v>
      </c>
      <c r="AR788">
        <v>0</v>
      </c>
      <c r="AS788" s="3">
        <v>46107.77422453704</v>
      </c>
    </row>
    <row r="789" ht="25.5" customHeight="1">
      <c r="A789" t="inlineStr">
        <is>
          <t>660a7753000000000b00fc25</t>
        </is>
      </c>
      <c r="B789" s="2" t="str">
        <f>=HYPERLINK("https://www.xiaohongshu.com/user/profile/660a7753000000000b00fc25", "https://www.xiaohongshu.com/user/profile/660a7753000000000b00fc25")</f>
        <v>https://www.xiaohongshu.com/user/profile/660a7753000000000b00fc25</v>
      </c>
      <c r="C789" s="2" t="str">
        <f>=HYPERLINK("https://pgy.xiaohongshu.com/solar/pre-trade/blogger-detail/660a7753000000000b00fc25", "https://pgy.xiaohongshu.com/solar/pre-trade/blogger-detail/660a7753000000000b00fc25")</f>
        <v>https://pgy.xiaohongshu.com/solar/pre-trade/blogger-detail/660a7753000000000b00fc25</v>
      </c>
      <c r="D789" t="inlineStr">
        <is>
          <t>女</t>
        </is>
      </c>
      <c r="E789" t="inlineStr">
        <is>
          <t>95263119558</t>
        </is>
      </c>
      <c r="F789" t="inlineStr">
        <is>
          <t>Amy｜英语易混词</t>
        </is>
      </c>
      <c r="G789" t="inlineStr">
        <is>
          <t>河北 秦皇岛 海港区</t>
        </is>
      </c>
      <c r="H789"/>
      <c r="I789" t="inlineStr">
        <is>
          <t>教育</t>
        </is>
      </c>
      <c r="J789">
        <v>6481</v>
      </c>
      <c r="K789" t="inlineStr">
        <is>
          <t>0.6</t>
        </is>
      </c>
      <c r="L789">
        <v>2017</v>
      </c>
      <c r="M789">
        <v>1457</v>
      </c>
      <c r="N789">
        <v>134</v>
      </c>
      <c r="O789">
        <v>200</v>
      </c>
      <c r="P789">
        <v>0.077</v>
      </c>
      <c r="Q789">
        <v>0.231</v>
      </c>
      <c r="R789">
        <v>0</v>
      </c>
      <c r="S789">
        <v>0</v>
      </c>
      <c r="T789">
        <v>0</v>
      </c>
      <c r="U789">
        <v>0</v>
      </c>
      <c r="V789">
        <v>200</v>
      </c>
      <c r="W789">
        <v>0</v>
      </c>
      <c r="X789">
        <v>0</v>
      </c>
      <c r="Y789">
        <v>0</v>
      </c>
      <c r="Z789">
        <v>0</v>
      </c>
      <c r="AA789">
        <v>2017</v>
      </c>
      <c r="AB789">
        <v>1457</v>
      </c>
      <c r="AC789">
        <v>117</v>
      </c>
      <c r="AD789">
        <v>1.68</v>
      </c>
      <c r="AE789">
        <v>260</v>
      </c>
      <c r="AF789">
        <v>0.231</v>
      </c>
      <c r="AG789">
        <v>0.077</v>
      </c>
      <c r="AH789">
        <v>0.348</v>
      </c>
      <c r="AI789">
        <v>128.87</v>
      </c>
      <c r="AJ789">
        <v>1.93</v>
      </c>
      <c r="AK789">
        <v>0</v>
      </c>
      <c r="AL789">
        <v>0</v>
      </c>
      <c r="AM789">
        <v>0</v>
      </c>
      <c r="AN789">
        <v>0</v>
      </c>
      <c r="AO789">
        <v>0</v>
      </c>
      <c r="AP789">
        <v>0.99</v>
      </c>
      <c r="AQ789">
        <v>0.221</v>
      </c>
      <c r="AR789">
        <v>1.716</v>
      </c>
      <c r="AS789" s="3">
        <v>46107.77422453704</v>
      </c>
    </row>
    <row r="790" ht="25.5" customHeight="1">
      <c r="A790" t="inlineStr">
        <is>
          <t>6927f7f8000000003702983b</t>
        </is>
      </c>
      <c r="B790" s="2" t="str">
        <f>=HYPERLINK("https://www.xiaohongshu.com/user/profile/6927f7f8000000003702983b", "https://www.xiaohongshu.com/user/profile/6927f7f8000000003702983b")</f>
        <v>https://www.xiaohongshu.com/user/profile/6927f7f8000000003702983b</v>
      </c>
      <c r="C790" s="2" t="str">
        <f>=HYPERLINK("https://pgy.xiaohongshu.com/solar/pre-trade/blogger-detail/6927f7f8000000003702983b", "https://pgy.xiaohongshu.com/solar/pre-trade/blogger-detail/6927f7f8000000003702983b")</f>
        <v>https://pgy.xiaohongshu.com/solar/pre-trade/blogger-detail/6927f7f8000000003702983b</v>
      </c>
      <c r="D790" t="inlineStr">
        <is>
          <t>女</t>
        </is>
      </c>
      <c r="E790" t="inlineStr">
        <is>
          <t>94379364251</t>
        </is>
      </c>
      <c r="F790" t="inlineStr">
        <is>
          <t>绒绒英语工坊</t>
        </is>
      </c>
      <c r="G790" t="inlineStr">
        <is>
          <t>江苏 南京 秦淮区</t>
        </is>
      </c>
      <c r="H790"/>
      <c r="I790" t="inlineStr">
        <is>
          <t>教育</t>
        </is>
      </c>
      <c r="J790">
        <v>12225</v>
      </c>
      <c r="K790" t="inlineStr">
        <is>
          <t>1.2</t>
        </is>
      </c>
      <c r="L790">
        <v>4036</v>
      </c>
      <c r="M790">
        <v>1732</v>
      </c>
      <c r="N790">
        <v>182</v>
      </c>
      <c r="O790">
        <v>400</v>
      </c>
      <c r="P790">
        <v>0.133</v>
      </c>
      <c r="Q790">
        <v>0.332999999999999</v>
      </c>
      <c r="R790">
        <v>0</v>
      </c>
      <c r="S790">
        <v>0</v>
      </c>
      <c r="T790">
        <v>0</v>
      </c>
      <c r="U790">
        <v>0</v>
      </c>
      <c r="V790">
        <v>400</v>
      </c>
      <c r="W790">
        <v>0</v>
      </c>
      <c r="X790">
        <v>0</v>
      </c>
      <c r="Y790">
        <v>0</v>
      </c>
      <c r="Z790">
        <v>0</v>
      </c>
      <c r="AA790">
        <v>4036</v>
      </c>
      <c r="AB790">
        <v>1732</v>
      </c>
      <c r="AC790">
        <v>140</v>
      </c>
      <c r="AD790">
        <v>1.73</v>
      </c>
      <c r="AE790">
        <v>400</v>
      </c>
      <c r="AF790">
        <v>0.332999999999999</v>
      </c>
      <c r="AG790">
        <v>0.133</v>
      </c>
      <c r="AH790">
        <v>0.122</v>
      </c>
      <c r="AI790">
        <v>99.11</v>
      </c>
      <c r="AJ790">
        <v>2.2</v>
      </c>
      <c r="AK790">
        <v>0</v>
      </c>
      <c r="AL790">
        <v>0</v>
      </c>
      <c r="AM790">
        <v>0</v>
      </c>
      <c r="AN790">
        <v>0</v>
      </c>
      <c r="AO790">
        <v>0</v>
      </c>
      <c r="AP790">
        <v>0.993</v>
      </c>
      <c r="AQ790">
        <v>0.238</v>
      </c>
      <c r="AR790">
        <v>2.046</v>
      </c>
      <c r="AS790" s="3">
        <v>46107.77422453704</v>
      </c>
    </row>
    <row r="791" ht="25.5" customHeight="1">
      <c r="A791" t="inlineStr">
        <is>
          <t>5f03ab3c000000000100403e</t>
        </is>
      </c>
      <c r="B791" s="2" t="str">
        <f>=HYPERLINK("https://www.xiaohongshu.com/user/profile/5f03ab3c000000000100403e", "https://www.xiaohongshu.com/user/profile/5f03ab3c000000000100403e")</f>
        <v>https://www.xiaohongshu.com/user/profile/5f03ab3c000000000100403e</v>
      </c>
      <c r="C791" s="2" t="str">
        <f>=HYPERLINK("https://pgy.xiaohongshu.com/solar/pre-trade/blogger-detail/5f03ab3c000000000100403e", "https://pgy.xiaohongshu.com/solar/pre-trade/blogger-detail/5f03ab3c000000000100403e")</f>
        <v>https://pgy.xiaohongshu.com/solar/pre-trade/blogger-detail/5f03ab3c000000000100403e</v>
      </c>
      <c r="D791" t="inlineStr">
        <is>
          <t>女</t>
        </is>
      </c>
      <c r="E791" t="inlineStr">
        <is>
          <t>331238415</t>
        </is>
      </c>
      <c r="F791" t="inlineStr">
        <is>
          <t>小羊苏西🍒</t>
        </is>
      </c>
      <c r="G791" t="inlineStr">
        <is>
          <t>福建 厦门 思明区</t>
        </is>
      </c>
      <c r="H791"/>
      <c r="I791" t="inlineStr">
        <is>
          <t>教育</t>
        </is>
      </c>
      <c r="J791">
        <v>1315</v>
      </c>
      <c r="K791" t="inlineStr">
        <is>
          <t>0.1</t>
        </is>
      </c>
      <c r="L791">
        <v>8634</v>
      </c>
      <c r="M791">
        <v>1630</v>
      </c>
      <c r="N791">
        <v>430</v>
      </c>
      <c r="O791">
        <v>232</v>
      </c>
      <c r="P791">
        <v>0</v>
      </c>
      <c r="Q791">
        <v>0.6</v>
      </c>
      <c r="R791">
        <v>8634</v>
      </c>
      <c r="S791">
        <v>1630</v>
      </c>
      <c r="T791">
        <v>338</v>
      </c>
      <c r="U791">
        <v>0.44</v>
      </c>
      <c r="V791">
        <v>232</v>
      </c>
      <c r="W791">
        <v>0.6</v>
      </c>
      <c r="X791">
        <v>0</v>
      </c>
      <c r="Y791">
        <v>26.87</v>
      </c>
      <c r="Z791">
        <v>0.54</v>
      </c>
      <c r="AA791">
        <v>0</v>
      </c>
      <c r="AB791">
        <v>0</v>
      </c>
      <c r="AC791">
        <v>0</v>
      </c>
      <c r="AD791">
        <v>0</v>
      </c>
      <c r="AE791">
        <v>425</v>
      </c>
      <c r="AF791">
        <v>0</v>
      </c>
      <c r="AG791">
        <v>0</v>
      </c>
      <c r="AH791">
        <v>0</v>
      </c>
      <c r="AI791">
        <v>0</v>
      </c>
      <c r="AJ791">
        <v>0</v>
      </c>
      <c r="AK791">
        <v>0</v>
      </c>
      <c r="AL791">
        <v>0</v>
      </c>
      <c r="AM791">
        <v>0</v>
      </c>
      <c r="AN791">
        <v>0</v>
      </c>
      <c r="AO791">
        <v>0</v>
      </c>
      <c r="AP791">
        <v>0.962</v>
      </c>
      <c r="AQ791">
        <v>0.252</v>
      </c>
      <c r="AR791">
        <v>0</v>
      </c>
      <c r="AS791" s="3">
        <v>46107.77422453704</v>
      </c>
    </row>
    <row r="792" ht="25.5" customHeight="1">
      <c r="A792" t="inlineStr">
        <is>
          <t>583a96ac50c4b45e0536217e</t>
        </is>
      </c>
      <c r="B792" s="2" t="str">
        <f>=HYPERLINK("https://www.xiaohongshu.com/user/profile/583a96ac50c4b45e0536217e", "https://www.xiaohongshu.com/user/profile/583a96ac50c4b45e0536217e")</f>
        <v>https://www.xiaohongshu.com/user/profile/583a96ac50c4b45e0536217e</v>
      </c>
      <c r="C792" s="2" t="str">
        <f>=HYPERLINK("https://pgy.xiaohongshu.com/solar/pre-trade/blogger-detail/583a96ac50c4b45e0536217e", "https://pgy.xiaohongshu.com/solar/pre-trade/blogger-detail/583a96ac50c4b45e0536217e")</f>
        <v>https://pgy.xiaohongshu.com/solar/pre-trade/blogger-detail/583a96ac50c4b45e0536217e</v>
      </c>
      <c r="D792" t="inlineStr">
        <is>
          <t>女</t>
        </is>
      </c>
      <c r="E792" t="inlineStr">
        <is>
          <t>I226027389</t>
        </is>
      </c>
      <c r="F792" t="inlineStr">
        <is>
          <t>momo</t>
        </is>
      </c>
      <c r="G792" t="inlineStr">
        <is>
          <t>广东 广州 海珠区</t>
        </is>
      </c>
      <c r="H792"/>
      <c r="I792" t="inlineStr">
        <is>
          <t>教育</t>
        </is>
      </c>
      <c r="J792">
        <v>1402</v>
      </c>
      <c r="K792" t="inlineStr">
        <is>
          <t>0.1</t>
        </is>
      </c>
      <c r="L792">
        <v>7062</v>
      </c>
      <c r="M792">
        <v>1987</v>
      </c>
      <c r="N792">
        <v>139</v>
      </c>
      <c r="O792">
        <v>300</v>
      </c>
      <c r="P792">
        <v>0</v>
      </c>
      <c r="Q792">
        <v>0.5</v>
      </c>
      <c r="R792">
        <v>14778</v>
      </c>
      <c r="S792">
        <v>5227</v>
      </c>
      <c r="T792">
        <v>158</v>
      </c>
      <c r="U792">
        <v>0.36</v>
      </c>
      <c r="V792">
        <v>300</v>
      </c>
      <c r="W792">
        <v>0.5</v>
      </c>
      <c r="X792">
        <v>0</v>
      </c>
      <c r="Y792">
        <v>20.3</v>
      </c>
      <c r="Z792">
        <v>1.62</v>
      </c>
      <c r="AA792">
        <v>0</v>
      </c>
      <c r="AB792">
        <v>0</v>
      </c>
      <c r="AC792">
        <v>0</v>
      </c>
      <c r="AD792">
        <v>0</v>
      </c>
      <c r="AE792">
        <v>800</v>
      </c>
      <c r="AF792">
        <v>0</v>
      </c>
      <c r="AG792">
        <v>0</v>
      </c>
      <c r="AH792">
        <v>0</v>
      </c>
      <c r="AI792">
        <v>0</v>
      </c>
      <c r="AJ792">
        <v>0</v>
      </c>
      <c r="AK792">
        <v>0</v>
      </c>
      <c r="AL792">
        <v>0</v>
      </c>
      <c r="AM792">
        <v>0</v>
      </c>
      <c r="AN792">
        <v>0</v>
      </c>
      <c r="AO792">
        <v>0</v>
      </c>
      <c r="AP792">
        <v>0.924</v>
      </c>
      <c r="AQ792">
        <v>0.237</v>
      </c>
      <c r="AR792">
        <v>0</v>
      </c>
      <c r="AS792" s="3">
        <v>46107.77422453704</v>
      </c>
    </row>
    <row r="793" ht="25.5" customHeight="1">
      <c r="A793" t="inlineStr">
        <is>
          <t>60ec35080000000001009f11</t>
        </is>
      </c>
      <c r="B793" s="2" t="str">
        <f>=HYPERLINK("https://www.xiaohongshu.com/user/profile/60ec35080000000001009f11", "https://www.xiaohongshu.com/user/profile/60ec35080000000001009f11")</f>
        <v>https://www.xiaohongshu.com/user/profile/60ec35080000000001009f11</v>
      </c>
      <c r="C793" s="2" t="str">
        <f>=HYPERLINK("https://pgy.xiaohongshu.com/solar/pre-trade/blogger-detail/60ec35080000000001009f11", "https://pgy.xiaohongshu.com/solar/pre-trade/blogger-detail/60ec35080000000001009f11")</f>
        <v>https://pgy.xiaohongshu.com/solar/pre-trade/blogger-detail/60ec35080000000001009f11</v>
      </c>
      <c r="D793" t="inlineStr">
        <is>
          <t>女</t>
        </is>
      </c>
      <c r="E793" t="inlineStr">
        <is>
          <t>hyuuul0103</t>
        </is>
      </c>
      <c r="F793" t="inlineStr">
        <is>
          <t>imshirleyyy🥪</t>
        </is>
      </c>
      <c r="G793" t="inlineStr">
        <is>
          <t>澳大利亚</t>
        </is>
      </c>
      <c r="H793" t="inlineStr">
        <is>
          <t>学生, 闺蜜, 模特</t>
        </is>
      </c>
      <c r="I793" t="inlineStr">
        <is>
          <t>美食, 出行旅游</t>
        </is>
      </c>
      <c r="J793">
        <v>5022</v>
      </c>
      <c r="K793" t="inlineStr">
        <is>
          <t>0.5</t>
        </is>
      </c>
      <c r="L793">
        <v>7128</v>
      </c>
      <c r="M793">
        <v>1303</v>
      </c>
      <c r="N793">
        <v>136</v>
      </c>
      <c r="O793">
        <v>250</v>
      </c>
      <c r="P793">
        <v>0</v>
      </c>
      <c r="Q793">
        <v>0.417</v>
      </c>
      <c r="R793">
        <v>7128</v>
      </c>
      <c r="S793">
        <v>1303</v>
      </c>
      <c r="T793">
        <v>113</v>
      </c>
      <c r="U793">
        <v>0.49</v>
      </c>
      <c r="V793">
        <v>250</v>
      </c>
      <c r="W793">
        <v>0.417</v>
      </c>
      <c r="X793">
        <v>0</v>
      </c>
      <c r="Y793">
        <v>32.55</v>
      </c>
      <c r="Z793">
        <v>1.6</v>
      </c>
      <c r="AA793">
        <v>0</v>
      </c>
      <c r="AB793">
        <v>0</v>
      </c>
      <c r="AC793">
        <v>0</v>
      </c>
      <c r="AD793">
        <v>0</v>
      </c>
      <c r="AE793">
        <v>363</v>
      </c>
      <c r="AF793">
        <v>0</v>
      </c>
      <c r="AG793">
        <v>0</v>
      </c>
      <c r="AH793">
        <v>0</v>
      </c>
      <c r="AI793">
        <v>0</v>
      </c>
      <c r="AJ793">
        <v>0</v>
      </c>
      <c r="AK793">
        <v>10063</v>
      </c>
      <c r="AL793">
        <v>1623</v>
      </c>
      <c r="AM793">
        <v>151</v>
      </c>
      <c r="AN793">
        <v>0</v>
      </c>
      <c r="AO793">
        <v>0</v>
      </c>
      <c r="AP793">
        <v>0.745</v>
      </c>
      <c r="AQ793">
        <v>0.048</v>
      </c>
      <c r="AR793">
        <v>0.045</v>
      </c>
      <c r="AS793" s="3">
        <v>46107.77422453704</v>
      </c>
    </row>
    <row r="794" ht="25.5" customHeight="1">
      <c r="A794" t="inlineStr">
        <is>
          <t>62748bfa0000000021024d6f</t>
        </is>
      </c>
      <c r="B794" s="2" t="str">
        <f>=HYPERLINK("https://www.xiaohongshu.com/user/profile/62748bfa0000000021024d6f", "https://www.xiaohongshu.com/user/profile/62748bfa0000000021024d6f")</f>
        <v>https://www.xiaohongshu.com/user/profile/62748bfa0000000021024d6f</v>
      </c>
      <c r="C794" s="2" t="str">
        <f>=HYPERLINK("https://pgy.xiaohongshu.com/solar/pre-trade/blogger-detail/62748bfa0000000021024d6f", "https://pgy.xiaohongshu.com/solar/pre-trade/blogger-detail/62748bfa0000000021024d6f")</f>
        <v>https://pgy.xiaohongshu.com/solar/pre-trade/blogger-detail/62748bfa0000000021024d6f</v>
      </c>
      <c r="D794" t="inlineStr">
        <is>
          <t>男</t>
        </is>
      </c>
      <c r="E794" t="inlineStr">
        <is>
          <t>3802079484</t>
        </is>
      </c>
      <c r="F794" t="inlineStr">
        <is>
          <t>麦克黑</t>
        </is>
      </c>
      <c r="G794" t="inlineStr">
        <is>
          <t>上海</t>
        </is>
      </c>
      <c r="H794"/>
      <c r="I794" t="inlineStr">
        <is>
          <t>教育</t>
        </is>
      </c>
      <c r="J794">
        <v>13556</v>
      </c>
      <c r="K794" t="inlineStr">
        <is>
          <t>1.4</t>
        </is>
      </c>
      <c r="L794">
        <v>76582</v>
      </c>
      <c r="M794">
        <v>20874</v>
      </c>
      <c r="N794">
        <v>577</v>
      </c>
      <c r="O794">
        <v>600</v>
      </c>
      <c r="P794">
        <v>0.166999999999999</v>
      </c>
      <c r="Q794">
        <v>1</v>
      </c>
      <c r="R794">
        <v>76582</v>
      </c>
      <c r="S794">
        <v>20874</v>
      </c>
      <c r="T794">
        <v>470</v>
      </c>
      <c r="U794">
        <v>0.33</v>
      </c>
      <c r="V794">
        <v>600</v>
      </c>
      <c r="W794">
        <v>1</v>
      </c>
      <c r="X794">
        <v>0.166999999999999</v>
      </c>
      <c r="Y794">
        <v>7.83</v>
      </c>
      <c r="Z794">
        <v>1.04</v>
      </c>
      <c r="AA794">
        <v>0</v>
      </c>
      <c r="AB794">
        <v>0</v>
      </c>
      <c r="AC794">
        <v>0</v>
      </c>
      <c r="AD794">
        <v>0</v>
      </c>
      <c r="AE794">
        <v>0</v>
      </c>
      <c r="AF794">
        <v>0</v>
      </c>
      <c r="AG794">
        <v>0</v>
      </c>
      <c r="AH794">
        <v>0</v>
      </c>
      <c r="AI794">
        <v>0</v>
      </c>
      <c r="AJ794">
        <v>0</v>
      </c>
      <c r="AK794">
        <v>0</v>
      </c>
      <c r="AL794">
        <v>0</v>
      </c>
      <c r="AM794">
        <v>0</v>
      </c>
      <c r="AN794">
        <v>0</v>
      </c>
      <c r="AO794">
        <v>0</v>
      </c>
      <c r="AP794">
        <v>0.968</v>
      </c>
      <c r="AQ794">
        <v>0.064</v>
      </c>
      <c r="AR794">
        <v>0.012</v>
      </c>
      <c r="AS794" s="3">
        <v>46107.77422453704</v>
      </c>
    </row>
    <row r="795" ht="25.5" customHeight="1">
      <c r="A795" t="inlineStr">
        <is>
          <t>55648ae062a60c58208a3a76</t>
        </is>
      </c>
      <c r="B795" s="2" t="str">
        <f>=HYPERLINK("https://www.xiaohongshu.com/user/profile/55648ae062a60c58208a3a76", "https://www.xiaohongshu.com/user/profile/55648ae062a60c58208a3a76")</f>
        <v>https://www.xiaohongshu.com/user/profile/55648ae062a60c58208a3a76</v>
      </c>
      <c r="C795" s="2" t="str">
        <f>=HYPERLINK("https://pgy.xiaohongshu.com/solar/pre-trade/blogger-detail/55648ae062a60c58208a3a76", "https://pgy.xiaohongshu.com/solar/pre-trade/blogger-detail/55648ae062a60c58208a3a76")</f>
        <v>https://pgy.xiaohongshu.com/solar/pre-trade/blogger-detail/55648ae062a60c58208a3a76</v>
      </c>
      <c r="D795" t="inlineStr">
        <is>
          <t>男</t>
        </is>
      </c>
      <c r="E795" t="inlineStr">
        <is>
          <t>412466538</t>
        </is>
      </c>
      <c r="F795" t="inlineStr">
        <is>
          <t>你家WiFi信号增强器</t>
        </is>
      </c>
      <c r="G795" t="inlineStr">
        <is>
          <t>山东 威海 荣成市</t>
        </is>
      </c>
      <c r="H795" t="inlineStr">
        <is>
          <t>学生</t>
        </is>
      </c>
      <c r="I795" t="inlineStr">
        <is>
          <t>兴趣爱好, 教育, 生活记录</t>
        </is>
      </c>
      <c r="J795">
        <v>6399</v>
      </c>
      <c r="K795" t="inlineStr">
        <is>
          <t>0.6</t>
        </is>
      </c>
      <c r="L795">
        <v>1703</v>
      </c>
      <c r="M795">
        <v>1182</v>
      </c>
      <c r="N795">
        <v>100</v>
      </c>
      <c r="O795">
        <v>309</v>
      </c>
      <c r="P795">
        <v>0.039</v>
      </c>
      <c r="Q795">
        <v>0.451</v>
      </c>
      <c r="R795">
        <v>0</v>
      </c>
      <c r="S795">
        <v>0</v>
      </c>
      <c r="T795">
        <v>0</v>
      </c>
      <c r="U795">
        <v>0</v>
      </c>
      <c r="V795">
        <v>309</v>
      </c>
      <c r="W795">
        <v>0</v>
      </c>
      <c r="X795">
        <v>0</v>
      </c>
      <c r="Y795">
        <v>0</v>
      </c>
      <c r="Z795">
        <v>0</v>
      </c>
      <c r="AA795">
        <v>1714</v>
      </c>
      <c r="AB795">
        <v>1186</v>
      </c>
      <c r="AC795">
        <v>83</v>
      </c>
      <c r="AD795">
        <v>2.19</v>
      </c>
      <c r="AE795">
        <v>814</v>
      </c>
      <c r="AF795">
        <v>0.451</v>
      </c>
      <c r="AG795">
        <v>0.039</v>
      </c>
      <c r="AH795">
        <v>0.583</v>
      </c>
      <c r="AI795">
        <v>474.91</v>
      </c>
      <c r="AJ795">
        <v>7.9</v>
      </c>
      <c r="AK795">
        <v>0</v>
      </c>
      <c r="AL795">
        <v>0</v>
      </c>
      <c r="AM795">
        <v>0</v>
      </c>
      <c r="AN795">
        <v>0</v>
      </c>
      <c r="AO795">
        <v>0</v>
      </c>
      <c r="AP795">
        <v>0.848</v>
      </c>
      <c r="AQ795">
        <v>0.039</v>
      </c>
      <c r="AR795">
        <v>0.033</v>
      </c>
      <c r="AS795" s="3">
        <v>46107.77422453704</v>
      </c>
    </row>
    <row r="796" ht="25.5" customHeight="1">
      <c r="A796" t="inlineStr">
        <is>
          <t>63630fd5000000001f01a261</t>
        </is>
      </c>
      <c r="B796" s="2" t="str">
        <f>=HYPERLINK("https://www.xiaohongshu.com/user/profile/63630fd5000000001f01a261", "https://www.xiaohongshu.com/user/profile/63630fd5000000001f01a261")</f>
        <v>https://www.xiaohongshu.com/user/profile/63630fd5000000001f01a261</v>
      </c>
      <c r="C796" s="2" t="str">
        <f>=HYPERLINK("https://pgy.xiaohongshu.com/solar/pre-trade/blogger-detail/63630fd5000000001f01a261", "https://pgy.xiaohongshu.com/solar/pre-trade/blogger-detail/63630fd5000000001f01a261")</f>
        <v>https://pgy.xiaohongshu.com/solar/pre-trade/blogger-detail/63630fd5000000001f01a261</v>
      </c>
      <c r="D796" t="inlineStr">
        <is>
          <t>女</t>
        </is>
      </c>
      <c r="E796" t="inlineStr">
        <is>
          <t>6782077936</t>
        </is>
      </c>
      <c r="F796" t="inlineStr">
        <is>
          <t>Mona的网媒资料馆</t>
        </is>
      </c>
      <c r="G796" t="inlineStr">
        <is>
          <t>陕西 西安 阎良区</t>
        </is>
      </c>
      <c r="H796" t="inlineStr">
        <is>
          <t>学生</t>
        </is>
      </c>
      <c r="I796" t="inlineStr">
        <is>
          <t>教育</t>
        </is>
      </c>
      <c r="J796">
        <v>3129</v>
      </c>
      <c r="K796" t="inlineStr">
        <is>
          <t>0.3</t>
        </is>
      </c>
      <c r="L796">
        <v>2303</v>
      </c>
      <c r="M796">
        <v>836</v>
      </c>
      <c r="N796">
        <v>109</v>
      </c>
      <c r="O796">
        <v>200</v>
      </c>
      <c r="P796">
        <v>0</v>
      </c>
      <c r="Q796">
        <v>0.226999999999999</v>
      </c>
      <c r="R796">
        <v>1327</v>
      </c>
      <c r="S796">
        <v>88</v>
      </c>
      <c r="T796">
        <v>10</v>
      </c>
      <c r="U796">
        <v>2.56</v>
      </c>
      <c r="V796">
        <v>200</v>
      </c>
      <c r="W796">
        <v>0</v>
      </c>
      <c r="X796">
        <v>0</v>
      </c>
      <c r="Y796">
        <v>150.66</v>
      </c>
      <c r="Z796">
        <v>11.11</v>
      </c>
      <c r="AA796">
        <v>2440</v>
      </c>
      <c r="AB796">
        <v>1071</v>
      </c>
      <c r="AC796">
        <v>101</v>
      </c>
      <c r="AD796">
        <v>1.78</v>
      </c>
      <c r="AE796">
        <v>300</v>
      </c>
      <c r="AF796">
        <v>0.278</v>
      </c>
      <c r="AG796">
        <v>0</v>
      </c>
      <c r="AH796">
        <v>0.018</v>
      </c>
      <c r="AI796">
        <v>122.93</v>
      </c>
      <c r="AJ796">
        <v>1.97</v>
      </c>
      <c r="AK796">
        <v>0</v>
      </c>
      <c r="AL796">
        <v>0</v>
      </c>
      <c r="AM796">
        <v>0</v>
      </c>
      <c r="AN796">
        <v>0</v>
      </c>
      <c r="AO796">
        <v>0</v>
      </c>
      <c r="AP796">
        <v>0.84</v>
      </c>
      <c r="AQ796">
        <v>0.126</v>
      </c>
      <c r="AR796">
        <v>0.235</v>
      </c>
      <c r="AS796" s="3">
        <v>46107.77422453704</v>
      </c>
    </row>
    <row r="797" ht="25.5" customHeight="1">
      <c r="A797" t="inlineStr">
        <is>
          <t>685bea88000000001b023134</t>
        </is>
      </c>
      <c r="B797" s="2" t="str">
        <f>=HYPERLINK("https://www.xiaohongshu.com/user/profile/685bea88000000001b023134", "https://www.xiaohongshu.com/user/profile/685bea88000000001b023134")</f>
        <v>https://www.xiaohongshu.com/user/profile/685bea88000000001b023134</v>
      </c>
      <c r="C797" s="2" t="str">
        <f>=HYPERLINK("https://pgy.xiaohongshu.com/solar/pre-trade/blogger-detail/685bea88000000001b023134", "https://pgy.xiaohongshu.com/solar/pre-trade/blogger-detail/685bea88000000001b023134")</f>
        <v>https://pgy.xiaohongshu.com/solar/pre-trade/blogger-detail/685bea88000000001b023134</v>
      </c>
      <c r="D797" t="inlineStr">
        <is>
          <t>女</t>
        </is>
      </c>
      <c r="E797" t="inlineStr">
        <is>
          <t>42288890326</t>
        </is>
      </c>
      <c r="F797" t="inlineStr">
        <is>
          <t>吕教授说专科</t>
        </is>
      </c>
      <c r="G797" t="inlineStr">
        <is>
          <t>上海</t>
        </is>
      </c>
      <c r="H797"/>
      <c r="I797" t="inlineStr">
        <is>
          <t>教育</t>
        </is>
      </c>
      <c r="J797">
        <v>1565</v>
      </c>
      <c r="K797" t="inlineStr">
        <is>
          <t>0.2</t>
        </is>
      </c>
      <c r="L797">
        <v>18996</v>
      </c>
      <c r="M797">
        <v>1649</v>
      </c>
      <c r="N797">
        <v>443</v>
      </c>
      <c r="O797">
        <v>200</v>
      </c>
      <c r="P797">
        <v>0.4</v>
      </c>
      <c r="Q797">
        <v>0.6</v>
      </c>
      <c r="R797">
        <v>0</v>
      </c>
      <c r="S797">
        <v>0</v>
      </c>
      <c r="T797">
        <v>0</v>
      </c>
      <c r="U797">
        <v>0</v>
      </c>
      <c r="V797">
        <v>200</v>
      </c>
      <c r="W797">
        <v>0</v>
      </c>
      <c r="X797">
        <v>0</v>
      </c>
      <c r="Y797">
        <v>0</v>
      </c>
      <c r="Z797">
        <v>0</v>
      </c>
      <c r="AA797">
        <v>18996</v>
      </c>
      <c r="AB797">
        <v>1649</v>
      </c>
      <c r="AC797">
        <v>384</v>
      </c>
      <c r="AD797">
        <v>1.77</v>
      </c>
      <c r="AE797">
        <v>450</v>
      </c>
      <c r="AF797">
        <v>0.6</v>
      </c>
      <c r="AG797">
        <v>0.4</v>
      </c>
      <c r="AH797">
        <v>0.035</v>
      </c>
      <c r="AI797">
        <v>23.69</v>
      </c>
      <c r="AJ797">
        <v>1.02</v>
      </c>
      <c r="AK797">
        <v>0</v>
      </c>
      <c r="AL797">
        <v>0</v>
      </c>
      <c r="AM797">
        <v>0</v>
      </c>
      <c r="AN797">
        <v>0</v>
      </c>
      <c r="AO797">
        <v>0</v>
      </c>
      <c r="AP797">
        <v>0.96</v>
      </c>
      <c r="AQ797">
        <v>0.333999999999999</v>
      </c>
      <c r="AR797">
        <v>0</v>
      </c>
      <c r="AS797" s="3">
        <v>46107.77422453704</v>
      </c>
    </row>
    <row r="798" ht="25.5" customHeight="1">
      <c r="A798" t="inlineStr">
        <is>
          <t>6746215d000000001d02f216</t>
        </is>
      </c>
      <c r="B798" s="2" t="str">
        <f>=HYPERLINK("https://www.xiaohongshu.com/user/profile/6746215d000000001d02f216", "https://www.xiaohongshu.com/user/profile/6746215d000000001d02f216")</f>
        <v>https://www.xiaohongshu.com/user/profile/6746215d000000001d02f216</v>
      </c>
      <c r="C798" s="2" t="str">
        <f>=HYPERLINK("https://pgy.xiaohongshu.com/solar/pre-trade/blogger-detail/6746215d000000001d02f216", "https://pgy.xiaohongshu.com/solar/pre-trade/blogger-detail/6746215d000000001d02f216")</f>
        <v>https://pgy.xiaohongshu.com/solar/pre-trade/blogger-detail/6746215d000000001d02f216</v>
      </c>
      <c r="D798" t="inlineStr">
        <is>
          <t>女</t>
        </is>
      </c>
      <c r="E798" t="inlineStr">
        <is>
          <t>95621281716</t>
        </is>
      </c>
      <c r="F798" t="inlineStr">
        <is>
          <t>Chinesewithmini</t>
        </is>
      </c>
      <c r="G798" t="inlineStr">
        <is>
          <t>北京</t>
        </is>
      </c>
      <c r="H798" t="inlineStr">
        <is>
          <t>海外华人</t>
        </is>
      </c>
      <c r="I798" t="inlineStr">
        <is>
          <t>生活记录</t>
        </is>
      </c>
      <c r="J798">
        <v>17146</v>
      </c>
      <c r="K798" t="inlineStr">
        <is>
          <t>1.7</t>
        </is>
      </c>
      <c r="L798">
        <v>2542</v>
      </c>
      <c r="M798">
        <v>1337</v>
      </c>
      <c r="N798">
        <v>229</v>
      </c>
      <c r="O798">
        <v>1225</v>
      </c>
      <c r="P798">
        <v>0</v>
      </c>
      <c r="Q798">
        <v>0.633</v>
      </c>
      <c r="R798">
        <v>0</v>
      </c>
      <c r="S798">
        <v>0</v>
      </c>
      <c r="T798">
        <v>0</v>
      </c>
      <c r="U798">
        <v>0</v>
      </c>
      <c r="V798">
        <v>1225</v>
      </c>
      <c r="W798">
        <v>0</v>
      </c>
      <c r="X798">
        <v>0</v>
      </c>
      <c r="Y798">
        <v>0</v>
      </c>
      <c r="Z798">
        <v>0</v>
      </c>
      <c r="AA798">
        <v>2542</v>
      </c>
      <c r="AB798">
        <v>1337</v>
      </c>
      <c r="AC798">
        <v>215</v>
      </c>
      <c r="AD798">
        <v>4.21</v>
      </c>
      <c r="AE798">
        <v>3619</v>
      </c>
      <c r="AF798">
        <v>0.633</v>
      </c>
      <c r="AG798">
        <v>0</v>
      </c>
      <c r="AH798">
        <v>0.191</v>
      </c>
      <c r="AI798">
        <v>1423.68</v>
      </c>
      <c r="AJ798">
        <v>15.77</v>
      </c>
      <c r="AK798">
        <v>0</v>
      </c>
      <c r="AL798">
        <v>0</v>
      </c>
      <c r="AM798">
        <v>0</v>
      </c>
      <c r="AN798">
        <v>0</v>
      </c>
      <c r="AO798">
        <v>0</v>
      </c>
      <c r="AP798">
        <v>0.743</v>
      </c>
      <c r="AQ798">
        <v>0.096</v>
      </c>
      <c r="AR798">
        <v>0.087</v>
      </c>
      <c r="AS798" s="3">
        <v>46107.77422453704</v>
      </c>
    </row>
    <row r="799" ht="25.5" customHeight="1">
      <c r="A799" t="inlineStr">
        <is>
          <t>66949b47000000000b03269c</t>
        </is>
      </c>
      <c r="B799" s="2" t="str">
        <f>=HYPERLINK("https://www.xiaohongshu.com/user/profile/66949b47000000000b03269c", "https://www.xiaohongshu.com/user/profile/66949b47000000000b03269c")</f>
        <v>https://www.xiaohongshu.com/user/profile/66949b47000000000b03269c</v>
      </c>
      <c r="C799" s="2" t="str">
        <f>=HYPERLINK("https://pgy.xiaohongshu.com/solar/pre-trade/blogger-detail/66949b47000000000b03269c", "https://pgy.xiaohongshu.com/solar/pre-trade/blogger-detail/66949b47000000000b03269c")</f>
        <v>https://pgy.xiaohongshu.com/solar/pre-trade/blogger-detail/66949b47000000000b03269c</v>
      </c>
      <c r="D799" t="inlineStr">
        <is>
          <t>男</t>
        </is>
      </c>
      <c r="E799" t="inlineStr">
        <is>
          <t>jiayou_onesunny</t>
        </is>
      </c>
      <c r="F799" t="inlineStr">
        <is>
          <t>lieli</t>
        </is>
      </c>
      <c r="G799" t="inlineStr">
        <is>
          <t>广东 广州 天河区</t>
        </is>
      </c>
      <c r="H799"/>
      <c r="I799" t="inlineStr">
        <is>
          <t>教育</t>
        </is>
      </c>
      <c r="J799">
        <v>4051</v>
      </c>
      <c r="K799" t="inlineStr">
        <is>
          <t>0.4</t>
        </is>
      </c>
      <c r="L799">
        <v>7720</v>
      </c>
      <c r="M799">
        <v>1162</v>
      </c>
      <c r="N799">
        <v>282</v>
      </c>
      <c r="O799">
        <v>500</v>
      </c>
      <c r="P799">
        <v>0</v>
      </c>
      <c r="Q799">
        <v>1</v>
      </c>
      <c r="R799">
        <v>7720</v>
      </c>
      <c r="S799">
        <v>1162</v>
      </c>
      <c r="T799">
        <v>247</v>
      </c>
      <c r="U799">
        <v>0.73</v>
      </c>
      <c r="V799">
        <v>500</v>
      </c>
      <c r="W799">
        <v>1</v>
      </c>
      <c r="X799">
        <v>0</v>
      </c>
      <c r="Y799">
        <v>64.76</v>
      </c>
      <c r="Z799">
        <v>1.77</v>
      </c>
      <c r="AA799">
        <v>0</v>
      </c>
      <c r="AB799">
        <v>0</v>
      </c>
      <c r="AC799">
        <v>0</v>
      </c>
      <c r="AD799">
        <v>0</v>
      </c>
      <c r="AE799">
        <v>600</v>
      </c>
      <c r="AF799">
        <v>0</v>
      </c>
      <c r="AG799">
        <v>0</v>
      </c>
      <c r="AH799">
        <v>0</v>
      </c>
      <c r="AI799">
        <v>0</v>
      </c>
      <c r="AJ799">
        <v>0</v>
      </c>
      <c r="AK799">
        <v>0</v>
      </c>
      <c r="AL799">
        <v>0</v>
      </c>
      <c r="AM799">
        <v>0</v>
      </c>
      <c r="AN799">
        <v>0</v>
      </c>
      <c r="AO799">
        <v>0</v>
      </c>
      <c r="AP799">
        <v>0.915999999999999</v>
      </c>
      <c r="AQ799">
        <v>0.027</v>
      </c>
      <c r="AR799">
        <v>0.022</v>
      </c>
      <c r="AS799" s="3">
        <v>46107.77422453704</v>
      </c>
    </row>
    <row r="800" ht="25.5" customHeight="1">
      <c r="A800" t="inlineStr">
        <is>
          <t>5b69c30511be107888ad7f18</t>
        </is>
      </c>
      <c r="B800" s="2" t="str">
        <f>=HYPERLINK("https://www.xiaohongshu.com/user/profile/5b69c30511be107888ad7f18", "https://www.xiaohongshu.com/user/profile/5b69c30511be107888ad7f18")</f>
        <v>https://www.xiaohongshu.com/user/profile/5b69c30511be107888ad7f18</v>
      </c>
      <c r="C800" s="2" t="str">
        <f>=HYPERLINK("https://pgy.xiaohongshu.com/solar/pre-trade/blogger-detail/5b69c30511be107888ad7f18", "https://pgy.xiaohongshu.com/solar/pre-trade/blogger-detail/5b69c30511be107888ad7f18")</f>
        <v>https://pgy.xiaohongshu.com/solar/pre-trade/blogger-detail/5b69c30511be107888ad7f18</v>
      </c>
      <c r="D800" t="inlineStr">
        <is>
          <t>女</t>
        </is>
      </c>
      <c r="E800" t="inlineStr">
        <is>
          <t>1257102863yj</t>
        </is>
      </c>
      <c r="F800" t="inlineStr">
        <is>
          <t>林间四月</t>
        </is>
      </c>
      <c r="G800" t="inlineStr">
        <is>
          <t>北京</t>
        </is>
      </c>
      <c r="H800"/>
      <c r="I800" t="inlineStr">
        <is>
          <t>教育</t>
        </is>
      </c>
      <c r="J800">
        <v>1263</v>
      </c>
      <c r="K800" t="inlineStr">
        <is>
          <t>0.1</t>
        </is>
      </c>
      <c r="L800">
        <v>2960</v>
      </c>
      <c r="M800">
        <v>633</v>
      </c>
      <c r="N800">
        <v>110</v>
      </c>
      <c r="O800">
        <v>500</v>
      </c>
      <c r="P800">
        <v>0</v>
      </c>
      <c r="Q800">
        <v>0.077</v>
      </c>
      <c r="R800">
        <v>2960</v>
      </c>
      <c r="S800">
        <v>633</v>
      </c>
      <c r="T800">
        <v>93</v>
      </c>
      <c r="U800">
        <v>1.09</v>
      </c>
      <c r="V800">
        <v>500</v>
      </c>
      <c r="W800">
        <v>0.077</v>
      </c>
      <c r="X800">
        <v>0</v>
      </c>
      <c r="Y800">
        <v>168.92</v>
      </c>
      <c r="Z800">
        <v>4.55</v>
      </c>
      <c r="AA800">
        <v>0</v>
      </c>
      <c r="AB800">
        <v>0</v>
      </c>
      <c r="AC800">
        <v>0</v>
      </c>
      <c r="AD800">
        <v>0</v>
      </c>
      <c r="AE800">
        <v>1000</v>
      </c>
      <c r="AF800">
        <v>0</v>
      </c>
      <c r="AG800">
        <v>0</v>
      </c>
      <c r="AH800">
        <v>0</v>
      </c>
      <c r="AI800">
        <v>0</v>
      </c>
      <c r="AJ800">
        <v>0</v>
      </c>
      <c r="AK800">
        <v>0</v>
      </c>
      <c r="AL800">
        <v>0</v>
      </c>
      <c r="AM800">
        <v>0</v>
      </c>
      <c r="AN800">
        <v>0</v>
      </c>
      <c r="AO800">
        <v>0</v>
      </c>
      <c r="AP800">
        <v>0.854</v>
      </c>
      <c r="AQ800">
        <v>0.148</v>
      </c>
      <c r="AR800">
        <v>0.114</v>
      </c>
      <c r="AS800" s="3">
        <v>46107.77422453704</v>
      </c>
    </row>
    <row r="801" ht="25.5" customHeight="1">
      <c r="A801" t="inlineStr">
        <is>
          <t>688c5e34000000002703d592</t>
        </is>
      </c>
      <c r="B801" s="2" t="str">
        <f>=HYPERLINK("https://www.xiaohongshu.com/user/profile/688c5e34000000002703d592", "https://www.xiaohongshu.com/user/profile/688c5e34000000002703d592")</f>
        <v>https://www.xiaohongshu.com/user/profile/688c5e34000000002703d592</v>
      </c>
      <c r="C801" s="2" t="str">
        <f>=HYPERLINK("https://pgy.xiaohongshu.com/solar/pre-trade/blogger-detail/688c5e34000000002703d592", "https://pgy.xiaohongshu.com/solar/pre-trade/blogger-detail/688c5e34000000002703d592")</f>
        <v>https://pgy.xiaohongshu.com/solar/pre-trade/blogger-detail/688c5e34000000002703d592</v>
      </c>
      <c r="D801" t="inlineStr">
        <is>
          <t>男</t>
        </is>
      </c>
      <c r="E801" t="inlineStr">
        <is>
          <t>26899540399</t>
        </is>
      </c>
      <c r="F801" t="inlineStr">
        <is>
          <t>番茄🍅199管综</t>
        </is>
      </c>
      <c r="G801" t="inlineStr">
        <is>
          <t>浙江 台州 黄岩区</t>
        </is>
      </c>
      <c r="H801"/>
      <c r="I801" t="inlineStr">
        <is>
          <t>教育</t>
        </is>
      </c>
      <c r="J801">
        <v>2441</v>
      </c>
      <c r="K801" t="inlineStr">
        <is>
          <t>0.2</t>
        </is>
      </c>
      <c r="L801">
        <v>8536</v>
      </c>
      <c r="M801">
        <v>1827</v>
      </c>
      <c r="N801">
        <v>164</v>
      </c>
      <c r="O801">
        <v>200</v>
      </c>
      <c r="P801">
        <v>0.091</v>
      </c>
      <c r="Q801">
        <v>0.364</v>
      </c>
      <c r="R801">
        <v>8919</v>
      </c>
      <c r="S801">
        <v>2018</v>
      </c>
      <c r="T801">
        <v>102</v>
      </c>
      <c r="U801">
        <v>0.41</v>
      </c>
      <c r="V801">
        <v>200</v>
      </c>
      <c r="W801">
        <v>0.364</v>
      </c>
      <c r="X801">
        <v>0.091</v>
      </c>
      <c r="Y801">
        <v>23.43</v>
      </c>
      <c r="Z801">
        <v>1.22</v>
      </c>
      <c r="AA801">
        <v>0</v>
      </c>
      <c r="AB801">
        <v>0</v>
      </c>
      <c r="AC801">
        <v>0</v>
      </c>
      <c r="AD801">
        <v>0</v>
      </c>
      <c r="AE801">
        <v>420</v>
      </c>
      <c r="AF801">
        <v>0</v>
      </c>
      <c r="AG801">
        <v>0</v>
      </c>
      <c r="AH801">
        <v>0</v>
      </c>
      <c r="AI801">
        <v>0</v>
      </c>
      <c r="AJ801">
        <v>0</v>
      </c>
      <c r="AK801">
        <v>11639</v>
      </c>
      <c r="AL801">
        <v>668</v>
      </c>
      <c r="AM801">
        <v>26</v>
      </c>
      <c r="AN801">
        <v>17</v>
      </c>
      <c r="AO801">
        <v>29.23</v>
      </c>
      <c r="AP801">
        <v>0.978</v>
      </c>
      <c r="AQ801">
        <v>0.44</v>
      </c>
      <c r="AR801">
        <v>1.22099999999999</v>
      </c>
      <c r="AS801" s="3">
        <v>46107.77447916667</v>
      </c>
    </row>
    <row r="802" ht="25.5" customHeight="1">
      <c r="A802" t="inlineStr">
        <is>
          <t>5d1d1064000000001602a5ff</t>
        </is>
      </c>
      <c r="B802" s="2" t="str">
        <f>=HYPERLINK("https://www.xiaohongshu.com/user/profile/5d1d1064000000001602a5ff", "https://www.xiaohongshu.com/user/profile/5d1d1064000000001602a5ff")</f>
        <v>https://www.xiaohongshu.com/user/profile/5d1d1064000000001602a5ff</v>
      </c>
      <c r="C802" s="2" t="str">
        <f>=HYPERLINK("https://pgy.xiaohongshu.com/solar/pre-trade/blogger-detail/5d1d1064000000001602a5ff", "https://pgy.xiaohongshu.com/solar/pre-trade/blogger-detail/5d1d1064000000001602a5ff")</f>
        <v>https://pgy.xiaohongshu.com/solar/pre-trade/blogger-detail/5d1d1064000000001602a5ff</v>
      </c>
      <c r="D802" t="inlineStr">
        <is>
          <t>男</t>
        </is>
      </c>
      <c r="E802" t="inlineStr">
        <is>
          <t>773100327</t>
        </is>
      </c>
      <c r="F802" t="inlineStr">
        <is>
          <t>晓明哥DonLee</t>
        </is>
      </c>
      <c r="G802" t="inlineStr">
        <is>
          <t>广东 深圳 南山区</t>
        </is>
      </c>
      <c r="H802" t="inlineStr">
        <is>
          <t>海外华人, 留学背景</t>
        </is>
      </c>
      <c r="I802" t="inlineStr">
        <is>
          <t>出行旅游</t>
        </is>
      </c>
      <c r="J802">
        <v>330882</v>
      </c>
      <c r="K802" t="inlineStr">
        <is>
          <t>33.1</t>
        </is>
      </c>
      <c r="L802">
        <v>132975</v>
      </c>
      <c r="M802">
        <v>34359</v>
      </c>
      <c r="N802">
        <v>1962</v>
      </c>
      <c r="O802">
        <v>33800</v>
      </c>
      <c r="P802">
        <v>0.7</v>
      </c>
      <c r="Q802">
        <v>1</v>
      </c>
      <c r="R802">
        <v>0</v>
      </c>
      <c r="S802">
        <v>0</v>
      </c>
      <c r="T802">
        <v>0</v>
      </c>
      <c r="U802">
        <v>0</v>
      </c>
      <c r="V802">
        <v>33800</v>
      </c>
      <c r="W802">
        <v>0</v>
      </c>
      <c r="X802">
        <v>0</v>
      </c>
      <c r="Y802">
        <v>0</v>
      </c>
      <c r="Z802">
        <v>0</v>
      </c>
      <c r="AA802">
        <v>132975</v>
      </c>
      <c r="AB802">
        <v>34359</v>
      </c>
      <c r="AC802">
        <v>1551</v>
      </c>
      <c r="AD802">
        <v>3.15</v>
      </c>
      <c r="AE802">
        <v>56789</v>
      </c>
      <c r="AF802">
        <v>1</v>
      </c>
      <c r="AG802">
        <v>0.7</v>
      </c>
      <c r="AH802">
        <v>0.138</v>
      </c>
      <c r="AI802">
        <v>427.07</v>
      </c>
      <c r="AJ802">
        <v>28.94</v>
      </c>
      <c r="AK802">
        <v>0</v>
      </c>
      <c r="AL802">
        <v>0</v>
      </c>
      <c r="AM802">
        <v>0</v>
      </c>
      <c r="AN802">
        <v>0</v>
      </c>
      <c r="AO802">
        <v>0</v>
      </c>
      <c r="AP802">
        <v>0.79</v>
      </c>
      <c r="AQ802">
        <v>0.039</v>
      </c>
      <c r="AR802">
        <v>0.0559999999999999</v>
      </c>
      <c r="AS802" s="3">
        <v>46107.77447916667</v>
      </c>
    </row>
    <row r="803" ht="25.5" customHeight="1">
      <c r="A803" t="inlineStr">
        <is>
          <t>64c25fca000000001403bff2</t>
        </is>
      </c>
      <c r="B803" s="2" t="str">
        <f>=HYPERLINK("https://www.xiaohongshu.com/user/profile/64c25fca000000001403bff2", "https://www.xiaohongshu.com/user/profile/64c25fca000000001403bff2")</f>
        <v>https://www.xiaohongshu.com/user/profile/64c25fca000000001403bff2</v>
      </c>
      <c r="C803" s="2" t="str">
        <f>=HYPERLINK("https://pgy.xiaohongshu.com/solar/pre-trade/blogger-detail/64c25fca000000001403bff2", "https://pgy.xiaohongshu.com/solar/pre-trade/blogger-detail/64c25fca000000001403bff2")</f>
        <v>https://pgy.xiaohongshu.com/solar/pre-trade/blogger-detail/64c25fca000000001403bff2</v>
      </c>
      <c r="D803" t="inlineStr">
        <is>
          <t>女</t>
        </is>
      </c>
      <c r="E803" t="inlineStr">
        <is>
          <t>7485892401</t>
        </is>
      </c>
      <c r="F803" t="inlineStr">
        <is>
          <t>葡萄籽籽🍇（保研版）</t>
        </is>
      </c>
      <c r="G803" t="inlineStr">
        <is>
          <t>河北 石家庄 新华区</t>
        </is>
      </c>
      <c r="H803"/>
      <c r="I803" t="inlineStr">
        <is>
          <t>教育</t>
        </is>
      </c>
      <c r="J803">
        <v>2513</v>
      </c>
      <c r="K803" t="inlineStr">
        <is>
          <t>0.3</t>
        </is>
      </c>
      <c r="L803">
        <v>3365</v>
      </c>
      <c r="M803">
        <v>393</v>
      </c>
      <c r="N803">
        <v>149</v>
      </c>
      <c r="O803">
        <v>200</v>
      </c>
      <c r="P803">
        <v>0</v>
      </c>
      <c r="Q803">
        <v>0.222</v>
      </c>
      <c r="R803">
        <v>3365</v>
      </c>
      <c r="S803">
        <v>393</v>
      </c>
      <c r="T803">
        <v>125</v>
      </c>
      <c r="U803">
        <v>0.81</v>
      </c>
      <c r="V803">
        <v>200</v>
      </c>
      <c r="W803">
        <v>0.222</v>
      </c>
      <c r="X803">
        <v>0</v>
      </c>
      <c r="Y803">
        <v>59.44</v>
      </c>
      <c r="Z803">
        <v>1.34</v>
      </c>
      <c r="AA803">
        <v>0</v>
      </c>
      <c r="AB803">
        <v>0</v>
      </c>
      <c r="AC803">
        <v>0</v>
      </c>
      <c r="AD803">
        <v>0</v>
      </c>
      <c r="AE803">
        <v>0</v>
      </c>
      <c r="AF803">
        <v>0</v>
      </c>
      <c r="AG803">
        <v>0</v>
      </c>
      <c r="AH803">
        <v>0</v>
      </c>
      <c r="AI803">
        <v>0</v>
      </c>
      <c r="AJ803">
        <v>0</v>
      </c>
      <c r="AK803">
        <v>0</v>
      </c>
      <c r="AL803">
        <v>0</v>
      </c>
      <c r="AM803">
        <v>0</v>
      </c>
      <c r="AN803">
        <v>0</v>
      </c>
      <c r="AO803">
        <v>0</v>
      </c>
      <c r="AP803">
        <v>0.910999999999999</v>
      </c>
      <c r="AQ803">
        <v>0.063</v>
      </c>
      <c r="AR803">
        <v>0.09</v>
      </c>
      <c r="AS803" s="3">
        <v>46107.77447916667</v>
      </c>
    </row>
    <row r="804" ht="25.5" customHeight="1">
      <c r="A804" t="inlineStr">
        <is>
          <t>61c7114500000000100067c3</t>
        </is>
      </c>
      <c r="B804" s="2" t="str">
        <f>=HYPERLINK("https://www.xiaohongshu.com/user/profile/61c7114500000000100067c3", "https://www.xiaohongshu.com/user/profile/61c7114500000000100067c3")</f>
        <v>https://www.xiaohongshu.com/user/profile/61c7114500000000100067c3</v>
      </c>
      <c r="C804" s="2" t="str">
        <f>=HYPERLINK("https://pgy.xiaohongshu.com/solar/pre-trade/blogger-detail/61c7114500000000100067c3", "https://pgy.xiaohongshu.com/solar/pre-trade/blogger-detail/61c7114500000000100067c3")</f>
        <v>https://pgy.xiaohongshu.com/solar/pre-trade/blogger-detail/61c7114500000000100067c3</v>
      </c>
      <c r="D804" t="inlineStr">
        <is>
          <t>女</t>
        </is>
      </c>
      <c r="E804" t="inlineStr">
        <is>
          <t>2802081369</t>
        </is>
      </c>
      <c r="F804" t="inlineStr">
        <is>
          <t>周水（🉑接带学）</t>
        </is>
      </c>
      <c r="G804" t="inlineStr">
        <is>
          <t>山西 吕梁 离石区</t>
        </is>
      </c>
      <c r="H804" t="inlineStr">
        <is>
          <t>学生</t>
        </is>
      </c>
      <c r="I804" t="inlineStr">
        <is>
          <t>职场</t>
        </is>
      </c>
      <c r="J804">
        <v>8064</v>
      </c>
      <c r="K804" t="inlineStr">
        <is>
          <t>0.8</t>
        </is>
      </c>
      <c r="L804">
        <v>7229</v>
      </c>
      <c r="M804">
        <v>1587</v>
      </c>
      <c r="N804">
        <v>105</v>
      </c>
      <c r="O804">
        <v>262</v>
      </c>
      <c r="P804">
        <v>0.2</v>
      </c>
      <c r="Q804">
        <v>0.4</v>
      </c>
      <c r="R804">
        <v>7229</v>
      </c>
      <c r="S804">
        <v>1587</v>
      </c>
      <c r="T804">
        <v>97</v>
      </c>
      <c r="U804">
        <v>0.47</v>
      </c>
      <c r="V804">
        <v>262</v>
      </c>
      <c r="W804">
        <v>0.4</v>
      </c>
      <c r="X804">
        <v>0.2</v>
      </c>
      <c r="Y804">
        <v>36.24</v>
      </c>
      <c r="Z804">
        <v>2.5</v>
      </c>
      <c r="AA804">
        <v>0</v>
      </c>
      <c r="AB804">
        <v>0</v>
      </c>
      <c r="AC804">
        <v>0</v>
      </c>
      <c r="AD804">
        <v>0</v>
      </c>
      <c r="AE804">
        <v>525</v>
      </c>
      <c r="AF804">
        <v>0</v>
      </c>
      <c r="AG804">
        <v>0</v>
      </c>
      <c r="AH804">
        <v>0</v>
      </c>
      <c r="AI804">
        <v>0</v>
      </c>
      <c r="AJ804">
        <v>0</v>
      </c>
      <c r="AK804">
        <v>0</v>
      </c>
      <c r="AL804">
        <v>0</v>
      </c>
      <c r="AM804">
        <v>0</v>
      </c>
      <c r="AN804">
        <v>0</v>
      </c>
      <c r="AO804">
        <v>0</v>
      </c>
      <c r="AP804">
        <v>0.688</v>
      </c>
      <c r="AQ804">
        <v>0.022</v>
      </c>
      <c r="AR804">
        <v>0.009</v>
      </c>
      <c r="AS804" s="3">
        <v>46107.77447916667</v>
      </c>
    </row>
    <row r="805" ht="25.5" customHeight="1">
      <c r="A805" t="inlineStr">
        <is>
          <t>6717a1b2000000001d023405</t>
        </is>
      </c>
      <c r="B805" s="2" t="str">
        <f>=HYPERLINK("https://www.xiaohongshu.com/user/profile/6717a1b2000000001d023405", "https://www.xiaohongshu.com/user/profile/6717a1b2000000001d023405")</f>
        <v>https://www.xiaohongshu.com/user/profile/6717a1b2000000001d023405</v>
      </c>
      <c r="C805" s="2" t="str">
        <f>=HYPERLINK("https://pgy.xiaohongshu.com/solar/pre-trade/blogger-detail/6717a1b2000000001d023405", "https://pgy.xiaohongshu.com/solar/pre-trade/blogger-detail/6717a1b2000000001d023405")</f>
        <v>https://pgy.xiaohongshu.com/solar/pre-trade/blogger-detail/6717a1b2000000001d023405</v>
      </c>
      <c r="D805" t="inlineStr">
        <is>
          <t>男</t>
        </is>
      </c>
      <c r="E805" t="inlineStr">
        <is>
          <t>yiyii131420</t>
        </is>
      </c>
      <c r="F805" t="inlineStr">
        <is>
          <t>小毅同学</t>
        </is>
      </c>
      <c r="G805" t="inlineStr">
        <is>
          <t>浙江 金华 永康市</t>
        </is>
      </c>
      <c r="H805" t="inlineStr">
        <is>
          <t>学生</t>
        </is>
      </c>
      <c r="I805" t="inlineStr">
        <is>
          <t>兴趣爱好, 教育, 生活记录</t>
        </is>
      </c>
      <c r="J805">
        <v>13368</v>
      </c>
      <c r="K805" t="inlineStr">
        <is>
          <t>1.3</t>
        </is>
      </c>
      <c r="L805">
        <v>3101</v>
      </c>
      <c r="M805">
        <v>2012</v>
      </c>
      <c r="N805">
        <v>230</v>
      </c>
      <c r="O805">
        <v>964</v>
      </c>
      <c r="P805">
        <v>0.045</v>
      </c>
      <c r="Q805">
        <v>0.795</v>
      </c>
      <c r="R805">
        <v>0</v>
      </c>
      <c r="S805">
        <v>0</v>
      </c>
      <c r="T805">
        <v>0</v>
      </c>
      <c r="U805">
        <v>1.11</v>
      </c>
      <c r="V805">
        <v>964</v>
      </c>
      <c r="W805">
        <v>0</v>
      </c>
      <c r="X805">
        <v>0</v>
      </c>
      <c r="Y805">
        <v>273.24</v>
      </c>
      <c r="Z805">
        <v>5.1</v>
      </c>
      <c r="AA805">
        <v>3101</v>
      </c>
      <c r="AB805">
        <v>2012</v>
      </c>
      <c r="AC805">
        <v>215</v>
      </c>
      <c r="AD805">
        <v>2.63</v>
      </c>
      <c r="AE805">
        <v>2410</v>
      </c>
      <c r="AF805">
        <v>0.795</v>
      </c>
      <c r="AG805">
        <v>0.045</v>
      </c>
      <c r="AH805">
        <v>0.514</v>
      </c>
      <c r="AI805">
        <v>801.2</v>
      </c>
      <c r="AJ805">
        <v>10.57</v>
      </c>
      <c r="AK805">
        <v>7448</v>
      </c>
      <c r="AL805">
        <v>3829</v>
      </c>
      <c r="AM805">
        <v>123</v>
      </c>
      <c r="AN805">
        <v>0</v>
      </c>
      <c r="AO805">
        <v>0</v>
      </c>
      <c r="AP805">
        <v>0.571</v>
      </c>
      <c r="AQ805">
        <v>0.022</v>
      </c>
      <c r="AR805">
        <v>0.019</v>
      </c>
      <c r="AS805" s="3">
        <v>46107.77447916667</v>
      </c>
    </row>
    <row r="806" ht="25.5" customHeight="1">
      <c r="A806" t="inlineStr">
        <is>
          <t>62b186f3000000001902964a</t>
        </is>
      </c>
      <c r="B806" s="2" t="str">
        <f>=HYPERLINK("https://www.xiaohongshu.com/user/profile/62b186f3000000001902964a", "https://www.xiaohongshu.com/user/profile/62b186f3000000001902964a")</f>
        <v>https://www.xiaohongshu.com/user/profile/62b186f3000000001902964a</v>
      </c>
      <c r="C806" s="2" t="str">
        <f>=HYPERLINK("https://pgy.xiaohongshu.com/solar/pre-trade/blogger-detail/62b186f3000000001902964a", "https://pgy.xiaohongshu.com/solar/pre-trade/blogger-detail/62b186f3000000001902964a")</f>
        <v>https://pgy.xiaohongshu.com/solar/pre-trade/blogger-detail/62b186f3000000001902964a</v>
      </c>
      <c r="D806" t="inlineStr">
        <is>
          <t>女</t>
        </is>
      </c>
      <c r="E806" t="inlineStr">
        <is>
          <t>5389966965</t>
        </is>
      </c>
      <c r="F806" t="inlineStr">
        <is>
          <t>噜噜背单词</t>
        </is>
      </c>
      <c r="G806" t="inlineStr">
        <is>
          <t>四川 成都 龙泉驿区</t>
        </is>
      </c>
      <c r="H806"/>
      <c r="I806" t="inlineStr">
        <is>
          <t>教育</t>
        </is>
      </c>
      <c r="J806">
        <v>8060</v>
      </c>
      <c r="K806" t="inlineStr">
        <is>
          <t>0.8</t>
        </is>
      </c>
      <c r="L806">
        <v>256331</v>
      </c>
      <c r="M806">
        <v>40358</v>
      </c>
      <c r="N806">
        <v>1543</v>
      </c>
      <c r="O806">
        <v>261</v>
      </c>
      <c r="P806">
        <v>0.5</v>
      </c>
      <c r="Q806">
        <v>1</v>
      </c>
      <c r="R806">
        <v>256331</v>
      </c>
      <c r="S806">
        <v>40358</v>
      </c>
      <c r="T806">
        <v>1224</v>
      </c>
      <c r="U806">
        <v>0.31</v>
      </c>
      <c r="V806">
        <v>310</v>
      </c>
      <c r="W806">
        <v>1</v>
      </c>
      <c r="X806">
        <v>0.5</v>
      </c>
      <c r="Y806">
        <v>1.21</v>
      </c>
      <c r="Z806">
        <v>0.2</v>
      </c>
      <c r="AA806">
        <v>0</v>
      </c>
      <c r="AB806">
        <v>0</v>
      </c>
      <c r="AC806">
        <v>0</v>
      </c>
      <c r="AD806">
        <v>0</v>
      </c>
      <c r="AE806">
        <v>261</v>
      </c>
      <c r="AF806">
        <v>0</v>
      </c>
      <c r="AG806">
        <v>0</v>
      </c>
      <c r="AH806">
        <v>0</v>
      </c>
      <c r="AI806">
        <v>0</v>
      </c>
      <c r="AJ806">
        <v>0</v>
      </c>
      <c r="AK806">
        <v>0</v>
      </c>
      <c r="AL806">
        <v>0</v>
      </c>
      <c r="AM806">
        <v>0</v>
      </c>
      <c r="AN806">
        <v>0</v>
      </c>
      <c r="AO806">
        <v>0</v>
      </c>
      <c r="AP806">
        <v>0.975</v>
      </c>
      <c r="AQ806">
        <v>0.122</v>
      </c>
      <c r="AR806">
        <v>0</v>
      </c>
      <c r="AS806" s="3">
        <v>46107.77447916667</v>
      </c>
    </row>
    <row r="807" ht="25.5" customHeight="1">
      <c r="A807" t="inlineStr">
        <is>
          <t>5b15692411be107220b656c5</t>
        </is>
      </c>
      <c r="B807" s="2" t="str">
        <f>=HYPERLINK("https://www.xiaohongshu.com/user/profile/5b15692411be107220b656c5", "https://www.xiaohongshu.com/user/profile/5b15692411be107220b656c5")</f>
        <v>https://www.xiaohongshu.com/user/profile/5b15692411be107220b656c5</v>
      </c>
      <c r="C807" s="2" t="str">
        <f>=HYPERLINK("https://pgy.xiaohongshu.com/solar/pre-trade/blogger-detail/5b15692411be107220b656c5", "https://pgy.xiaohongshu.com/solar/pre-trade/blogger-detail/5b15692411be107220b656c5")</f>
        <v>https://pgy.xiaohongshu.com/solar/pre-trade/blogger-detail/5b15692411be107220b656c5</v>
      </c>
      <c r="D807" t="inlineStr">
        <is>
          <t>女</t>
        </is>
      </c>
      <c r="E807" t="inlineStr">
        <is>
          <t>634723045</t>
        </is>
      </c>
      <c r="F807" t="inlineStr">
        <is>
          <t>saysay话超多</t>
        </is>
      </c>
      <c r="G807" t="inlineStr">
        <is>
          <t>北京</t>
        </is>
      </c>
      <c r="H807" t="inlineStr">
        <is>
          <t>留学背景, 学生</t>
        </is>
      </c>
      <c r="I807" t="inlineStr">
        <is>
          <t>影视综资讯, 教育</t>
        </is>
      </c>
      <c r="J807">
        <v>4301</v>
      </c>
      <c r="K807" t="inlineStr">
        <is>
          <t>0.4</t>
        </is>
      </c>
      <c r="L807">
        <v>29151</v>
      </c>
      <c r="M807">
        <v>14942</v>
      </c>
      <c r="N807">
        <v>809</v>
      </c>
      <c r="O807">
        <v>400</v>
      </c>
      <c r="P807">
        <v>0.5</v>
      </c>
      <c r="Q807">
        <v>0.667</v>
      </c>
      <c r="R807">
        <v>0</v>
      </c>
      <c r="S807">
        <v>0</v>
      </c>
      <c r="T807">
        <v>0</v>
      </c>
      <c r="U807">
        <v>0</v>
      </c>
      <c r="V807">
        <v>400</v>
      </c>
      <c r="W807">
        <v>0</v>
      </c>
      <c r="X807">
        <v>0</v>
      </c>
      <c r="Y807">
        <v>0</v>
      </c>
      <c r="Z807">
        <v>0</v>
      </c>
      <c r="AA807">
        <v>29151</v>
      </c>
      <c r="AB807">
        <v>14942</v>
      </c>
      <c r="AC807">
        <v>643</v>
      </c>
      <c r="AD807">
        <v>1.57</v>
      </c>
      <c r="AE807">
        <v>1000</v>
      </c>
      <c r="AF807">
        <v>0.667</v>
      </c>
      <c r="AG807">
        <v>0.5</v>
      </c>
      <c r="AH807">
        <v>0.136999999999999</v>
      </c>
      <c r="AI807">
        <v>34.3</v>
      </c>
      <c r="AJ807">
        <v>1.24</v>
      </c>
      <c r="AK807">
        <v>0</v>
      </c>
      <c r="AL807">
        <v>0</v>
      </c>
      <c r="AM807">
        <v>0</v>
      </c>
      <c r="AN807">
        <v>0</v>
      </c>
      <c r="AO807">
        <v>0</v>
      </c>
      <c r="AP807">
        <v>0.951</v>
      </c>
      <c r="AQ807">
        <v>0.0579999999999999</v>
      </c>
      <c r="AR807">
        <v>0.03</v>
      </c>
      <c r="AS807" s="3">
        <v>46107.77447916667</v>
      </c>
    </row>
    <row r="808" ht="25.5" customHeight="1">
      <c r="A808" t="inlineStr">
        <is>
          <t>60e06fda0000000001008130</t>
        </is>
      </c>
      <c r="B808" s="2" t="str">
        <f>=HYPERLINK("https://www.xiaohongshu.com/user/profile/60e06fda0000000001008130", "https://www.xiaohongshu.com/user/profile/60e06fda0000000001008130")</f>
        <v>https://www.xiaohongshu.com/user/profile/60e06fda0000000001008130</v>
      </c>
      <c r="C808" s="2" t="str">
        <f>=HYPERLINK("https://pgy.xiaohongshu.com/solar/pre-trade/blogger-detail/60e06fda0000000001008130", "https://pgy.xiaohongshu.com/solar/pre-trade/blogger-detail/60e06fda0000000001008130")</f>
        <v>https://pgy.xiaohongshu.com/solar/pre-trade/blogger-detail/60e06fda0000000001008130</v>
      </c>
      <c r="D808" t="inlineStr">
        <is>
          <t>女</t>
        </is>
      </c>
      <c r="E808" t="inlineStr">
        <is>
          <t>4292487799</t>
        </is>
      </c>
      <c r="F808" t="inlineStr">
        <is>
          <t>emma不是艾玛</t>
        </is>
      </c>
      <c r="G808" t="inlineStr">
        <is>
          <t>北京</t>
        </is>
      </c>
      <c r="H808" t="inlineStr">
        <is>
          <t>学生</t>
        </is>
      </c>
      <c r="I808" t="inlineStr">
        <is>
          <t>教育</t>
        </is>
      </c>
      <c r="J808">
        <v>8461</v>
      </c>
      <c r="K808" t="inlineStr">
        <is>
          <t>0.8</t>
        </is>
      </c>
      <c r="L808">
        <v>6644</v>
      </c>
      <c r="M808">
        <v>821</v>
      </c>
      <c r="N808">
        <v>139</v>
      </c>
      <c r="O808">
        <v>400</v>
      </c>
      <c r="P808">
        <v>0</v>
      </c>
      <c r="Q808">
        <v>0.332999999999999</v>
      </c>
      <c r="R808">
        <v>6644</v>
      </c>
      <c r="S808">
        <v>821</v>
      </c>
      <c r="T808">
        <v>121</v>
      </c>
      <c r="U808">
        <v>0.79</v>
      </c>
      <c r="V808">
        <v>400</v>
      </c>
      <c r="W808">
        <v>0.332999999999999</v>
      </c>
      <c r="X808">
        <v>0</v>
      </c>
      <c r="Y808">
        <v>60.2</v>
      </c>
      <c r="Z808">
        <v>2.87</v>
      </c>
      <c r="AA808">
        <v>0</v>
      </c>
      <c r="AB808">
        <v>0</v>
      </c>
      <c r="AC808">
        <v>0</v>
      </c>
      <c r="AD808">
        <v>0</v>
      </c>
      <c r="AE808">
        <v>700</v>
      </c>
      <c r="AF808">
        <v>0</v>
      </c>
      <c r="AG808">
        <v>0</v>
      </c>
      <c r="AH808">
        <v>0</v>
      </c>
      <c r="AI808">
        <v>0</v>
      </c>
      <c r="AJ808">
        <v>0</v>
      </c>
      <c r="AK808">
        <v>0</v>
      </c>
      <c r="AL808">
        <v>0</v>
      </c>
      <c r="AM808">
        <v>0</v>
      </c>
      <c r="AN808">
        <v>0</v>
      </c>
      <c r="AO808">
        <v>0</v>
      </c>
      <c r="AP808">
        <v>0.869</v>
      </c>
      <c r="AQ808">
        <v>0.064</v>
      </c>
      <c r="AR808">
        <v>0.062</v>
      </c>
      <c r="AS808" s="3">
        <v>46107.77447916667</v>
      </c>
    </row>
    <row r="809" ht="25.5" customHeight="1">
      <c r="A809" t="inlineStr">
        <is>
          <t>64874eb10000000012035e00</t>
        </is>
      </c>
      <c r="B809" s="2" t="str">
        <f>=HYPERLINK("https://www.xiaohongshu.com/user/profile/64874eb10000000012035e00", "https://www.xiaohongshu.com/user/profile/64874eb10000000012035e00")</f>
        <v>https://www.xiaohongshu.com/user/profile/64874eb10000000012035e00</v>
      </c>
      <c r="C809" s="2" t="str">
        <f>=HYPERLINK("https://pgy.xiaohongshu.com/solar/pre-trade/blogger-detail/64874eb10000000012035e00", "https://pgy.xiaohongshu.com/solar/pre-trade/blogger-detail/64874eb10000000012035e00")</f>
        <v>https://pgy.xiaohongshu.com/solar/pre-trade/blogger-detail/64874eb10000000012035e00</v>
      </c>
      <c r="D809" t="inlineStr">
        <is>
          <t>女</t>
        </is>
      </c>
      <c r="E809" t="inlineStr">
        <is>
          <t>2203872735</t>
        </is>
      </c>
      <c r="F809" t="inlineStr">
        <is>
          <t>WORDS TOGETHER</t>
        </is>
      </c>
      <c r="G809" t="inlineStr">
        <is>
          <t>湖北 武汉 江汉区</t>
        </is>
      </c>
      <c r="H809"/>
      <c r="I809" t="inlineStr">
        <is>
          <t>教育</t>
        </is>
      </c>
      <c r="J809">
        <v>20216</v>
      </c>
      <c r="K809" t="inlineStr">
        <is>
          <t>2.0</t>
        </is>
      </c>
      <c r="L809">
        <v>4314</v>
      </c>
      <c r="M809">
        <v>998</v>
      </c>
      <c r="N809">
        <v>122</v>
      </c>
      <c r="O809">
        <v>162</v>
      </c>
      <c r="P809">
        <v>0</v>
      </c>
      <c r="Q809">
        <v>0.316</v>
      </c>
      <c r="R809">
        <v>0</v>
      </c>
      <c r="S809">
        <v>0</v>
      </c>
      <c r="T809">
        <v>0</v>
      </c>
      <c r="U809">
        <v>0</v>
      </c>
      <c r="V809">
        <v>162</v>
      </c>
      <c r="W809">
        <v>0</v>
      </c>
      <c r="X809">
        <v>0</v>
      </c>
      <c r="Y809">
        <v>0</v>
      </c>
      <c r="Z809">
        <v>0</v>
      </c>
      <c r="AA809">
        <v>4314</v>
      </c>
      <c r="AB809">
        <v>998</v>
      </c>
      <c r="AC809">
        <v>110</v>
      </c>
      <c r="AD809">
        <v>3.25</v>
      </c>
      <c r="AE809">
        <v>1745</v>
      </c>
      <c r="AF809">
        <v>0.316</v>
      </c>
      <c r="AG809">
        <v>0</v>
      </c>
      <c r="AH809">
        <v>0.296</v>
      </c>
      <c r="AI809">
        <v>404.5</v>
      </c>
      <c r="AJ809">
        <v>14.3</v>
      </c>
      <c r="AK809">
        <v>0</v>
      </c>
      <c r="AL809">
        <v>0</v>
      </c>
      <c r="AM809">
        <v>0</v>
      </c>
      <c r="AN809">
        <v>0</v>
      </c>
      <c r="AO809">
        <v>0</v>
      </c>
      <c r="AP809">
        <v>0.973</v>
      </c>
      <c r="AQ809">
        <v>0.052</v>
      </c>
      <c r="AR809">
        <v>0.0559999999999999</v>
      </c>
      <c r="AS809" s="3">
        <v>46107.77447916667</v>
      </c>
    </row>
    <row r="810" ht="25.5" customHeight="1">
      <c r="A810" t="inlineStr">
        <is>
          <t>656054fc000000001000b740</t>
        </is>
      </c>
      <c r="B810" s="2" t="str">
        <f>=HYPERLINK("https://www.xiaohongshu.com/user/profile/656054fc000000001000b740", "https://www.xiaohongshu.com/user/profile/656054fc000000001000b740")</f>
        <v>https://www.xiaohongshu.com/user/profile/656054fc000000001000b740</v>
      </c>
      <c r="C810" s="2" t="str">
        <f>=HYPERLINK("https://pgy.xiaohongshu.com/solar/pre-trade/blogger-detail/656054fc000000001000b740", "https://pgy.xiaohongshu.com/solar/pre-trade/blogger-detail/656054fc000000001000b740")</f>
        <v>https://pgy.xiaohongshu.com/solar/pre-trade/blogger-detail/656054fc000000001000b740</v>
      </c>
      <c r="D810" t="inlineStr">
        <is>
          <t>男</t>
        </is>
      </c>
      <c r="E810" t="inlineStr">
        <is>
          <t>9163211847</t>
        </is>
      </c>
      <c r="F810" t="inlineStr">
        <is>
          <t>我是阿凯同学</t>
        </is>
      </c>
      <c r="G810" t="inlineStr">
        <is>
          <t>福建 厦门 思明区</t>
        </is>
      </c>
      <c r="H810" t="inlineStr">
        <is>
          <t>考研过来人, 法律从业者, 户外爱好者, 学生</t>
        </is>
      </c>
      <c r="I810" t="inlineStr">
        <is>
          <t>职场, 教育, 生活记录</t>
        </is>
      </c>
      <c r="J810">
        <v>3562</v>
      </c>
      <c r="K810" t="inlineStr">
        <is>
          <t>0.4</t>
        </is>
      </c>
      <c r="L810">
        <v>18287</v>
      </c>
      <c r="M810">
        <v>2814</v>
      </c>
      <c r="N810">
        <v>123</v>
      </c>
      <c r="O810">
        <v>231</v>
      </c>
      <c r="P810">
        <v>0.067</v>
      </c>
      <c r="Q810">
        <v>0.332999999999999</v>
      </c>
      <c r="R810">
        <v>13985</v>
      </c>
      <c r="S810">
        <v>2013</v>
      </c>
      <c r="T810">
        <v>30</v>
      </c>
      <c r="U810">
        <v>0.41</v>
      </c>
      <c r="V810">
        <v>231</v>
      </c>
      <c r="W810">
        <v>0</v>
      </c>
      <c r="X810">
        <v>0</v>
      </c>
      <c r="Y810">
        <v>16.52</v>
      </c>
      <c r="Z810">
        <v>4.16</v>
      </c>
      <c r="AA810">
        <v>26865</v>
      </c>
      <c r="AB810">
        <v>2814</v>
      </c>
      <c r="AC810">
        <v>91</v>
      </c>
      <c r="AD810">
        <v>1.64</v>
      </c>
      <c r="AE810">
        <v>404</v>
      </c>
      <c r="AF810">
        <v>0.455</v>
      </c>
      <c r="AG810">
        <v>0.091</v>
      </c>
      <c r="AH810">
        <v>0.045</v>
      </c>
      <c r="AI810">
        <v>15.04</v>
      </c>
      <c r="AJ810">
        <v>2.17</v>
      </c>
      <c r="AK810">
        <v>0</v>
      </c>
      <c r="AL810">
        <v>0</v>
      </c>
      <c r="AM810">
        <v>0</v>
      </c>
      <c r="AN810">
        <v>0</v>
      </c>
      <c r="AO810">
        <v>0</v>
      </c>
      <c r="AP810">
        <v>0.964</v>
      </c>
      <c r="AQ810">
        <v>0.135</v>
      </c>
      <c r="AR810">
        <v>0.237</v>
      </c>
      <c r="AS810" s="3">
        <v>46107.77447916667</v>
      </c>
    </row>
    <row r="811" ht="25.5" customHeight="1">
      <c r="A811" t="inlineStr">
        <is>
          <t>5fdcd9be000000000100516f</t>
        </is>
      </c>
      <c r="B811" s="2" t="str">
        <f>=HYPERLINK("https://www.xiaohongshu.com/user/profile/5fdcd9be000000000100516f", "https://www.xiaohongshu.com/user/profile/5fdcd9be000000000100516f")</f>
        <v>https://www.xiaohongshu.com/user/profile/5fdcd9be000000000100516f</v>
      </c>
      <c r="C811" s="2" t="str">
        <f>=HYPERLINK("https://pgy.xiaohongshu.com/solar/pre-trade/blogger-detail/5fdcd9be000000000100516f", "https://pgy.xiaohongshu.com/solar/pre-trade/blogger-detail/5fdcd9be000000000100516f")</f>
        <v>https://pgy.xiaohongshu.com/solar/pre-trade/blogger-detail/5fdcd9be000000000100516f</v>
      </c>
      <c r="D811" t="inlineStr">
        <is>
          <t>女</t>
        </is>
      </c>
      <c r="E811" t="inlineStr">
        <is>
          <t>lmy810787476_</t>
        </is>
      </c>
      <c r="F811" t="inlineStr">
        <is>
          <t>🌈大玥（伦敦打工版）</t>
        </is>
      </c>
      <c r="G811" t="inlineStr">
        <is>
          <t>英国</t>
        </is>
      </c>
      <c r="H811" t="inlineStr">
        <is>
          <t>考研过来人, 留学背景, 学生, 摄影师</t>
        </is>
      </c>
      <c r="I811" t="inlineStr">
        <is>
          <t>职场, 教育</t>
        </is>
      </c>
      <c r="J811">
        <v>27053</v>
      </c>
      <c r="K811" t="inlineStr">
        <is>
          <t>2.7</t>
        </is>
      </c>
      <c r="L811">
        <v>11493</v>
      </c>
      <c r="M811">
        <v>2455</v>
      </c>
      <c r="N811">
        <v>109</v>
      </c>
      <c r="O811">
        <v>2000</v>
      </c>
      <c r="P811">
        <v>0</v>
      </c>
      <c r="Q811">
        <v>0.241</v>
      </c>
      <c r="R811">
        <v>10510</v>
      </c>
      <c r="S811">
        <v>1840</v>
      </c>
      <c r="T811">
        <v>80</v>
      </c>
      <c r="U811">
        <v>1.39</v>
      </c>
      <c r="V811">
        <v>2000</v>
      </c>
      <c r="W811">
        <v>0.2</v>
      </c>
      <c r="X811">
        <v>0</v>
      </c>
      <c r="Y811">
        <v>190.29</v>
      </c>
      <c r="Z811">
        <v>20.94</v>
      </c>
      <c r="AA811">
        <v>11948</v>
      </c>
      <c r="AB811">
        <v>2677</v>
      </c>
      <c r="AC811">
        <v>94</v>
      </c>
      <c r="AD811">
        <v>2.81</v>
      </c>
      <c r="AE811">
        <v>3500</v>
      </c>
      <c r="AF811">
        <v>0.263</v>
      </c>
      <c r="AG811">
        <v>0</v>
      </c>
      <c r="AH811">
        <v>0.188</v>
      </c>
      <c r="AI811">
        <v>292.94</v>
      </c>
      <c r="AJ811">
        <v>30.97</v>
      </c>
      <c r="AK811">
        <v>0</v>
      </c>
      <c r="AL811">
        <v>0</v>
      </c>
      <c r="AM811">
        <v>0</v>
      </c>
      <c r="AN811">
        <v>0</v>
      </c>
      <c r="AO811">
        <v>0</v>
      </c>
      <c r="AP811">
        <v>0.818</v>
      </c>
      <c r="AQ811">
        <v>0.038</v>
      </c>
      <c r="AR811">
        <v>0.019</v>
      </c>
      <c r="AS811" s="3">
        <v>46107.77447916667</v>
      </c>
    </row>
    <row r="812" ht="25.5" customHeight="1">
      <c r="A812" t="inlineStr">
        <is>
          <t>58468b596a6a692b50d8f257</t>
        </is>
      </c>
      <c r="B812" s="2" t="str">
        <f>=HYPERLINK("https://www.xiaohongshu.com/user/profile/58468b596a6a692b50d8f257", "https://www.xiaohongshu.com/user/profile/58468b596a6a692b50d8f257")</f>
        <v>https://www.xiaohongshu.com/user/profile/58468b596a6a692b50d8f257</v>
      </c>
      <c r="C812" s="2" t="str">
        <f>=HYPERLINK("https://pgy.xiaohongshu.com/solar/pre-trade/blogger-detail/58468b596a6a692b50d8f257", "https://pgy.xiaohongshu.com/solar/pre-trade/blogger-detail/58468b596a6a692b50d8f257")</f>
        <v>https://pgy.xiaohongshu.com/solar/pre-trade/blogger-detail/58468b596a6a692b50d8f257</v>
      </c>
      <c r="D812" t="inlineStr">
        <is>
          <t>女</t>
        </is>
      </c>
      <c r="E812" t="inlineStr">
        <is>
          <t>110572950</t>
        </is>
      </c>
      <c r="F812" t="inlineStr">
        <is>
          <t>仲麟</t>
        </is>
      </c>
      <c r="G812" t="inlineStr">
        <is>
          <t>河南 濮阳 华龙区</t>
        </is>
      </c>
      <c r="H812"/>
      <c r="I812" t="inlineStr">
        <is>
          <t>兴趣爱好, 教育</t>
        </is>
      </c>
      <c r="J812">
        <v>2805</v>
      </c>
      <c r="K812" t="inlineStr">
        <is>
          <t>0.3</t>
        </is>
      </c>
      <c r="L812">
        <v>9198</v>
      </c>
      <c r="M812">
        <v>3297</v>
      </c>
      <c r="N812">
        <v>726</v>
      </c>
      <c r="O812">
        <v>200</v>
      </c>
      <c r="P812">
        <v>0</v>
      </c>
      <c r="Q812">
        <v>0.667</v>
      </c>
      <c r="R812">
        <v>0</v>
      </c>
      <c r="S812">
        <v>0</v>
      </c>
      <c r="T812">
        <v>0</v>
      </c>
      <c r="U812">
        <v>0</v>
      </c>
      <c r="V812">
        <v>200</v>
      </c>
      <c r="W812">
        <v>0</v>
      </c>
      <c r="X812">
        <v>0</v>
      </c>
      <c r="Y812">
        <v>0</v>
      </c>
      <c r="Z812">
        <v>0</v>
      </c>
      <c r="AA812">
        <v>9198</v>
      </c>
      <c r="AB812">
        <v>3297</v>
      </c>
      <c r="AC812">
        <v>618</v>
      </c>
      <c r="AD812">
        <v>1.62</v>
      </c>
      <c r="AE812">
        <v>382</v>
      </c>
      <c r="AF812">
        <v>0.667</v>
      </c>
      <c r="AG812">
        <v>0</v>
      </c>
      <c r="AH812">
        <v>0.0289999999999999</v>
      </c>
      <c r="AI812">
        <v>41.53</v>
      </c>
      <c r="AJ812">
        <v>0.53</v>
      </c>
      <c r="AK812">
        <v>0</v>
      </c>
      <c r="AL812">
        <v>0</v>
      </c>
      <c r="AM812">
        <v>0</v>
      </c>
      <c r="AN812">
        <v>0</v>
      </c>
      <c r="AO812">
        <v>0</v>
      </c>
      <c r="AP812">
        <v>0.757</v>
      </c>
      <c r="AQ812">
        <v>0.083</v>
      </c>
      <c r="AR812">
        <v>0.085</v>
      </c>
      <c r="AS812" s="3">
        <v>46107.77447916667</v>
      </c>
    </row>
    <row r="813" ht="25.5" customHeight="1">
      <c r="A813" t="inlineStr">
        <is>
          <t>675c02fa000000001801f610</t>
        </is>
      </c>
      <c r="B813" s="2" t="str">
        <f>=HYPERLINK("https://www.xiaohongshu.com/user/profile/675c02fa000000001801f610", "https://www.xiaohongshu.com/user/profile/675c02fa000000001801f610")</f>
        <v>https://www.xiaohongshu.com/user/profile/675c02fa000000001801f610</v>
      </c>
      <c r="C813" s="2" t="str">
        <f>=HYPERLINK("https://pgy.xiaohongshu.com/solar/pre-trade/blogger-detail/675c02fa000000001801f610", "https://pgy.xiaohongshu.com/solar/pre-trade/blogger-detail/675c02fa000000001801f610")</f>
        <v>https://pgy.xiaohongshu.com/solar/pre-trade/blogger-detail/675c02fa000000001801f610</v>
      </c>
      <c r="D813" t="inlineStr">
        <is>
          <t>男</t>
        </is>
      </c>
      <c r="E813" t="inlineStr">
        <is>
          <t>26293123394</t>
        </is>
      </c>
      <c r="F813" t="inlineStr">
        <is>
          <t>珺雨落 贰</t>
        </is>
      </c>
      <c r="G813" t="inlineStr">
        <is>
          <t>福建 泉州 石狮市</t>
        </is>
      </c>
      <c r="H813"/>
      <c r="I813" t="inlineStr">
        <is>
          <t>教育</t>
        </is>
      </c>
      <c r="J813">
        <v>2265</v>
      </c>
      <c r="K813" t="inlineStr">
        <is>
          <t>0.2</t>
        </is>
      </c>
      <c r="L813">
        <v>1234</v>
      </c>
      <c r="M813">
        <v>813</v>
      </c>
      <c r="N813">
        <v>239</v>
      </c>
      <c r="O813">
        <v>150</v>
      </c>
      <c r="P813">
        <v>0</v>
      </c>
      <c r="Q813">
        <v>0.621</v>
      </c>
      <c r="R813">
        <v>0</v>
      </c>
      <c r="S813">
        <v>0</v>
      </c>
      <c r="T813">
        <v>0</v>
      </c>
      <c r="U813">
        <v>0.4</v>
      </c>
      <c r="V813">
        <v>150</v>
      </c>
      <c r="W813">
        <v>0</v>
      </c>
      <c r="X813">
        <v>0</v>
      </c>
      <c r="Y813">
        <v>13.83</v>
      </c>
      <c r="Z813">
        <v>0.72</v>
      </c>
      <c r="AA813">
        <v>1234</v>
      </c>
      <c r="AB813">
        <v>813</v>
      </c>
      <c r="AC813">
        <v>236</v>
      </c>
      <c r="AD813">
        <v>1.66</v>
      </c>
      <c r="AE813">
        <v>150</v>
      </c>
      <c r="AF813">
        <v>0.621</v>
      </c>
      <c r="AG813">
        <v>0</v>
      </c>
      <c r="AH813">
        <v>0.198999999999999</v>
      </c>
      <c r="AI813">
        <v>118.76</v>
      </c>
      <c r="AJ813">
        <v>0.62</v>
      </c>
      <c r="AK813">
        <v>10837</v>
      </c>
      <c r="AL813">
        <v>1456</v>
      </c>
      <c r="AM813">
        <v>205</v>
      </c>
      <c r="AN813">
        <v>0</v>
      </c>
      <c r="AO813">
        <v>11.04</v>
      </c>
      <c r="AP813">
        <v>0.88</v>
      </c>
      <c r="AQ813">
        <v>0.081</v>
      </c>
      <c r="AR813">
        <v>0.138</v>
      </c>
      <c r="AS813" s="3">
        <v>46107.77447916667</v>
      </c>
    </row>
    <row r="814" ht="25.5" customHeight="1">
      <c r="A814" t="inlineStr">
        <is>
          <t>5b0f73df6b58b71139d1007a</t>
        </is>
      </c>
      <c r="B814" s="2" t="str">
        <f>=HYPERLINK("https://www.xiaohongshu.com/user/profile/5b0f73df6b58b71139d1007a", "https://www.xiaohongshu.com/user/profile/5b0f73df6b58b71139d1007a")</f>
        <v>https://www.xiaohongshu.com/user/profile/5b0f73df6b58b71139d1007a</v>
      </c>
      <c r="C814" s="2" t="str">
        <f>=HYPERLINK("https://pgy.xiaohongshu.com/solar/pre-trade/blogger-detail/5b0f73df6b58b71139d1007a", "https://pgy.xiaohongshu.com/solar/pre-trade/blogger-detail/5b0f73df6b58b71139d1007a")</f>
        <v>https://pgy.xiaohongshu.com/solar/pre-trade/blogger-detail/5b0f73df6b58b71139d1007a</v>
      </c>
      <c r="D814" t="inlineStr">
        <is>
          <t>女</t>
        </is>
      </c>
      <c r="E814" t="inlineStr">
        <is>
          <t>182642036</t>
        </is>
      </c>
      <c r="F814" t="inlineStr">
        <is>
          <t>做一位高知悍妇</t>
        </is>
      </c>
      <c r="G814" t="inlineStr">
        <is>
          <t>山东 青岛 市北区</t>
        </is>
      </c>
      <c r="H814" t="inlineStr">
        <is>
          <t>学生, 海外华人</t>
        </is>
      </c>
      <c r="I814" t="inlineStr">
        <is>
          <t>情感</t>
        </is>
      </c>
      <c r="J814">
        <v>1610</v>
      </c>
      <c r="K814" t="inlineStr">
        <is>
          <t>0.2</t>
        </is>
      </c>
      <c r="L814">
        <v>6330</v>
      </c>
      <c r="M814">
        <v>1397</v>
      </c>
      <c r="N814">
        <v>218</v>
      </c>
      <c r="O814">
        <v>155</v>
      </c>
      <c r="P814">
        <v>0.214</v>
      </c>
      <c r="Q814">
        <v>0.536</v>
      </c>
      <c r="R814">
        <v>6282</v>
      </c>
      <c r="S814">
        <v>1318</v>
      </c>
      <c r="T814">
        <v>213</v>
      </c>
      <c r="U814">
        <v>0.42</v>
      </c>
      <c r="V814">
        <v>155</v>
      </c>
      <c r="W814">
        <v>0.556</v>
      </c>
      <c r="X814">
        <v>0.222</v>
      </c>
      <c r="Y814">
        <v>24.67</v>
      </c>
      <c r="Z814">
        <v>0.7</v>
      </c>
      <c r="AA814">
        <v>9689</v>
      </c>
      <c r="AB814">
        <v>1794</v>
      </c>
      <c r="AC814">
        <v>58</v>
      </c>
      <c r="AD814">
        <v>1.68</v>
      </c>
      <c r="AE814">
        <v>320</v>
      </c>
      <c r="AF814">
        <v>0</v>
      </c>
      <c r="AG814">
        <v>0</v>
      </c>
      <c r="AH814">
        <v>0.183</v>
      </c>
      <c r="AI814">
        <v>33.03</v>
      </c>
      <c r="AJ814">
        <v>3.3</v>
      </c>
      <c r="AK814">
        <v>0</v>
      </c>
      <c r="AL814">
        <v>0</v>
      </c>
      <c r="AM814">
        <v>0</v>
      </c>
      <c r="AN814">
        <v>0</v>
      </c>
      <c r="AO814">
        <v>0</v>
      </c>
      <c r="AP814">
        <v>0.976</v>
      </c>
      <c r="AQ814">
        <v>0.286</v>
      </c>
      <c r="AR814">
        <v>0</v>
      </c>
      <c r="AS814" s="3">
        <v>46107.77447916667</v>
      </c>
    </row>
    <row r="815" ht="25.5" customHeight="1">
      <c r="A815" t="inlineStr">
        <is>
          <t>61345ca2000000000201c5d3</t>
        </is>
      </c>
      <c r="B815" s="2" t="str">
        <f>=HYPERLINK("https://www.xiaohongshu.com/user/profile/61345ca2000000000201c5d3", "https://www.xiaohongshu.com/user/profile/61345ca2000000000201c5d3")</f>
        <v>https://www.xiaohongshu.com/user/profile/61345ca2000000000201c5d3</v>
      </c>
      <c r="C815" s="2" t="str">
        <f>=HYPERLINK("https://pgy.xiaohongshu.com/solar/pre-trade/blogger-detail/61345ca2000000000201c5d3", "https://pgy.xiaohongshu.com/solar/pre-trade/blogger-detail/61345ca2000000000201c5d3")</f>
        <v>https://pgy.xiaohongshu.com/solar/pre-trade/blogger-detail/61345ca2000000000201c5d3</v>
      </c>
      <c r="D815" t="inlineStr">
        <is>
          <t>女</t>
        </is>
      </c>
      <c r="E815" t="inlineStr">
        <is>
          <t>2643740673</t>
        </is>
      </c>
      <c r="F815" t="inlineStr">
        <is>
          <t>Brilliant学姐</t>
        </is>
      </c>
      <c r="G815" t="inlineStr">
        <is>
          <t>山东 烟台 芝罘区</t>
        </is>
      </c>
      <c r="H815"/>
      <c r="I815" t="inlineStr">
        <is>
          <t>教育</t>
        </is>
      </c>
      <c r="J815">
        <v>1483</v>
      </c>
      <c r="K815" t="inlineStr">
        <is>
          <t>0.1</t>
        </is>
      </c>
      <c r="L815">
        <v>8785</v>
      </c>
      <c r="M815">
        <v>1839</v>
      </c>
      <c r="N815">
        <v>515</v>
      </c>
      <c r="O815">
        <v>234</v>
      </c>
      <c r="P815">
        <v>0</v>
      </c>
      <c r="Q815">
        <v>0.667</v>
      </c>
      <c r="R815">
        <v>8785</v>
      </c>
      <c r="S815">
        <v>1839</v>
      </c>
      <c r="T815">
        <v>421</v>
      </c>
      <c r="U815">
        <v>0.43</v>
      </c>
      <c r="V815">
        <v>234</v>
      </c>
      <c r="W815">
        <v>0.667</v>
      </c>
      <c r="X815">
        <v>0</v>
      </c>
      <c r="Y815">
        <v>26.64</v>
      </c>
      <c r="Z815">
        <v>0.45</v>
      </c>
      <c r="AA815">
        <v>0</v>
      </c>
      <c r="AB815">
        <v>0</v>
      </c>
      <c r="AC815">
        <v>0</v>
      </c>
      <c r="AD815">
        <v>0</v>
      </c>
      <c r="AE815">
        <v>425</v>
      </c>
      <c r="AF815">
        <v>0</v>
      </c>
      <c r="AG815">
        <v>0</v>
      </c>
      <c r="AH815">
        <v>0</v>
      </c>
      <c r="AI815">
        <v>0</v>
      </c>
      <c r="AJ815">
        <v>0</v>
      </c>
      <c r="AK815">
        <v>0</v>
      </c>
      <c r="AL815">
        <v>0</v>
      </c>
      <c r="AM815">
        <v>0</v>
      </c>
      <c r="AN815">
        <v>0</v>
      </c>
      <c r="AO815">
        <v>0</v>
      </c>
      <c r="AP815">
        <v>0.824</v>
      </c>
      <c r="AQ815">
        <v>0.159</v>
      </c>
      <c r="AR815">
        <v>0.414</v>
      </c>
      <c r="AS815" s="3">
        <v>46107.77447916667</v>
      </c>
    </row>
    <row r="816" ht="25.5" customHeight="1">
      <c r="A816" t="inlineStr">
        <is>
          <t>64e492ff0000000001010c03</t>
        </is>
      </c>
      <c r="B816" s="2" t="str">
        <f>=HYPERLINK("https://www.xiaohongshu.com/user/profile/64e492ff0000000001010c03", "https://www.xiaohongshu.com/user/profile/64e492ff0000000001010c03")</f>
        <v>https://www.xiaohongshu.com/user/profile/64e492ff0000000001010c03</v>
      </c>
      <c r="C816" s="2" t="str">
        <f>=HYPERLINK("https://pgy.xiaohongshu.com/solar/pre-trade/blogger-detail/64e492ff0000000001010c03", "https://pgy.xiaohongshu.com/solar/pre-trade/blogger-detail/64e492ff0000000001010c03")</f>
        <v>https://pgy.xiaohongshu.com/solar/pre-trade/blogger-detail/64e492ff0000000001010c03</v>
      </c>
      <c r="D816" t="inlineStr">
        <is>
          <t>女</t>
        </is>
      </c>
      <c r="E816" t="inlineStr">
        <is>
          <t>5130575616</t>
        </is>
      </c>
      <c r="F816" t="inlineStr">
        <is>
          <t>政能量4wl</t>
        </is>
      </c>
      <c r="G816" t="inlineStr">
        <is>
          <t>湖南 长沙 岳麓区</t>
        </is>
      </c>
      <c r="H816" t="inlineStr">
        <is>
          <t>考研过来人, 学生</t>
        </is>
      </c>
      <c r="I816" t="inlineStr">
        <is>
          <t>教育</t>
        </is>
      </c>
      <c r="J816">
        <v>1230</v>
      </c>
      <c r="K816" t="inlineStr">
        <is>
          <t>0.1</t>
        </is>
      </c>
      <c r="L816">
        <v>5276</v>
      </c>
      <c r="M816">
        <v>897</v>
      </c>
      <c r="N816">
        <v>179</v>
      </c>
      <c r="O816">
        <v>150</v>
      </c>
      <c r="P816">
        <v>0</v>
      </c>
      <c r="Q816">
        <v>0.44</v>
      </c>
      <c r="R816">
        <v>5276</v>
      </c>
      <c r="S816">
        <v>897</v>
      </c>
      <c r="T816">
        <v>155</v>
      </c>
      <c r="U816">
        <v>0.47</v>
      </c>
      <c r="V816">
        <v>150</v>
      </c>
      <c r="W816">
        <v>0.44</v>
      </c>
      <c r="X816">
        <v>0</v>
      </c>
      <c r="Y816">
        <v>28.43</v>
      </c>
      <c r="Z816">
        <v>0.84</v>
      </c>
      <c r="AA816">
        <v>0</v>
      </c>
      <c r="AB816">
        <v>0</v>
      </c>
      <c r="AC816">
        <v>0</v>
      </c>
      <c r="AD816">
        <v>0</v>
      </c>
      <c r="AE816">
        <v>200</v>
      </c>
      <c r="AF816">
        <v>0</v>
      </c>
      <c r="AG816">
        <v>0</v>
      </c>
      <c r="AH816">
        <v>0</v>
      </c>
      <c r="AI816">
        <v>0</v>
      </c>
      <c r="AJ816">
        <v>0</v>
      </c>
      <c r="AK816">
        <v>0</v>
      </c>
      <c r="AL816">
        <v>0</v>
      </c>
      <c r="AM816">
        <v>0</v>
      </c>
      <c r="AN816">
        <v>0</v>
      </c>
      <c r="AO816">
        <v>0</v>
      </c>
      <c r="AP816">
        <v>0.979</v>
      </c>
      <c r="AQ816">
        <v>0.449</v>
      </c>
      <c r="AR816">
        <v>0</v>
      </c>
      <c r="AS816" s="3">
        <v>46107.77447916667</v>
      </c>
    </row>
    <row r="817" ht="25.5" customHeight="1">
      <c r="A817" t="inlineStr">
        <is>
          <t>5e1b062600000000010044bf</t>
        </is>
      </c>
      <c r="B817" s="2" t="str">
        <f>=HYPERLINK("https://www.xiaohongshu.com/user/profile/5e1b062600000000010044bf", "https://www.xiaohongshu.com/user/profile/5e1b062600000000010044bf")</f>
        <v>https://www.xiaohongshu.com/user/profile/5e1b062600000000010044bf</v>
      </c>
      <c r="C817" s="2" t="str">
        <f>=HYPERLINK("https://pgy.xiaohongshu.com/solar/pre-trade/blogger-detail/5e1b062600000000010044bf", "https://pgy.xiaohongshu.com/solar/pre-trade/blogger-detail/5e1b062600000000010044bf")</f>
        <v>https://pgy.xiaohongshu.com/solar/pre-trade/blogger-detail/5e1b062600000000010044bf</v>
      </c>
      <c r="D817" t="inlineStr">
        <is>
          <t>女</t>
        </is>
      </c>
      <c r="E817" t="inlineStr">
        <is>
          <t>20220216ssjj</t>
        </is>
      </c>
      <c r="F817" t="inlineStr">
        <is>
          <t>Zjuneee</t>
        </is>
      </c>
      <c r="G817" t="inlineStr">
        <is>
          <t>北京</t>
        </is>
      </c>
      <c r="H817" t="inlineStr">
        <is>
          <t>学生</t>
        </is>
      </c>
      <c r="I817"/>
      <c r="J817">
        <v>1263</v>
      </c>
      <c r="K817" t="inlineStr">
        <is>
          <t>0.1</t>
        </is>
      </c>
      <c r="L817">
        <v>14578</v>
      </c>
      <c r="M817">
        <v>2583</v>
      </c>
      <c r="N817">
        <v>374</v>
      </c>
      <c r="O817">
        <v>150</v>
      </c>
      <c r="P817">
        <v>0.166999999999999</v>
      </c>
      <c r="Q817">
        <v>1</v>
      </c>
      <c r="R817">
        <v>14578</v>
      </c>
      <c r="S817">
        <v>2583</v>
      </c>
      <c r="T817">
        <v>324</v>
      </c>
      <c r="U817">
        <v>0.36</v>
      </c>
      <c r="V817">
        <v>150</v>
      </c>
      <c r="W817">
        <v>1</v>
      </c>
      <c r="X817">
        <v>0.166999999999999</v>
      </c>
      <c r="Y817">
        <v>10.29</v>
      </c>
      <c r="Z817">
        <v>0.4</v>
      </c>
      <c r="AA817">
        <v>0</v>
      </c>
      <c r="AB817">
        <v>0</v>
      </c>
      <c r="AC817">
        <v>0</v>
      </c>
      <c r="AD817">
        <v>0</v>
      </c>
      <c r="AE817">
        <v>0</v>
      </c>
      <c r="AF817">
        <v>0</v>
      </c>
      <c r="AG817">
        <v>0</v>
      </c>
      <c r="AH817">
        <v>0</v>
      </c>
      <c r="AI817">
        <v>0</v>
      </c>
      <c r="AJ817">
        <v>0</v>
      </c>
      <c r="AK817">
        <v>0</v>
      </c>
      <c r="AL817">
        <v>0</v>
      </c>
      <c r="AM817">
        <v>0</v>
      </c>
      <c r="AN817">
        <v>0</v>
      </c>
      <c r="AO817">
        <v>0</v>
      </c>
      <c r="AP817">
        <v>0.979</v>
      </c>
      <c r="AQ817">
        <v>0.222</v>
      </c>
      <c r="AR817">
        <v>0</v>
      </c>
      <c r="AS817" s="3">
        <v>46107.77447916667</v>
      </c>
    </row>
    <row r="818" ht="25.5" customHeight="1">
      <c r="A818" t="inlineStr">
        <is>
          <t>5d20783600000000100393c7</t>
        </is>
      </c>
      <c r="B818" s="2" t="str">
        <f>=HYPERLINK("https://www.xiaohongshu.com/user/profile/5d20783600000000100393c7", "https://www.xiaohongshu.com/user/profile/5d20783600000000100393c7")</f>
        <v>https://www.xiaohongshu.com/user/profile/5d20783600000000100393c7</v>
      </c>
      <c r="C818" s="2" t="str">
        <f>=HYPERLINK("https://pgy.xiaohongshu.com/solar/pre-trade/blogger-detail/5d20783600000000100393c7", "https://pgy.xiaohongshu.com/solar/pre-trade/blogger-detail/5d20783600000000100393c7")</f>
        <v>https://pgy.xiaohongshu.com/solar/pre-trade/blogger-detail/5d20783600000000100393c7</v>
      </c>
      <c r="D818" t="inlineStr">
        <is>
          <t>女</t>
        </is>
      </c>
      <c r="E818" t="inlineStr">
        <is>
          <t>306221207</t>
        </is>
      </c>
      <c r="F818" t="inlineStr">
        <is>
          <t>阿吉Gigi</t>
        </is>
      </c>
      <c r="G818" t="inlineStr">
        <is>
          <t>日本</t>
        </is>
      </c>
      <c r="H818" t="inlineStr">
        <is>
          <t>学生, 留学背景, 海外华人, 独居人群</t>
        </is>
      </c>
      <c r="I818" t="inlineStr">
        <is>
          <t>美食, 教育</t>
        </is>
      </c>
      <c r="J818">
        <v>12187</v>
      </c>
      <c r="K818" t="inlineStr">
        <is>
          <t>1.2</t>
        </is>
      </c>
      <c r="L818">
        <v>11326</v>
      </c>
      <c r="M818">
        <v>2963</v>
      </c>
      <c r="N818">
        <v>205</v>
      </c>
      <c r="O818">
        <v>1500</v>
      </c>
      <c r="P818">
        <v>0</v>
      </c>
      <c r="Q818">
        <v>0.857</v>
      </c>
      <c r="R818">
        <v>0</v>
      </c>
      <c r="S818">
        <v>0</v>
      </c>
      <c r="T818">
        <v>0</v>
      </c>
      <c r="U818">
        <v>0</v>
      </c>
      <c r="V818">
        <v>0</v>
      </c>
      <c r="W818">
        <v>0</v>
      </c>
      <c r="X818">
        <v>0</v>
      </c>
      <c r="Y818">
        <v>0</v>
      </c>
      <c r="Z818">
        <v>0</v>
      </c>
      <c r="AA818">
        <v>11326</v>
      </c>
      <c r="AB818">
        <v>2963</v>
      </c>
      <c r="AC818">
        <v>187</v>
      </c>
      <c r="AD818">
        <v>2.01</v>
      </c>
      <c r="AE818">
        <v>1500</v>
      </c>
      <c r="AF818">
        <v>0.857</v>
      </c>
      <c r="AG818">
        <v>0</v>
      </c>
      <c r="AH818">
        <v>0.085</v>
      </c>
      <c r="AI818">
        <v>132.44</v>
      </c>
      <c r="AJ818">
        <v>7.32</v>
      </c>
      <c r="AK818">
        <v>0</v>
      </c>
      <c r="AL818">
        <v>0</v>
      </c>
      <c r="AM818">
        <v>0</v>
      </c>
      <c r="AN818">
        <v>0</v>
      </c>
      <c r="AO818">
        <v>0</v>
      </c>
      <c r="AP818">
        <v>0.888</v>
      </c>
      <c r="AQ818">
        <v>0.046</v>
      </c>
      <c r="AR818">
        <v>0.0289999999999999</v>
      </c>
      <c r="AS818" s="3">
        <v>46107.77447916667</v>
      </c>
    </row>
    <row r="819" ht="25.5" customHeight="1">
      <c r="A819" t="inlineStr">
        <is>
          <t>68568e3e000000001d00a2aa</t>
        </is>
      </c>
      <c r="B819" s="2" t="str">
        <f>=HYPERLINK("https://www.xiaohongshu.com/user/profile/68568e3e000000001d00a2aa", "https://www.xiaohongshu.com/user/profile/68568e3e000000001d00a2aa")</f>
        <v>https://www.xiaohongshu.com/user/profile/68568e3e000000001d00a2aa</v>
      </c>
      <c r="C819" s="2" t="str">
        <f>=HYPERLINK("https://pgy.xiaohongshu.com/solar/pre-trade/blogger-detail/68568e3e000000001d00a2aa", "https://pgy.xiaohongshu.com/solar/pre-trade/blogger-detail/68568e3e000000001d00a2aa")</f>
        <v>https://pgy.xiaohongshu.com/solar/pre-trade/blogger-detail/68568e3e000000001d00a2aa</v>
      </c>
      <c r="D819" t="inlineStr">
        <is>
          <t>女</t>
        </is>
      </c>
      <c r="E819" t="inlineStr">
        <is>
          <t>xf13198520907</t>
        </is>
      </c>
      <c r="F819" t="inlineStr">
        <is>
          <t>Carrots</t>
        </is>
      </c>
      <c r="G819" t="inlineStr">
        <is>
          <t>加拿大</t>
        </is>
      </c>
      <c r="H819"/>
      <c r="I819" t="inlineStr">
        <is>
          <t>教育</t>
        </is>
      </c>
      <c r="J819">
        <v>2497</v>
      </c>
      <c r="K819" t="inlineStr">
        <is>
          <t>0.2</t>
        </is>
      </c>
      <c r="L819">
        <v>7407</v>
      </c>
      <c r="M819">
        <v>1331</v>
      </c>
      <c r="N819">
        <v>161</v>
      </c>
      <c r="O819">
        <v>150</v>
      </c>
      <c r="P819">
        <v>0</v>
      </c>
      <c r="Q819">
        <v>0.667</v>
      </c>
      <c r="R819">
        <v>0</v>
      </c>
      <c r="S819">
        <v>0</v>
      </c>
      <c r="T819">
        <v>0</v>
      </c>
      <c r="U819">
        <v>0</v>
      </c>
      <c r="V819">
        <v>150</v>
      </c>
      <c r="W819">
        <v>0</v>
      </c>
      <c r="X819">
        <v>0</v>
      </c>
      <c r="Y819">
        <v>0</v>
      </c>
      <c r="Z819">
        <v>0</v>
      </c>
      <c r="AA819">
        <v>7407</v>
      </c>
      <c r="AB819">
        <v>1331</v>
      </c>
      <c r="AC819">
        <v>154</v>
      </c>
      <c r="AD819">
        <v>1.65</v>
      </c>
      <c r="AE819">
        <v>200</v>
      </c>
      <c r="AF819">
        <v>0.667</v>
      </c>
      <c r="AG819">
        <v>0</v>
      </c>
      <c r="AH819">
        <v>0.094</v>
      </c>
      <c r="AI819">
        <v>29.08</v>
      </c>
      <c r="AJ819">
        <v>1.24</v>
      </c>
      <c r="AK819">
        <v>6134</v>
      </c>
      <c r="AL819">
        <v>3297</v>
      </c>
      <c r="AM819">
        <v>329</v>
      </c>
      <c r="AN819">
        <v>0</v>
      </c>
      <c r="AO819">
        <v>0</v>
      </c>
      <c r="AP819">
        <v>0.972</v>
      </c>
      <c r="AQ819">
        <v>0.193999999999999</v>
      </c>
      <c r="AR819">
        <v>0.228999999999999</v>
      </c>
      <c r="AS819" s="3">
        <v>46107.77447916667</v>
      </c>
    </row>
    <row r="820" ht="25.5" customHeight="1">
      <c r="A820" t="inlineStr">
        <is>
          <t>5b6423ca11be10517a678dba</t>
        </is>
      </c>
      <c r="B820" s="2" t="str">
        <f>=HYPERLINK("https://www.xiaohongshu.com/user/profile/5b6423ca11be10517a678dba", "https://www.xiaohongshu.com/user/profile/5b6423ca11be10517a678dba")</f>
        <v>https://www.xiaohongshu.com/user/profile/5b6423ca11be10517a678dba</v>
      </c>
      <c r="C820" s="2" t="str">
        <f>=HYPERLINK("https://pgy.xiaohongshu.com/solar/pre-trade/blogger-detail/5b6423ca11be10517a678dba", "https://pgy.xiaohongshu.com/solar/pre-trade/blogger-detail/5b6423ca11be10517a678dba")</f>
        <v>https://pgy.xiaohongshu.com/solar/pre-trade/blogger-detail/5b6423ca11be10517a678dba</v>
      </c>
      <c r="D820" t="inlineStr">
        <is>
          <t>女</t>
        </is>
      </c>
      <c r="E820" t="inlineStr">
        <is>
          <t>802794536</t>
        </is>
      </c>
      <c r="F820" t="inlineStr">
        <is>
          <t>不躺平小浣熊</t>
        </is>
      </c>
      <c r="G820" t="inlineStr">
        <is>
          <t>湖北 武汉 洪山区</t>
        </is>
      </c>
      <c r="H820"/>
      <c r="I820" t="inlineStr">
        <is>
          <t>教育</t>
        </is>
      </c>
      <c r="J820">
        <v>1140</v>
      </c>
      <c r="K820" t="inlineStr">
        <is>
          <t>0.1</t>
        </is>
      </c>
      <c r="L820">
        <v>3462</v>
      </c>
      <c r="M820">
        <v>720</v>
      </c>
      <c r="N820">
        <v>140</v>
      </c>
      <c r="O820">
        <v>150</v>
      </c>
      <c r="P820">
        <v>0.091</v>
      </c>
      <c r="Q820">
        <v>0.364</v>
      </c>
      <c r="R820">
        <v>3462</v>
      </c>
      <c r="S820">
        <v>720</v>
      </c>
      <c r="T820">
        <v>110</v>
      </c>
      <c r="U820">
        <v>0.51</v>
      </c>
      <c r="V820">
        <v>150</v>
      </c>
      <c r="W820">
        <v>0.364</v>
      </c>
      <c r="X820">
        <v>0.091</v>
      </c>
      <c r="Y820">
        <v>43.33</v>
      </c>
      <c r="Z820">
        <v>1.07</v>
      </c>
      <c r="AA820">
        <v>0</v>
      </c>
      <c r="AB820">
        <v>0</v>
      </c>
      <c r="AC820">
        <v>0</v>
      </c>
      <c r="AD820">
        <v>0</v>
      </c>
      <c r="AE820">
        <v>200</v>
      </c>
      <c r="AF820">
        <v>0</v>
      </c>
      <c r="AG820">
        <v>0</v>
      </c>
      <c r="AH820">
        <v>0</v>
      </c>
      <c r="AI820">
        <v>0</v>
      </c>
      <c r="AJ820">
        <v>0</v>
      </c>
      <c r="AK820">
        <v>0</v>
      </c>
      <c r="AL820">
        <v>0</v>
      </c>
      <c r="AM820">
        <v>0</v>
      </c>
      <c r="AN820">
        <v>0</v>
      </c>
      <c r="AO820">
        <v>0</v>
      </c>
      <c r="AP820">
        <v>0.930999999999999</v>
      </c>
      <c r="AQ820">
        <v>0.212</v>
      </c>
      <c r="AR820">
        <v>0</v>
      </c>
      <c r="AS820" s="3">
        <v>46107.77447916667</v>
      </c>
    </row>
    <row r="821" ht="25.5" customHeight="1">
      <c r="A821" t="inlineStr">
        <is>
          <t>5eff0a400000000001000591</t>
        </is>
      </c>
      <c r="B821" s="2" t="str">
        <f>=HYPERLINK("https://www.xiaohongshu.com/user/profile/5eff0a400000000001000591", "https://www.xiaohongshu.com/user/profile/5eff0a400000000001000591")</f>
        <v>https://www.xiaohongshu.com/user/profile/5eff0a400000000001000591</v>
      </c>
      <c r="C821" s="2" t="str">
        <f>=HYPERLINK("https://pgy.xiaohongshu.com/solar/pre-trade/blogger-detail/5eff0a400000000001000591", "https://pgy.xiaohongshu.com/solar/pre-trade/blogger-detail/5eff0a400000000001000591")</f>
        <v>https://pgy.xiaohongshu.com/solar/pre-trade/blogger-detail/5eff0a400000000001000591</v>
      </c>
      <c r="D821" t="inlineStr">
        <is>
          <t>女</t>
        </is>
      </c>
      <c r="E821" t="inlineStr">
        <is>
          <t>y15821249341</t>
        </is>
      </c>
      <c r="F821" t="inlineStr">
        <is>
          <t>冷冻鱼宝</t>
        </is>
      </c>
      <c r="G821" t="inlineStr">
        <is>
          <t>江西 南昌 青山湖区</t>
        </is>
      </c>
      <c r="H821" t="inlineStr">
        <is>
          <t>学生</t>
        </is>
      </c>
      <c r="I821" t="inlineStr">
        <is>
          <t>教育</t>
        </is>
      </c>
      <c r="J821">
        <v>4679</v>
      </c>
      <c r="K821" t="inlineStr">
        <is>
          <t>0.5</t>
        </is>
      </c>
      <c r="L821">
        <v>10274</v>
      </c>
      <c r="M821">
        <v>2887</v>
      </c>
      <c r="N821">
        <v>238</v>
      </c>
      <c r="O821">
        <v>219</v>
      </c>
      <c r="P821">
        <v>0</v>
      </c>
      <c r="Q821">
        <v>0.5</v>
      </c>
      <c r="R821">
        <v>10274</v>
      </c>
      <c r="S821">
        <v>2887</v>
      </c>
      <c r="T821">
        <v>222</v>
      </c>
      <c r="U821">
        <v>0.38</v>
      </c>
      <c r="V821">
        <v>219</v>
      </c>
      <c r="W821">
        <v>0.5</v>
      </c>
      <c r="X821">
        <v>0</v>
      </c>
      <c r="Y821">
        <v>21.32</v>
      </c>
      <c r="Z821">
        <v>0.92</v>
      </c>
      <c r="AA821">
        <v>0</v>
      </c>
      <c r="AB821">
        <v>0</v>
      </c>
      <c r="AC821">
        <v>0</v>
      </c>
      <c r="AD821">
        <v>0</v>
      </c>
      <c r="AE821">
        <v>370</v>
      </c>
      <c r="AF821">
        <v>0</v>
      </c>
      <c r="AG821">
        <v>0</v>
      </c>
      <c r="AH821">
        <v>0</v>
      </c>
      <c r="AI821">
        <v>0</v>
      </c>
      <c r="AJ821">
        <v>0</v>
      </c>
      <c r="AK821">
        <v>0</v>
      </c>
      <c r="AL821">
        <v>0</v>
      </c>
      <c r="AM821">
        <v>0</v>
      </c>
      <c r="AN821">
        <v>0</v>
      </c>
      <c r="AO821">
        <v>0</v>
      </c>
      <c r="AP821">
        <v>0.760999999999999</v>
      </c>
      <c r="AQ821">
        <v>0.0289999999999999</v>
      </c>
      <c r="AR821">
        <v>0.005</v>
      </c>
      <c r="AS821" s="3">
        <v>46107.77471064815</v>
      </c>
    </row>
    <row r="822" ht="25.5" customHeight="1">
      <c r="A822" t="inlineStr">
        <is>
          <t>60796a7800000000010046ba</t>
        </is>
      </c>
      <c r="B822" s="2" t="str">
        <f>=HYPERLINK("https://www.xiaohongshu.com/user/profile/60796a7800000000010046ba", "https://www.xiaohongshu.com/user/profile/60796a7800000000010046ba")</f>
        <v>https://www.xiaohongshu.com/user/profile/60796a7800000000010046ba</v>
      </c>
      <c r="C822" s="2" t="str">
        <f>=HYPERLINK("https://pgy.xiaohongshu.com/solar/pre-trade/blogger-detail/60796a7800000000010046ba", "https://pgy.xiaohongshu.com/solar/pre-trade/blogger-detail/60796a7800000000010046ba")</f>
        <v>https://pgy.xiaohongshu.com/solar/pre-trade/blogger-detail/60796a7800000000010046ba</v>
      </c>
      <c r="D822" t="inlineStr">
        <is>
          <t>女</t>
        </is>
      </c>
      <c r="E822" t="inlineStr">
        <is>
          <t>Haoyun52066899</t>
        </is>
      </c>
      <c r="F822" t="inlineStr">
        <is>
          <t>我就是命好！</t>
        </is>
      </c>
      <c r="G822" t="inlineStr">
        <is>
          <t>福建 莆田 荔城区</t>
        </is>
      </c>
      <c r="H822" t="inlineStr">
        <is>
          <t>学生</t>
        </is>
      </c>
      <c r="I822" t="inlineStr">
        <is>
          <t>教育</t>
        </is>
      </c>
      <c r="J822">
        <v>1161</v>
      </c>
      <c r="K822" t="inlineStr">
        <is>
          <t>0.1</t>
        </is>
      </c>
      <c r="L822">
        <v>15129</v>
      </c>
      <c r="M822">
        <v>4432</v>
      </c>
      <c r="N822">
        <v>425</v>
      </c>
      <c r="O822">
        <v>166</v>
      </c>
      <c r="P822">
        <v>0</v>
      </c>
      <c r="Q822">
        <v>0.5</v>
      </c>
      <c r="R822">
        <v>15129</v>
      </c>
      <c r="S822">
        <v>4432</v>
      </c>
      <c r="T822">
        <v>408</v>
      </c>
      <c r="U822">
        <v>0.37</v>
      </c>
      <c r="V822">
        <v>166</v>
      </c>
      <c r="W822">
        <v>0.5</v>
      </c>
      <c r="X822">
        <v>0</v>
      </c>
      <c r="Y822">
        <v>26.53</v>
      </c>
      <c r="Z822">
        <v>3.46</v>
      </c>
      <c r="AA822">
        <v>0</v>
      </c>
      <c r="AB822">
        <v>0</v>
      </c>
      <c r="AC822">
        <v>0</v>
      </c>
      <c r="AD822">
        <v>0</v>
      </c>
      <c r="AE822">
        <v>288</v>
      </c>
      <c r="AF822">
        <v>0</v>
      </c>
      <c r="AG822">
        <v>0</v>
      </c>
      <c r="AH822">
        <v>0</v>
      </c>
      <c r="AI822">
        <v>0</v>
      </c>
      <c r="AJ822">
        <v>0</v>
      </c>
      <c r="AK822">
        <v>4172</v>
      </c>
      <c r="AL822">
        <v>463</v>
      </c>
      <c r="AM822">
        <v>6</v>
      </c>
      <c r="AN822">
        <v>0</v>
      </c>
      <c r="AO822">
        <v>0</v>
      </c>
      <c r="AP822">
        <v>0.828</v>
      </c>
      <c r="AQ822">
        <v>0.089</v>
      </c>
      <c r="AR822">
        <v>0.075</v>
      </c>
      <c r="AS822" s="3">
        <v>46107.77471064815</v>
      </c>
    </row>
    <row r="823" ht="25.5" customHeight="1">
      <c r="A823" t="inlineStr">
        <is>
          <t>657bf0a7000000002002fc96</t>
        </is>
      </c>
      <c r="B823" s="2" t="str">
        <f>=HYPERLINK("https://www.xiaohongshu.com/user/profile/657bf0a7000000002002fc96", "https://www.xiaohongshu.com/user/profile/657bf0a7000000002002fc96")</f>
        <v>https://www.xiaohongshu.com/user/profile/657bf0a7000000002002fc96</v>
      </c>
      <c r="C823" s="2" t="str">
        <f>=HYPERLINK("https://pgy.xiaohongshu.com/solar/pre-trade/blogger-detail/657bf0a7000000002002fc96", "https://pgy.xiaohongshu.com/solar/pre-trade/blogger-detail/657bf0a7000000002002fc96")</f>
        <v>https://pgy.xiaohongshu.com/solar/pre-trade/blogger-detail/657bf0a7000000002002fc96</v>
      </c>
      <c r="D823" t="inlineStr">
        <is>
          <t>女</t>
        </is>
      </c>
      <c r="E823" t="inlineStr">
        <is>
          <t>4840052767</t>
        </is>
      </c>
      <c r="F823" t="inlineStr">
        <is>
          <t>Zoe璇进化论</t>
        </is>
      </c>
      <c r="G823" t="inlineStr">
        <is>
          <t>澳大利亚</t>
        </is>
      </c>
      <c r="H823"/>
      <c r="I823" t="inlineStr">
        <is>
          <t>教育</t>
        </is>
      </c>
      <c r="J823">
        <v>10413</v>
      </c>
      <c r="K823" t="inlineStr">
        <is>
          <t>1.0</t>
        </is>
      </c>
      <c r="L823">
        <v>11346</v>
      </c>
      <c r="M823">
        <v>1847</v>
      </c>
      <c r="N823">
        <v>157</v>
      </c>
      <c r="O823">
        <v>730</v>
      </c>
      <c r="P823">
        <v>0.095</v>
      </c>
      <c r="Q823">
        <v>0.476</v>
      </c>
      <c r="R823">
        <v>12305</v>
      </c>
      <c r="S823">
        <v>1864</v>
      </c>
      <c r="T823">
        <v>106</v>
      </c>
      <c r="U823">
        <v>0.69</v>
      </c>
      <c r="V823">
        <v>730</v>
      </c>
      <c r="W823">
        <v>0.476</v>
      </c>
      <c r="X823">
        <v>0.095</v>
      </c>
      <c r="Y823">
        <v>59.33</v>
      </c>
      <c r="Z823">
        <v>4.53</v>
      </c>
      <c r="AA823">
        <v>0</v>
      </c>
      <c r="AB823">
        <v>0</v>
      </c>
      <c r="AC823">
        <v>0</v>
      </c>
      <c r="AD823">
        <v>0</v>
      </c>
      <c r="AE823">
        <v>1033</v>
      </c>
      <c r="AF823">
        <v>0</v>
      </c>
      <c r="AG823">
        <v>0</v>
      </c>
      <c r="AH823">
        <v>0</v>
      </c>
      <c r="AI823">
        <v>0</v>
      </c>
      <c r="AJ823">
        <v>0</v>
      </c>
      <c r="AK823">
        <v>0</v>
      </c>
      <c r="AL823">
        <v>0</v>
      </c>
      <c r="AM823">
        <v>0</v>
      </c>
      <c r="AN823">
        <v>0</v>
      </c>
      <c r="AO823">
        <v>0</v>
      </c>
      <c r="AP823">
        <v>0.89</v>
      </c>
      <c r="AQ823">
        <v>0.111</v>
      </c>
      <c r="AR823">
        <v>0.238</v>
      </c>
      <c r="AS823" s="3">
        <v>46107.77471064815</v>
      </c>
    </row>
    <row r="824" ht="25.5" customHeight="1">
      <c r="A824" t="inlineStr">
        <is>
          <t>5f2fdcac00000000010026c3</t>
        </is>
      </c>
      <c r="B824" s="2" t="str">
        <f>=HYPERLINK("https://www.xiaohongshu.com/user/profile/5f2fdcac00000000010026c3", "https://www.xiaohongshu.com/user/profile/5f2fdcac00000000010026c3")</f>
        <v>https://www.xiaohongshu.com/user/profile/5f2fdcac00000000010026c3</v>
      </c>
      <c r="C824" s="2" t="str">
        <f>=HYPERLINK("https://pgy.xiaohongshu.com/solar/pre-trade/blogger-detail/5f2fdcac00000000010026c3", "https://pgy.xiaohongshu.com/solar/pre-trade/blogger-detail/5f2fdcac00000000010026c3")</f>
        <v>https://pgy.xiaohongshu.com/solar/pre-trade/blogger-detail/5f2fdcac00000000010026c3</v>
      </c>
      <c r="D824" t="inlineStr">
        <is>
          <t>女</t>
        </is>
      </c>
      <c r="E824" t="inlineStr">
        <is>
          <t>241335782</t>
        </is>
      </c>
      <c r="F824" t="inlineStr">
        <is>
          <t>火山火山H</t>
        </is>
      </c>
      <c r="G824" t="inlineStr">
        <is>
          <t>北京</t>
        </is>
      </c>
      <c r="H824"/>
      <c r="I824" t="inlineStr">
        <is>
          <t>教育</t>
        </is>
      </c>
      <c r="J824">
        <v>12043</v>
      </c>
      <c r="K824" t="inlineStr">
        <is>
          <t>1.2</t>
        </is>
      </c>
      <c r="L824">
        <v>3455</v>
      </c>
      <c r="M824">
        <v>1458</v>
      </c>
      <c r="N824">
        <v>127</v>
      </c>
      <c r="O824">
        <v>331</v>
      </c>
      <c r="P824">
        <v>0.045</v>
      </c>
      <c r="Q824">
        <v>0.318</v>
      </c>
      <c r="R824">
        <v>2659</v>
      </c>
      <c r="S824">
        <v>232</v>
      </c>
      <c r="T824">
        <v>21</v>
      </c>
      <c r="U824">
        <v>1.72</v>
      </c>
      <c r="V824">
        <v>331</v>
      </c>
      <c r="W824">
        <v>0.332999999999999</v>
      </c>
      <c r="X824">
        <v>0</v>
      </c>
      <c r="Y824">
        <v>124.48</v>
      </c>
      <c r="Z824">
        <v>15.4</v>
      </c>
      <c r="AA824">
        <v>3455</v>
      </c>
      <c r="AB824">
        <v>1671</v>
      </c>
      <c r="AC824">
        <v>159</v>
      </c>
      <c r="AD824">
        <v>1.96</v>
      </c>
      <c r="AE824">
        <v>762</v>
      </c>
      <c r="AF824">
        <v>0.313</v>
      </c>
      <c r="AG824">
        <v>0.063</v>
      </c>
      <c r="AH824">
        <v>0.045</v>
      </c>
      <c r="AI824">
        <v>220.55</v>
      </c>
      <c r="AJ824">
        <v>4.62</v>
      </c>
      <c r="AK824">
        <v>0</v>
      </c>
      <c r="AL824">
        <v>0</v>
      </c>
      <c r="AM824">
        <v>0</v>
      </c>
      <c r="AN824">
        <v>0</v>
      </c>
      <c r="AO824">
        <v>0</v>
      </c>
      <c r="AP824">
        <v>0.832</v>
      </c>
      <c r="AQ824">
        <v>0.0579999999999999</v>
      </c>
      <c r="AR824">
        <v>0.057</v>
      </c>
      <c r="AS824" s="3">
        <v>46107.77471064815</v>
      </c>
    </row>
    <row r="825" ht="25.5" customHeight="1">
      <c r="A825" t="inlineStr">
        <is>
          <t>62dcde47000000001f01618d</t>
        </is>
      </c>
      <c r="B825" s="2" t="str">
        <f>=HYPERLINK("https://www.xiaohongshu.com/user/profile/62dcde47000000001f01618d", "https://www.xiaohongshu.com/user/profile/62dcde47000000001f01618d")</f>
        <v>https://www.xiaohongshu.com/user/profile/62dcde47000000001f01618d</v>
      </c>
      <c r="C825" s="2" t="str">
        <f>=HYPERLINK("https://pgy.xiaohongshu.com/solar/pre-trade/blogger-detail/62dcde47000000001f01618d", "https://pgy.xiaohongshu.com/solar/pre-trade/blogger-detail/62dcde47000000001f01618d")</f>
        <v>https://pgy.xiaohongshu.com/solar/pre-trade/blogger-detail/62dcde47000000001f01618d</v>
      </c>
      <c r="D825" t="inlineStr">
        <is>
          <t>女</t>
        </is>
      </c>
      <c r="E825" t="inlineStr">
        <is>
          <t>2973208085</t>
        </is>
      </c>
      <c r="F825" t="inlineStr">
        <is>
          <t>叶子四点后不喝咖啡</t>
        </is>
      </c>
      <c r="G825" t="inlineStr">
        <is>
          <t>英国</t>
        </is>
      </c>
      <c r="H825" t="inlineStr">
        <is>
          <t>学生</t>
        </is>
      </c>
      <c r="I825" t="inlineStr">
        <is>
          <t>教育, 运动健身</t>
        </is>
      </c>
      <c r="J825">
        <v>2354</v>
      </c>
      <c r="K825" t="inlineStr">
        <is>
          <t>0.2</t>
        </is>
      </c>
      <c r="L825">
        <v>10325</v>
      </c>
      <c r="M825">
        <v>2013</v>
      </c>
      <c r="N825">
        <v>120</v>
      </c>
      <c r="O825">
        <v>500</v>
      </c>
      <c r="P825">
        <v>0</v>
      </c>
      <c r="Q825">
        <v>0.5</v>
      </c>
      <c r="R825">
        <v>19536</v>
      </c>
      <c r="S825">
        <v>3761</v>
      </c>
      <c r="T825">
        <v>172</v>
      </c>
      <c r="U825">
        <v>0.43</v>
      </c>
      <c r="V825">
        <v>500</v>
      </c>
      <c r="W825">
        <v>1</v>
      </c>
      <c r="X825">
        <v>0</v>
      </c>
      <c r="Y825">
        <v>25.59</v>
      </c>
      <c r="Z825">
        <v>2.4</v>
      </c>
      <c r="AA825">
        <v>1115</v>
      </c>
      <c r="AB825">
        <v>266</v>
      </c>
      <c r="AC825">
        <v>32</v>
      </c>
      <c r="AD825">
        <v>3.6</v>
      </c>
      <c r="AE825">
        <v>700</v>
      </c>
      <c r="AF825">
        <v>0</v>
      </c>
      <c r="AG825">
        <v>0</v>
      </c>
      <c r="AH825">
        <v>0.083</v>
      </c>
      <c r="AI825">
        <v>406.74</v>
      </c>
      <c r="AJ825">
        <v>16.67</v>
      </c>
      <c r="AK825">
        <v>2327</v>
      </c>
      <c r="AL825">
        <v>400</v>
      </c>
      <c r="AM825">
        <v>35</v>
      </c>
      <c r="AN825">
        <v>0</v>
      </c>
      <c r="AO825">
        <v>0</v>
      </c>
      <c r="AP825">
        <v>0.893</v>
      </c>
      <c r="AQ825">
        <v>0.0409999999999999</v>
      </c>
      <c r="AR825">
        <v>0.03</v>
      </c>
      <c r="AS825" s="3">
        <v>46107.77471064815</v>
      </c>
    </row>
    <row r="826" ht="25.5" customHeight="1">
      <c r="A826" t="inlineStr">
        <is>
          <t>608d4542000000000101c714</t>
        </is>
      </c>
      <c r="B826" s="2" t="str">
        <f>=HYPERLINK("https://www.xiaohongshu.com/user/profile/608d4542000000000101c714", "https://www.xiaohongshu.com/user/profile/608d4542000000000101c714")</f>
        <v>https://www.xiaohongshu.com/user/profile/608d4542000000000101c714</v>
      </c>
      <c r="C826" s="2" t="str">
        <f>=HYPERLINK("https://pgy.xiaohongshu.com/solar/pre-trade/blogger-detail/608d4542000000000101c714", "https://pgy.xiaohongshu.com/solar/pre-trade/blogger-detail/608d4542000000000101c714")</f>
        <v>https://pgy.xiaohongshu.com/solar/pre-trade/blogger-detail/608d4542000000000101c714</v>
      </c>
      <c r="D826" t="inlineStr">
        <is>
          <t>女</t>
        </is>
      </c>
      <c r="E826" t="inlineStr">
        <is>
          <t>teng_Dece_19</t>
        </is>
      </c>
      <c r="F826" t="inlineStr">
        <is>
          <t>冬夏</t>
        </is>
      </c>
      <c r="G826" t="inlineStr">
        <is>
          <t>江西 南昌 南昌县</t>
        </is>
      </c>
      <c r="H826"/>
      <c r="I826" t="inlineStr">
        <is>
          <t>文化艺术</t>
        </is>
      </c>
      <c r="J826">
        <v>2913</v>
      </c>
      <c r="K826" t="inlineStr">
        <is>
          <t>0.3</t>
        </is>
      </c>
      <c r="L826">
        <v>2760</v>
      </c>
      <c r="M826">
        <v>609</v>
      </c>
      <c r="N826">
        <v>107</v>
      </c>
      <c r="O826">
        <v>200</v>
      </c>
      <c r="P826">
        <v>0</v>
      </c>
      <c r="Q826">
        <v>0.364</v>
      </c>
      <c r="R826">
        <v>0</v>
      </c>
      <c r="S826">
        <v>0</v>
      </c>
      <c r="T826">
        <v>0</v>
      </c>
      <c r="U826">
        <v>0</v>
      </c>
      <c r="V826">
        <v>200</v>
      </c>
      <c r="W826">
        <v>0</v>
      </c>
      <c r="X826">
        <v>0</v>
      </c>
      <c r="Y826">
        <v>0</v>
      </c>
      <c r="Z826">
        <v>0</v>
      </c>
      <c r="AA826">
        <v>2760</v>
      </c>
      <c r="AB826">
        <v>609</v>
      </c>
      <c r="AC826">
        <v>95</v>
      </c>
      <c r="AD826">
        <v>1.99</v>
      </c>
      <c r="AE826">
        <v>300</v>
      </c>
      <c r="AF826">
        <v>0.364</v>
      </c>
      <c r="AG826">
        <v>0</v>
      </c>
      <c r="AH826">
        <v>0.025</v>
      </c>
      <c r="AI826">
        <v>108.7</v>
      </c>
      <c r="AJ826">
        <v>2.8</v>
      </c>
      <c r="AK826">
        <v>0</v>
      </c>
      <c r="AL826">
        <v>0</v>
      </c>
      <c r="AM826">
        <v>0</v>
      </c>
      <c r="AN826">
        <v>0</v>
      </c>
      <c r="AO826">
        <v>0</v>
      </c>
      <c r="AP826">
        <v>0.810999999999999</v>
      </c>
      <c r="AQ826">
        <v>0.046</v>
      </c>
      <c r="AR826">
        <v>0.0579999999999999</v>
      </c>
      <c r="AS826" s="3">
        <v>46107.77471064815</v>
      </c>
    </row>
    <row r="827" ht="25.5" customHeight="1">
      <c r="A827" t="inlineStr">
        <is>
          <t>5e590e6a0000000001005d5a</t>
        </is>
      </c>
      <c r="B827" s="2" t="str">
        <f>=HYPERLINK("https://www.xiaohongshu.com/user/profile/5e590e6a0000000001005d5a", "https://www.xiaohongshu.com/user/profile/5e590e6a0000000001005d5a")</f>
        <v>https://www.xiaohongshu.com/user/profile/5e590e6a0000000001005d5a</v>
      </c>
      <c r="C827" s="2" t="str">
        <f>=HYPERLINK("https://pgy.xiaohongshu.com/solar/pre-trade/blogger-detail/5e590e6a0000000001005d5a", "https://pgy.xiaohongshu.com/solar/pre-trade/blogger-detail/5e590e6a0000000001005d5a")</f>
        <v>https://pgy.xiaohongshu.com/solar/pre-trade/blogger-detail/5e590e6a0000000001005d5a</v>
      </c>
      <c r="D827" t="inlineStr">
        <is>
          <t>女</t>
        </is>
      </c>
      <c r="E827" t="inlineStr">
        <is>
          <t>xmxysuccess</t>
        </is>
      </c>
      <c r="F827" t="inlineStr">
        <is>
          <t>麦香鱼卷饼</t>
        </is>
      </c>
      <c r="G827" t="inlineStr">
        <is>
          <t>北京</t>
        </is>
      </c>
      <c r="H827"/>
      <c r="I827" t="inlineStr">
        <is>
          <t>教育</t>
        </is>
      </c>
      <c r="J827">
        <v>1295</v>
      </c>
      <c r="K827" t="inlineStr">
        <is>
          <t>0.1</t>
        </is>
      </c>
      <c r="L827">
        <v>12703</v>
      </c>
      <c r="M827">
        <v>2442</v>
      </c>
      <c r="N827">
        <v>573</v>
      </c>
      <c r="O827">
        <v>200</v>
      </c>
      <c r="P827">
        <v>0</v>
      </c>
      <c r="Q827">
        <v>0.5</v>
      </c>
      <c r="R827">
        <v>12703</v>
      </c>
      <c r="S827">
        <v>2442</v>
      </c>
      <c r="T827">
        <v>507</v>
      </c>
      <c r="U827">
        <v>0.38</v>
      </c>
      <c r="V827">
        <v>200</v>
      </c>
      <c r="W827">
        <v>0.5</v>
      </c>
      <c r="X827">
        <v>0</v>
      </c>
      <c r="Y827">
        <v>15.74</v>
      </c>
      <c r="Z827">
        <v>0.35</v>
      </c>
      <c r="AA827">
        <v>0</v>
      </c>
      <c r="AB827">
        <v>0</v>
      </c>
      <c r="AC827">
        <v>0</v>
      </c>
      <c r="AD827">
        <v>0</v>
      </c>
      <c r="AE827">
        <v>500</v>
      </c>
      <c r="AF827">
        <v>0</v>
      </c>
      <c r="AG827">
        <v>0</v>
      </c>
      <c r="AH827">
        <v>0</v>
      </c>
      <c r="AI827">
        <v>0</v>
      </c>
      <c r="AJ827">
        <v>0</v>
      </c>
      <c r="AK827">
        <v>0</v>
      </c>
      <c r="AL827">
        <v>0</v>
      </c>
      <c r="AM827">
        <v>0</v>
      </c>
      <c r="AN827">
        <v>0</v>
      </c>
      <c r="AO827">
        <v>0</v>
      </c>
      <c r="AP827">
        <v>0.907</v>
      </c>
      <c r="AQ827">
        <v>0.238</v>
      </c>
      <c r="AR827">
        <v>0</v>
      </c>
      <c r="AS827" s="3">
        <v>46107.77471064815</v>
      </c>
    </row>
    <row r="828" ht="25.5" customHeight="1">
      <c r="A828" t="inlineStr">
        <is>
          <t>673eeab2000000001d02fde2</t>
        </is>
      </c>
      <c r="B828" s="2" t="str">
        <f>=HYPERLINK("https://www.xiaohongshu.com/user/profile/673eeab2000000001d02fde2", "https://www.xiaohongshu.com/user/profile/673eeab2000000001d02fde2")</f>
        <v>https://www.xiaohongshu.com/user/profile/673eeab2000000001d02fde2</v>
      </c>
      <c r="C828" s="2" t="str">
        <f>=HYPERLINK("https://pgy.xiaohongshu.com/solar/pre-trade/blogger-detail/673eeab2000000001d02fde2", "https://pgy.xiaohongshu.com/solar/pre-trade/blogger-detail/673eeab2000000001d02fde2")</f>
        <v>https://pgy.xiaohongshu.com/solar/pre-trade/blogger-detail/673eeab2000000001d02fde2</v>
      </c>
      <c r="D828" t="inlineStr">
        <is>
          <t>女</t>
        </is>
      </c>
      <c r="E828" t="inlineStr">
        <is>
          <t>11549042286</t>
        </is>
      </c>
      <c r="F828" t="inlineStr">
        <is>
          <t>Daily with Daisy（疯狂成长版）</t>
        </is>
      </c>
      <c r="G828" t="inlineStr">
        <is>
          <t>上海</t>
        </is>
      </c>
      <c r="H828"/>
      <c r="I828" t="inlineStr">
        <is>
          <t>教育</t>
        </is>
      </c>
      <c r="J828">
        <v>320538</v>
      </c>
      <c r="K828" t="inlineStr">
        <is>
          <t>32.1</t>
        </is>
      </c>
      <c r="L828">
        <v>1057612</v>
      </c>
      <c r="M828">
        <v>108604</v>
      </c>
      <c r="N828">
        <v>15571</v>
      </c>
      <c r="O828">
        <v>13000</v>
      </c>
      <c r="P828">
        <v>1</v>
      </c>
      <c r="Q828">
        <v>1</v>
      </c>
      <c r="R828">
        <v>0</v>
      </c>
      <c r="S828">
        <v>0</v>
      </c>
      <c r="T828">
        <v>0</v>
      </c>
      <c r="U828">
        <v>0</v>
      </c>
      <c r="V828">
        <v>13000</v>
      </c>
      <c r="W828">
        <v>0</v>
      </c>
      <c r="X828">
        <v>0</v>
      </c>
      <c r="Y828">
        <v>0</v>
      </c>
      <c r="Z828">
        <v>0</v>
      </c>
      <c r="AA828">
        <v>1057612</v>
      </c>
      <c r="AB828">
        <v>108604</v>
      </c>
      <c r="AC828">
        <v>11560</v>
      </c>
      <c r="AD828">
        <v>1.82</v>
      </c>
      <c r="AE828">
        <v>35000</v>
      </c>
      <c r="AF828">
        <v>1</v>
      </c>
      <c r="AG828">
        <v>1</v>
      </c>
      <c r="AH828">
        <v>0.042</v>
      </c>
      <c r="AI828">
        <v>33.09</v>
      </c>
      <c r="AJ828">
        <v>2.25</v>
      </c>
      <c r="AK828">
        <v>0</v>
      </c>
      <c r="AL828">
        <v>0</v>
      </c>
      <c r="AM828">
        <v>0</v>
      </c>
      <c r="AN828">
        <v>0</v>
      </c>
      <c r="AO828">
        <v>0</v>
      </c>
      <c r="AP828">
        <v>0.920999999999999</v>
      </c>
      <c r="AQ828">
        <v>0.019</v>
      </c>
      <c r="AR828">
        <v>0.0289999999999999</v>
      </c>
      <c r="AS828" s="3">
        <v>46107.77471064815</v>
      </c>
    </row>
    <row r="829" ht="25.5" customHeight="1">
      <c r="A829" t="inlineStr">
        <is>
          <t>5d2bfafe000000001103411e</t>
        </is>
      </c>
      <c r="B829" s="2" t="str">
        <f>=HYPERLINK("https://www.xiaohongshu.com/user/profile/5d2bfafe000000001103411e", "https://www.xiaohongshu.com/user/profile/5d2bfafe000000001103411e")</f>
        <v>https://www.xiaohongshu.com/user/profile/5d2bfafe000000001103411e</v>
      </c>
      <c r="C829" s="2" t="str">
        <f>=HYPERLINK("https://pgy.xiaohongshu.com/solar/pre-trade/blogger-detail/5d2bfafe000000001103411e", "https://pgy.xiaohongshu.com/solar/pre-trade/blogger-detail/5d2bfafe000000001103411e")</f>
        <v>https://pgy.xiaohongshu.com/solar/pre-trade/blogger-detail/5d2bfafe000000001103411e</v>
      </c>
      <c r="D829" t="inlineStr">
        <is>
          <t>女</t>
        </is>
      </c>
      <c r="E829" t="inlineStr">
        <is>
          <t>363075797</t>
        </is>
      </c>
      <c r="F829" t="inlineStr">
        <is>
          <t>函数星FX</t>
        </is>
      </c>
      <c r="G829" t="inlineStr">
        <is>
          <t>黑龙江 哈尔滨 南岗区</t>
        </is>
      </c>
      <c r="H829"/>
      <c r="I829" t="inlineStr">
        <is>
          <t>教育</t>
        </is>
      </c>
      <c r="J829">
        <v>10861</v>
      </c>
      <c r="K829" t="inlineStr">
        <is>
          <t>1.1</t>
        </is>
      </c>
      <c r="L829">
        <v>6638</v>
      </c>
      <c r="M829">
        <v>1123</v>
      </c>
      <c r="N829">
        <v>171</v>
      </c>
      <c r="O829">
        <v>900</v>
      </c>
      <c r="P829">
        <v>0.166999999999999</v>
      </c>
      <c r="Q829">
        <v>0.389</v>
      </c>
      <c r="R829">
        <v>6407</v>
      </c>
      <c r="S829">
        <v>1026</v>
      </c>
      <c r="T829">
        <v>99</v>
      </c>
      <c r="U829">
        <v>1.18</v>
      </c>
      <c r="V829">
        <v>900</v>
      </c>
      <c r="W829">
        <v>0.353</v>
      </c>
      <c r="X829">
        <v>0.176</v>
      </c>
      <c r="Y829">
        <v>140.47</v>
      </c>
      <c r="Z829">
        <v>6.21</v>
      </c>
      <c r="AA829">
        <v>56021</v>
      </c>
      <c r="AB829">
        <v>10324</v>
      </c>
      <c r="AC829">
        <v>177</v>
      </c>
      <c r="AD829">
        <v>1.59</v>
      </c>
      <c r="AE829">
        <v>900</v>
      </c>
      <c r="AF829">
        <v>1</v>
      </c>
      <c r="AG829">
        <v>0</v>
      </c>
      <c r="AH829">
        <v>0.0139999999999999</v>
      </c>
      <c r="AI829">
        <v>16.07</v>
      </c>
      <c r="AJ829">
        <v>4.57</v>
      </c>
      <c r="AK829">
        <v>0</v>
      </c>
      <c r="AL829">
        <v>0</v>
      </c>
      <c r="AM829">
        <v>0</v>
      </c>
      <c r="AN829">
        <v>0</v>
      </c>
      <c r="AO829">
        <v>0</v>
      </c>
      <c r="AP829">
        <v>0.837</v>
      </c>
      <c r="AQ829">
        <v>0.043</v>
      </c>
      <c r="AR829">
        <v>0.037</v>
      </c>
      <c r="AS829" s="3">
        <v>46107.77471064815</v>
      </c>
    </row>
    <row r="830" ht="25.5" customHeight="1">
      <c r="A830" t="inlineStr">
        <is>
          <t>5b40480411be100b41bb2f90</t>
        </is>
      </c>
      <c r="B830" s="2" t="str">
        <f>=HYPERLINK("https://www.xiaohongshu.com/user/profile/5b40480411be100b41bb2f90", "https://www.xiaohongshu.com/user/profile/5b40480411be100b41bb2f90")</f>
        <v>https://www.xiaohongshu.com/user/profile/5b40480411be100b41bb2f90</v>
      </c>
      <c r="C830" s="2" t="str">
        <f>=HYPERLINK("https://pgy.xiaohongshu.com/solar/pre-trade/blogger-detail/5b40480411be100b41bb2f90", "https://pgy.xiaohongshu.com/solar/pre-trade/blogger-detail/5b40480411be100b41bb2f90")</f>
        <v>https://pgy.xiaohongshu.com/solar/pre-trade/blogger-detail/5b40480411be100b41bb2f90</v>
      </c>
      <c r="D830" t="inlineStr">
        <is>
          <t>女</t>
        </is>
      </c>
      <c r="E830" t="inlineStr">
        <is>
          <t>631070135</t>
        </is>
      </c>
      <c r="F830" t="inlineStr">
        <is>
          <t>Study</t>
        </is>
      </c>
      <c r="G830" t="inlineStr">
        <is>
          <t>江苏 南京 玄武区</t>
        </is>
      </c>
      <c r="H830" t="inlineStr">
        <is>
          <t>考研过来人, 学生</t>
        </is>
      </c>
      <c r="I830" t="inlineStr">
        <is>
          <t>教育, 生活记录</t>
        </is>
      </c>
      <c r="J830">
        <v>3156</v>
      </c>
      <c r="K830" t="inlineStr">
        <is>
          <t>0.3</t>
        </is>
      </c>
      <c r="L830">
        <v>21433</v>
      </c>
      <c r="M830">
        <v>3332</v>
      </c>
      <c r="N830">
        <v>318</v>
      </c>
      <c r="O830">
        <v>300</v>
      </c>
      <c r="P830">
        <v>0.166999999999999</v>
      </c>
      <c r="Q830">
        <v>0.667</v>
      </c>
      <c r="R830">
        <v>30861</v>
      </c>
      <c r="S830">
        <v>4482</v>
      </c>
      <c r="T830">
        <v>195</v>
      </c>
      <c r="U830">
        <v>0.37</v>
      </c>
      <c r="V830">
        <v>300</v>
      </c>
      <c r="W830">
        <v>0.8</v>
      </c>
      <c r="X830">
        <v>0.2</v>
      </c>
      <c r="Y830">
        <v>9.72</v>
      </c>
      <c r="Z830">
        <v>0.82</v>
      </c>
      <c r="AA830">
        <v>9023</v>
      </c>
      <c r="AB830">
        <v>1105</v>
      </c>
      <c r="AC830">
        <v>94</v>
      </c>
      <c r="AD830">
        <v>1.84</v>
      </c>
      <c r="AE830">
        <v>380</v>
      </c>
      <c r="AF830">
        <v>0</v>
      </c>
      <c r="AG830">
        <v>0</v>
      </c>
      <c r="AH830">
        <v>0.076</v>
      </c>
      <c r="AI830">
        <v>42.11</v>
      </c>
      <c r="AJ830">
        <v>3.69</v>
      </c>
      <c r="AK830">
        <v>0</v>
      </c>
      <c r="AL830">
        <v>0</v>
      </c>
      <c r="AM830">
        <v>0</v>
      </c>
      <c r="AN830">
        <v>0</v>
      </c>
      <c r="AO830">
        <v>0</v>
      </c>
      <c r="AP830">
        <v>0.893</v>
      </c>
      <c r="AQ830">
        <v>0.076</v>
      </c>
      <c r="AR830">
        <v>0.17</v>
      </c>
      <c r="AS830" s="3">
        <v>46107.77471064815</v>
      </c>
    </row>
    <row r="831" ht="25.5" customHeight="1">
      <c r="A831" t="inlineStr">
        <is>
          <t>6710a8b5000000001d0337cc</t>
        </is>
      </c>
      <c r="B831" s="2" t="str">
        <f>=HYPERLINK("https://www.xiaohongshu.com/user/profile/6710a8b5000000001d0337cc", "https://www.xiaohongshu.com/user/profile/6710a8b5000000001d0337cc")</f>
        <v>https://www.xiaohongshu.com/user/profile/6710a8b5000000001d0337cc</v>
      </c>
      <c r="C831" s="2" t="str">
        <f>=HYPERLINK("https://pgy.xiaohongshu.com/solar/pre-trade/blogger-detail/6710a8b5000000001d0337cc", "https://pgy.xiaohongshu.com/solar/pre-trade/blogger-detail/6710a8b5000000001d0337cc")</f>
        <v>https://pgy.xiaohongshu.com/solar/pre-trade/blogger-detail/6710a8b5000000001d0337cc</v>
      </c>
      <c r="D831" t="inlineStr">
        <is>
          <t>女</t>
        </is>
      </c>
      <c r="E831" t="inlineStr">
        <is>
          <t>94138827159</t>
        </is>
      </c>
      <c r="F831" t="inlineStr">
        <is>
          <t>薇琪Vicky</t>
        </is>
      </c>
      <c r="G831" t="inlineStr">
        <is>
          <t>安徽 合肥 包河区</t>
        </is>
      </c>
      <c r="H831" t="inlineStr">
        <is>
          <t>创业者</t>
        </is>
      </c>
      <c r="I831" t="inlineStr">
        <is>
          <t>教育</t>
        </is>
      </c>
      <c r="J831">
        <v>6517</v>
      </c>
      <c r="K831" t="inlineStr">
        <is>
          <t>0.7</t>
        </is>
      </c>
      <c r="L831">
        <v>6524</v>
      </c>
      <c r="M831">
        <v>2044</v>
      </c>
      <c r="N831">
        <v>185</v>
      </c>
      <c r="O831">
        <v>201</v>
      </c>
      <c r="P831">
        <v>0</v>
      </c>
      <c r="Q831">
        <v>0</v>
      </c>
      <c r="R831">
        <v>0</v>
      </c>
      <c r="S831">
        <v>0</v>
      </c>
      <c r="T831">
        <v>0</v>
      </c>
      <c r="U831">
        <v>0</v>
      </c>
      <c r="V831">
        <v>201</v>
      </c>
      <c r="W831">
        <v>0</v>
      </c>
      <c r="X831">
        <v>0</v>
      </c>
      <c r="Y831">
        <v>0</v>
      </c>
      <c r="Z831">
        <v>0</v>
      </c>
      <c r="AA831">
        <v>6524</v>
      </c>
      <c r="AB831">
        <v>2044</v>
      </c>
      <c r="AC831">
        <v>160</v>
      </c>
      <c r="AD831">
        <v>1.92</v>
      </c>
      <c r="AE831">
        <v>864</v>
      </c>
      <c r="AF831">
        <v>0</v>
      </c>
      <c r="AG831">
        <v>0</v>
      </c>
      <c r="AH831">
        <v>0.088</v>
      </c>
      <c r="AI831">
        <v>132.43</v>
      </c>
      <c r="AJ831">
        <v>4.67</v>
      </c>
      <c r="AK831">
        <v>0</v>
      </c>
      <c r="AL831">
        <v>0</v>
      </c>
      <c r="AM831">
        <v>0</v>
      </c>
      <c r="AN831">
        <v>0</v>
      </c>
      <c r="AO831">
        <v>0</v>
      </c>
      <c r="AP831">
        <v>0.917999999999999</v>
      </c>
      <c r="AQ831">
        <v>0.033</v>
      </c>
      <c r="AR831">
        <v>0.019</v>
      </c>
      <c r="AS831" s="3">
        <v>46107.77471064815</v>
      </c>
    </row>
    <row r="832" ht="25.5" customHeight="1">
      <c r="A832" t="inlineStr">
        <is>
          <t>5cfb95b30000000006020f74</t>
        </is>
      </c>
      <c r="B832" s="2" t="str">
        <f>=HYPERLINK("https://www.xiaohongshu.com/user/profile/5cfb95b30000000006020f74", "https://www.xiaohongshu.com/user/profile/5cfb95b30000000006020f74")</f>
        <v>https://www.xiaohongshu.com/user/profile/5cfb95b30000000006020f74</v>
      </c>
      <c r="C832" s="2" t="str">
        <f>=HYPERLINK("https://pgy.xiaohongshu.com/solar/pre-trade/blogger-detail/5cfb95b30000000006020f74", "https://pgy.xiaohongshu.com/solar/pre-trade/blogger-detail/5cfb95b30000000006020f74")</f>
        <v>https://pgy.xiaohongshu.com/solar/pre-trade/blogger-detail/5cfb95b30000000006020f74</v>
      </c>
      <c r="D832" t="inlineStr">
        <is>
          <t>男</t>
        </is>
      </c>
      <c r="E832" t="inlineStr">
        <is>
          <t>hglx68_</t>
        </is>
      </c>
      <c r="F832" t="inlineStr">
        <is>
          <t>晗哥说留学</t>
        </is>
      </c>
      <c r="G832" t="inlineStr">
        <is>
          <t>四川 成都 新都区</t>
        </is>
      </c>
      <c r="H832"/>
      <c r="I832" t="inlineStr">
        <is>
          <t>教育</t>
        </is>
      </c>
      <c r="J832">
        <v>2159</v>
      </c>
      <c r="K832" t="inlineStr">
        <is>
          <t>0.2</t>
        </is>
      </c>
      <c r="L832">
        <v>17280</v>
      </c>
      <c r="M832">
        <v>3511</v>
      </c>
      <c r="N832">
        <v>397</v>
      </c>
      <c r="O832">
        <v>200</v>
      </c>
      <c r="P832">
        <v>0.045</v>
      </c>
      <c r="Q832">
        <v>0.773</v>
      </c>
      <c r="R832">
        <v>3904</v>
      </c>
      <c r="S832">
        <v>221</v>
      </c>
      <c r="T832">
        <v>29</v>
      </c>
      <c r="U832">
        <v>1.2</v>
      </c>
      <c r="V832">
        <v>200</v>
      </c>
      <c r="W832">
        <v>0</v>
      </c>
      <c r="X832">
        <v>0</v>
      </c>
      <c r="Y832">
        <v>51.23</v>
      </c>
      <c r="Z832">
        <v>5.56</v>
      </c>
      <c r="AA832">
        <v>17360</v>
      </c>
      <c r="AB832">
        <v>3572</v>
      </c>
      <c r="AC832">
        <v>352</v>
      </c>
      <c r="AD832">
        <v>1.61</v>
      </c>
      <c r="AE832">
        <v>400</v>
      </c>
      <c r="AF832">
        <v>0.81</v>
      </c>
      <c r="AG832">
        <v>0.048</v>
      </c>
      <c r="AH832">
        <v>0.223</v>
      </c>
      <c r="AI832">
        <v>23.04</v>
      </c>
      <c r="AJ832">
        <v>0.98</v>
      </c>
      <c r="AK832">
        <v>0</v>
      </c>
      <c r="AL832">
        <v>0</v>
      </c>
      <c r="AM832">
        <v>0</v>
      </c>
      <c r="AN832">
        <v>0</v>
      </c>
      <c r="AO832">
        <v>0</v>
      </c>
      <c r="AP832">
        <v>0.836</v>
      </c>
      <c r="AQ832">
        <v>0.289</v>
      </c>
      <c r="AR832">
        <v>0</v>
      </c>
      <c r="AS832" s="3">
        <v>46107.77471064815</v>
      </c>
    </row>
    <row r="833" ht="25.5" customHeight="1">
      <c r="A833" t="inlineStr">
        <is>
          <t>639035aa000000001f01666f</t>
        </is>
      </c>
      <c r="B833" s="2" t="str">
        <f>=HYPERLINK("https://www.xiaohongshu.com/user/profile/639035aa000000001f01666f", "https://www.xiaohongshu.com/user/profile/639035aa000000001f01666f")</f>
        <v>https://www.xiaohongshu.com/user/profile/639035aa000000001f01666f</v>
      </c>
      <c r="C833" s="2" t="str">
        <f>=HYPERLINK("https://pgy.xiaohongshu.com/solar/pre-trade/blogger-detail/639035aa000000001f01666f", "https://pgy.xiaohongshu.com/solar/pre-trade/blogger-detail/639035aa000000001f01666f")</f>
        <v>https://pgy.xiaohongshu.com/solar/pre-trade/blogger-detail/639035aa000000001f01666f</v>
      </c>
      <c r="D833" t="inlineStr">
        <is>
          <t>男</t>
        </is>
      </c>
      <c r="E833" t="inlineStr">
        <is>
          <t>5315152281</t>
        </is>
      </c>
      <c r="F833" t="inlineStr">
        <is>
          <t>小美跑了</t>
        </is>
      </c>
      <c r="G833" t="inlineStr">
        <is>
          <t>韩国</t>
        </is>
      </c>
      <c r="H833" t="inlineStr">
        <is>
          <t>学生, 化妆师</t>
        </is>
      </c>
      <c r="I833" t="inlineStr">
        <is>
          <t>教育, 美妆, 生活记录</t>
        </is>
      </c>
      <c r="J833">
        <v>39614</v>
      </c>
      <c r="K833" t="inlineStr">
        <is>
          <t>4.0</t>
        </is>
      </c>
      <c r="L833">
        <v>88393</v>
      </c>
      <c r="M833">
        <v>45604</v>
      </c>
      <c r="N833">
        <v>901</v>
      </c>
      <c r="O833">
        <v>2091</v>
      </c>
      <c r="P833">
        <v>0.389</v>
      </c>
      <c r="Q833">
        <v>1</v>
      </c>
      <c r="R833">
        <v>59576</v>
      </c>
      <c r="S833">
        <v>16723</v>
      </c>
      <c r="T833">
        <v>204</v>
      </c>
      <c r="U833">
        <v>0.43</v>
      </c>
      <c r="V833">
        <v>2091</v>
      </c>
      <c r="W833">
        <v>1</v>
      </c>
      <c r="X833">
        <v>0</v>
      </c>
      <c r="Y833">
        <v>35.1</v>
      </c>
      <c r="Z833">
        <v>9.33</v>
      </c>
      <c r="AA833">
        <v>100700</v>
      </c>
      <c r="AB833">
        <v>54279</v>
      </c>
      <c r="AC833">
        <v>993</v>
      </c>
      <c r="AD833">
        <v>1.61</v>
      </c>
      <c r="AE833">
        <v>6000</v>
      </c>
      <c r="AF833">
        <v>1</v>
      </c>
      <c r="AG833">
        <v>0.437999999999999</v>
      </c>
      <c r="AH833">
        <v>0.231</v>
      </c>
      <c r="AI833">
        <v>59.58</v>
      </c>
      <c r="AJ833">
        <v>5.52</v>
      </c>
      <c r="AK833">
        <v>0</v>
      </c>
      <c r="AL833">
        <v>0</v>
      </c>
      <c r="AM833">
        <v>0</v>
      </c>
      <c r="AN833">
        <v>0</v>
      </c>
      <c r="AO833">
        <v>0</v>
      </c>
      <c r="AP833">
        <v>0.765</v>
      </c>
      <c r="AQ833">
        <v>0.092</v>
      </c>
      <c r="AR833">
        <v>0.059</v>
      </c>
      <c r="AS833" s="3">
        <v>46107.77471064815</v>
      </c>
    </row>
    <row r="834" ht="25.5" customHeight="1">
      <c r="A834" t="inlineStr">
        <is>
          <t>629f58c600000000210285e0</t>
        </is>
      </c>
      <c r="B834" s="2" t="str">
        <f>=HYPERLINK("https://www.xiaohongshu.com/user/profile/629f58c600000000210285e0", "https://www.xiaohongshu.com/user/profile/629f58c600000000210285e0")</f>
        <v>https://www.xiaohongshu.com/user/profile/629f58c600000000210285e0</v>
      </c>
      <c r="C834" s="2" t="str">
        <f>=HYPERLINK("https://pgy.xiaohongshu.com/solar/pre-trade/blogger-detail/629f58c600000000210285e0", "https://pgy.xiaohongshu.com/solar/pre-trade/blogger-detail/629f58c600000000210285e0")</f>
        <v>https://pgy.xiaohongshu.com/solar/pre-trade/blogger-detail/629f58c600000000210285e0</v>
      </c>
      <c r="D834" t="inlineStr">
        <is>
          <t>男</t>
        </is>
      </c>
      <c r="E834" t="inlineStr">
        <is>
          <t>5604849481</t>
        </is>
      </c>
      <c r="F834" t="inlineStr">
        <is>
          <t>willy</t>
        </is>
      </c>
      <c r="G834" t="inlineStr">
        <is>
          <t>英国</t>
        </is>
      </c>
      <c r="H834" t="inlineStr">
        <is>
          <t>学生, 留学背景</t>
        </is>
      </c>
      <c r="I834" t="inlineStr">
        <is>
          <t>教育, 生活记录</t>
        </is>
      </c>
      <c r="J834">
        <v>212638</v>
      </c>
      <c r="K834" t="inlineStr">
        <is>
          <t>21.3</t>
        </is>
      </c>
      <c r="L834">
        <v>228299</v>
      </c>
      <c r="M834">
        <v>124459</v>
      </c>
      <c r="N834">
        <v>11251</v>
      </c>
      <c r="O834">
        <v>22000</v>
      </c>
      <c r="P834">
        <v>0.938</v>
      </c>
      <c r="Q834">
        <v>1</v>
      </c>
      <c r="R834">
        <v>0</v>
      </c>
      <c r="S834">
        <v>0</v>
      </c>
      <c r="T834">
        <v>0</v>
      </c>
      <c r="U834">
        <v>0</v>
      </c>
      <c r="V834">
        <v>15000</v>
      </c>
      <c r="W834">
        <v>0</v>
      </c>
      <c r="X834">
        <v>0</v>
      </c>
      <c r="Y834">
        <v>0</v>
      </c>
      <c r="Z834">
        <v>0</v>
      </c>
      <c r="AA834">
        <v>228299</v>
      </c>
      <c r="AB834">
        <v>124459</v>
      </c>
      <c r="AC834">
        <v>10684</v>
      </c>
      <c r="AD834">
        <v>1.68</v>
      </c>
      <c r="AE834">
        <v>22000</v>
      </c>
      <c r="AF834">
        <v>1</v>
      </c>
      <c r="AG834">
        <v>0.938</v>
      </c>
      <c r="AH834">
        <v>0.437999999999999</v>
      </c>
      <c r="AI834">
        <v>96.36</v>
      </c>
      <c r="AJ834">
        <v>1.96</v>
      </c>
      <c r="AK834">
        <v>0</v>
      </c>
      <c r="AL834">
        <v>0</v>
      </c>
      <c r="AM834">
        <v>0</v>
      </c>
      <c r="AN834">
        <v>0</v>
      </c>
      <c r="AO834">
        <v>0</v>
      </c>
      <c r="AP834">
        <v>0.92</v>
      </c>
      <c r="AQ834">
        <v>0.209</v>
      </c>
      <c r="AR834">
        <v>0.034</v>
      </c>
      <c r="AS834" s="3">
        <v>46107.77471064815</v>
      </c>
    </row>
    <row r="835" ht="25.5" customHeight="1">
      <c r="A835" t="inlineStr">
        <is>
          <t>693e299e0000000037003b8e</t>
        </is>
      </c>
      <c r="B835" s="2" t="str">
        <f>=HYPERLINK("https://www.xiaohongshu.com/user/profile/693e299e0000000037003b8e", "https://www.xiaohongshu.com/user/profile/693e299e0000000037003b8e")</f>
        <v>https://www.xiaohongshu.com/user/profile/693e299e0000000037003b8e</v>
      </c>
      <c r="C835" s="2" t="str">
        <f>=HYPERLINK("https://pgy.xiaohongshu.com/solar/pre-trade/blogger-detail/693e299e0000000037003b8e", "https://pgy.xiaohongshu.com/solar/pre-trade/blogger-detail/693e299e0000000037003b8e")</f>
        <v>https://pgy.xiaohongshu.com/solar/pre-trade/blogger-detail/693e299e0000000037003b8e</v>
      </c>
      <c r="D835" t="inlineStr">
        <is>
          <t>女</t>
        </is>
      </c>
      <c r="E835" t="inlineStr">
        <is>
          <t>49951767972</t>
        </is>
      </c>
      <c r="F835" t="inlineStr">
        <is>
          <t>圆圆儿💎</t>
        </is>
      </c>
      <c r="G835" t="inlineStr">
        <is>
          <t>福建 莆田 荔城区</t>
        </is>
      </c>
      <c r="H835"/>
      <c r="I835" t="inlineStr">
        <is>
          <t>护肤</t>
        </is>
      </c>
      <c r="J835">
        <v>26639</v>
      </c>
      <c r="K835" t="inlineStr">
        <is>
          <t>2.7</t>
        </is>
      </c>
      <c r="L835">
        <v>3200</v>
      </c>
      <c r="M835">
        <v>1425</v>
      </c>
      <c r="N835">
        <v>147</v>
      </c>
      <c r="O835">
        <v>2000</v>
      </c>
      <c r="P835">
        <v>0</v>
      </c>
      <c r="Q835">
        <v>0.19</v>
      </c>
      <c r="R835">
        <v>0</v>
      </c>
      <c r="S835">
        <v>0</v>
      </c>
      <c r="T835">
        <v>0</v>
      </c>
      <c r="U835">
        <v>0</v>
      </c>
      <c r="V835">
        <v>2000</v>
      </c>
      <c r="W835">
        <v>0</v>
      </c>
      <c r="X835">
        <v>0</v>
      </c>
      <c r="Y835">
        <v>0</v>
      </c>
      <c r="Z835">
        <v>0</v>
      </c>
      <c r="AA835">
        <v>3200</v>
      </c>
      <c r="AB835">
        <v>1425</v>
      </c>
      <c r="AC835">
        <v>125</v>
      </c>
      <c r="AD835">
        <v>4.17</v>
      </c>
      <c r="AE835">
        <v>3800</v>
      </c>
      <c r="AF835">
        <v>0.19</v>
      </c>
      <c r="AG835">
        <v>0</v>
      </c>
      <c r="AH835">
        <v>0.174</v>
      </c>
      <c r="AI835">
        <v>1187.5</v>
      </c>
      <c r="AJ835">
        <v>25.85</v>
      </c>
      <c r="AK835">
        <v>0</v>
      </c>
      <c r="AL835">
        <v>0</v>
      </c>
      <c r="AM835">
        <v>0</v>
      </c>
      <c r="AN835">
        <v>0</v>
      </c>
      <c r="AO835">
        <v>0</v>
      </c>
      <c r="AP835">
        <v>0.975</v>
      </c>
      <c r="AQ835">
        <v>0.019</v>
      </c>
      <c r="AR835">
        <v>0.005</v>
      </c>
      <c r="AS835" s="3">
        <v>46107.77471064815</v>
      </c>
    </row>
    <row r="836" ht="25.5" customHeight="1">
      <c r="A836" t="inlineStr">
        <is>
          <t>63fd42ad000000000f0111f4</t>
        </is>
      </c>
      <c r="B836" s="2" t="str">
        <f>=HYPERLINK("https://www.xiaohongshu.com/user/profile/63fd42ad000000000f0111f4", "https://www.xiaohongshu.com/user/profile/63fd42ad000000000f0111f4")</f>
        <v>https://www.xiaohongshu.com/user/profile/63fd42ad000000000f0111f4</v>
      </c>
      <c r="C836" s="2" t="str">
        <f>=HYPERLINK("https://pgy.xiaohongshu.com/solar/pre-trade/blogger-detail/63fd42ad000000000f0111f4", "https://pgy.xiaohongshu.com/solar/pre-trade/blogger-detail/63fd42ad000000000f0111f4")</f>
        <v>https://pgy.xiaohongshu.com/solar/pre-trade/blogger-detail/63fd42ad000000000f0111f4</v>
      </c>
      <c r="D836" t="inlineStr">
        <is>
          <t>男</t>
        </is>
      </c>
      <c r="E836" t="inlineStr">
        <is>
          <t>superrrpotato</t>
        </is>
      </c>
      <c r="F836" t="inlineStr">
        <is>
          <t>杨雨坤-Yukun</t>
        </is>
      </c>
      <c r="G836" t="inlineStr">
        <is>
          <t>奥地利</t>
        </is>
      </c>
      <c r="H836" t="inlineStr">
        <is>
          <t>3-6岁, 爸爸, 留学背景, 学生</t>
        </is>
      </c>
      <c r="I836" t="inlineStr">
        <is>
          <t>生活记录, 母婴</t>
        </is>
      </c>
      <c r="J836">
        <v>624514</v>
      </c>
      <c r="K836" t="inlineStr">
        <is>
          <t>62.5</t>
        </is>
      </c>
      <c r="L836">
        <v>588769</v>
      </c>
      <c r="M836">
        <v>182932</v>
      </c>
      <c r="N836">
        <v>17391</v>
      </c>
      <c r="O836">
        <v>28000</v>
      </c>
      <c r="P836">
        <v>1</v>
      </c>
      <c r="Q836">
        <v>1</v>
      </c>
      <c r="R836">
        <v>854815</v>
      </c>
      <c r="S836">
        <v>140334</v>
      </c>
      <c r="T836">
        <v>8349</v>
      </c>
      <c r="U836">
        <v>0.5</v>
      </c>
      <c r="V836">
        <v>28000</v>
      </c>
      <c r="W836">
        <v>1</v>
      </c>
      <c r="X836">
        <v>1</v>
      </c>
      <c r="Y836">
        <v>32.76</v>
      </c>
      <c r="Z836">
        <v>3.03</v>
      </c>
      <c r="AA836">
        <v>582128</v>
      </c>
      <c r="AB836">
        <v>184230</v>
      </c>
      <c r="AC836">
        <v>15768</v>
      </c>
      <c r="AD836">
        <v>1.81</v>
      </c>
      <c r="AE836">
        <v>56000</v>
      </c>
      <c r="AF836">
        <v>1</v>
      </c>
      <c r="AG836">
        <v>1</v>
      </c>
      <c r="AH836">
        <v>0.182</v>
      </c>
      <c r="AI836">
        <v>106.91</v>
      </c>
      <c r="AJ836">
        <v>3.22</v>
      </c>
      <c r="AK836">
        <v>299177</v>
      </c>
      <c r="AL836">
        <v>52857</v>
      </c>
      <c r="AM836">
        <v>7796</v>
      </c>
      <c r="AN836">
        <v>0</v>
      </c>
      <c r="AO836">
        <v>155.73</v>
      </c>
      <c r="AP836">
        <v>0.955</v>
      </c>
      <c r="AQ836">
        <v>0.261</v>
      </c>
      <c r="AR836">
        <v>0.155</v>
      </c>
      <c r="AS836" s="3">
        <v>46107.77471064815</v>
      </c>
    </row>
    <row r="837" ht="25.5" customHeight="1">
      <c r="A837" t="inlineStr">
        <is>
          <t>62bd6c9100000000190206f3</t>
        </is>
      </c>
      <c r="B837" s="2" t="str">
        <f>=HYPERLINK("https://www.xiaohongshu.com/user/profile/62bd6c9100000000190206f3", "https://www.xiaohongshu.com/user/profile/62bd6c9100000000190206f3")</f>
        <v>https://www.xiaohongshu.com/user/profile/62bd6c9100000000190206f3</v>
      </c>
      <c r="C837" s="2" t="str">
        <f>=HYPERLINK("https://pgy.xiaohongshu.com/solar/pre-trade/blogger-detail/62bd6c9100000000190206f3", "https://pgy.xiaohongshu.com/solar/pre-trade/blogger-detail/62bd6c9100000000190206f3")</f>
        <v>https://pgy.xiaohongshu.com/solar/pre-trade/blogger-detail/62bd6c9100000000190206f3</v>
      </c>
      <c r="D837" t="inlineStr">
        <is>
          <t>男</t>
        </is>
      </c>
      <c r="E837" t="inlineStr">
        <is>
          <t>11619342767</t>
        </is>
      </c>
      <c r="F837" t="inlineStr">
        <is>
          <t>苹果猫日记（猫猫好物）</t>
        </is>
      </c>
      <c r="G837" t="inlineStr">
        <is>
          <t>河北 秦皇岛 海港区</t>
        </is>
      </c>
      <c r="H837" t="inlineStr">
        <is>
          <t>考研过来人, 学生</t>
        </is>
      </c>
      <c r="I837" t="inlineStr">
        <is>
          <t>美食, 宠物</t>
        </is>
      </c>
      <c r="J837">
        <v>5421</v>
      </c>
      <c r="K837" t="inlineStr">
        <is>
          <t>0.5</t>
        </is>
      </c>
      <c r="L837">
        <v>2317</v>
      </c>
      <c r="M837">
        <v>1433</v>
      </c>
      <c r="N837">
        <v>167</v>
      </c>
      <c r="O837">
        <v>100</v>
      </c>
      <c r="P837">
        <v>0</v>
      </c>
      <c r="Q837">
        <v>0.45</v>
      </c>
      <c r="R837">
        <v>900</v>
      </c>
      <c r="S837">
        <v>159</v>
      </c>
      <c r="T837">
        <v>4</v>
      </c>
      <c r="U837">
        <v>0.93</v>
      </c>
      <c r="V837">
        <v>100</v>
      </c>
      <c r="W837">
        <v>0</v>
      </c>
      <c r="X837">
        <v>0</v>
      </c>
      <c r="Y837">
        <v>111.11</v>
      </c>
      <c r="Z837">
        <v>12.5</v>
      </c>
      <c r="AA837">
        <v>2356</v>
      </c>
      <c r="AB837">
        <v>1515</v>
      </c>
      <c r="AC837">
        <v>156</v>
      </c>
      <c r="AD837">
        <v>1.6</v>
      </c>
      <c r="AE837">
        <v>150</v>
      </c>
      <c r="AF837">
        <v>0.474</v>
      </c>
      <c r="AG837">
        <v>0</v>
      </c>
      <c r="AH837">
        <v>0.298</v>
      </c>
      <c r="AI837">
        <v>63.67</v>
      </c>
      <c r="AJ837">
        <v>0.89</v>
      </c>
      <c r="AK837">
        <v>2616</v>
      </c>
      <c r="AL837">
        <v>464</v>
      </c>
      <c r="AM837">
        <v>54</v>
      </c>
      <c r="AN837">
        <v>0</v>
      </c>
      <c r="AO837">
        <v>0</v>
      </c>
      <c r="AP837">
        <v>0.900999999999999</v>
      </c>
      <c r="AQ837">
        <v>0.0969999999999999</v>
      </c>
      <c r="AR837">
        <v>0.163</v>
      </c>
      <c r="AS837" s="3">
        <v>46107.77471064815</v>
      </c>
    </row>
    <row r="838" ht="25.5" customHeight="1">
      <c r="A838" t="inlineStr">
        <is>
          <t>5e3930630000000001003eb2</t>
        </is>
      </c>
      <c r="B838" s="2" t="str">
        <f>=HYPERLINK("https://www.xiaohongshu.com/user/profile/5e3930630000000001003eb2", "https://www.xiaohongshu.com/user/profile/5e3930630000000001003eb2")</f>
        <v>https://www.xiaohongshu.com/user/profile/5e3930630000000001003eb2</v>
      </c>
      <c r="C838" s="2" t="str">
        <f>=HYPERLINK("https://pgy.xiaohongshu.com/solar/pre-trade/blogger-detail/5e3930630000000001003eb2", "https://pgy.xiaohongshu.com/solar/pre-trade/blogger-detail/5e3930630000000001003eb2")</f>
        <v>https://pgy.xiaohongshu.com/solar/pre-trade/blogger-detail/5e3930630000000001003eb2</v>
      </c>
      <c r="D838" t="inlineStr">
        <is>
          <t>女</t>
        </is>
      </c>
      <c r="E838" t="inlineStr">
        <is>
          <t>123110915</t>
        </is>
      </c>
      <c r="F838" t="inlineStr">
        <is>
          <t>小鱼干（破3000🎁版）</t>
        </is>
      </c>
      <c r="G838" t="inlineStr">
        <is>
          <t>河南 郑州 金水区</t>
        </is>
      </c>
      <c r="H838"/>
      <c r="I838" t="inlineStr">
        <is>
          <t>教育</t>
        </is>
      </c>
      <c r="J838">
        <v>1654</v>
      </c>
      <c r="K838" t="inlineStr">
        <is>
          <t>0.2</t>
        </is>
      </c>
      <c r="L838">
        <v>8080</v>
      </c>
      <c r="M838">
        <v>2795</v>
      </c>
      <c r="N838">
        <v>311</v>
      </c>
      <c r="O838">
        <v>234</v>
      </c>
      <c r="P838">
        <v>0</v>
      </c>
      <c r="Q838">
        <v>0.72</v>
      </c>
      <c r="R838">
        <v>445</v>
      </c>
      <c r="S838">
        <v>184</v>
      </c>
      <c r="T838">
        <v>14</v>
      </c>
      <c r="U838">
        <v>1.57</v>
      </c>
      <c r="V838">
        <v>234</v>
      </c>
      <c r="W838">
        <v>0</v>
      </c>
      <c r="X838">
        <v>0</v>
      </c>
      <c r="Y838">
        <v>525.25</v>
      </c>
      <c r="Z838">
        <v>12.65</v>
      </c>
      <c r="AA838">
        <v>8215</v>
      </c>
      <c r="AB838">
        <v>2819</v>
      </c>
      <c r="AC838">
        <v>281</v>
      </c>
      <c r="AD838">
        <v>1.64</v>
      </c>
      <c r="AE838">
        <v>395</v>
      </c>
      <c r="AF838">
        <v>0.782999999999999</v>
      </c>
      <c r="AG838">
        <v>0</v>
      </c>
      <c r="AH838">
        <v>0.026</v>
      </c>
      <c r="AI838">
        <v>48.08</v>
      </c>
      <c r="AJ838">
        <v>1.21</v>
      </c>
      <c r="AK838">
        <v>0</v>
      </c>
      <c r="AL838">
        <v>0</v>
      </c>
      <c r="AM838">
        <v>0</v>
      </c>
      <c r="AN838">
        <v>0</v>
      </c>
      <c r="AO838">
        <v>0</v>
      </c>
      <c r="AP838">
        <v>0.986</v>
      </c>
      <c r="AQ838">
        <v>0.518</v>
      </c>
      <c r="AR838">
        <v>0</v>
      </c>
      <c r="AS838" s="3">
        <v>46107.77471064815</v>
      </c>
    </row>
    <row r="839" ht="25.5" customHeight="1">
      <c r="A839" t="inlineStr">
        <is>
          <t>59bfc0956a6a692b606036b5</t>
        </is>
      </c>
      <c r="B839" s="2" t="str">
        <f>=HYPERLINK("https://www.xiaohongshu.com/user/profile/59bfc0956a6a692b606036b5", "https://www.xiaohongshu.com/user/profile/59bfc0956a6a692b606036b5")</f>
        <v>https://www.xiaohongshu.com/user/profile/59bfc0956a6a692b606036b5</v>
      </c>
      <c r="C839" s="2" t="str">
        <f>=HYPERLINK("https://pgy.xiaohongshu.com/solar/pre-trade/blogger-detail/59bfc0956a6a692b606036b5", "https://pgy.xiaohongshu.com/solar/pre-trade/blogger-detail/59bfc0956a6a692b606036b5")</f>
        <v>https://pgy.xiaohongshu.com/solar/pre-trade/blogger-detail/59bfc0956a6a692b606036b5</v>
      </c>
      <c r="D839" t="inlineStr">
        <is>
          <t>女</t>
        </is>
      </c>
      <c r="E839" t="inlineStr">
        <is>
          <t>954499783</t>
        </is>
      </c>
      <c r="F839" t="inlineStr">
        <is>
          <t>霜霜在泰国</t>
        </is>
      </c>
      <c r="G839" t="inlineStr">
        <is>
          <t>泰国</t>
        </is>
      </c>
      <c r="H839" t="inlineStr">
        <is>
          <t>留学背景</t>
        </is>
      </c>
      <c r="I839" t="inlineStr">
        <is>
          <t>出行旅游, 生活记录</t>
        </is>
      </c>
      <c r="J839">
        <v>33645</v>
      </c>
      <c r="K839" t="inlineStr">
        <is>
          <t>3.4</t>
        </is>
      </c>
      <c r="L839">
        <v>9665</v>
      </c>
      <c r="M839">
        <v>2654</v>
      </c>
      <c r="N839">
        <v>190</v>
      </c>
      <c r="O839">
        <v>1600</v>
      </c>
      <c r="P839">
        <v>0</v>
      </c>
      <c r="Q839">
        <v>0.846</v>
      </c>
      <c r="R839">
        <v>0</v>
      </c>
      <c r="S839">
        <v>0</v>
      </c>
      <c r="T839">
        <v>0</v>
      </c>
      <c r="U839">
        <v>0</v>
      </c>
      <c r="V839">
        <v>1600</v>
      </c>
      <c r="W839">
        <v>0</v>
      </c>
      <c r="X839">
        <v>0</v>
      </c>
      <c r="Y839">
        <v>0</v>
      </c>
      <c r="Z839">
        <v>0</v>
      </c>
      <c r="AA839">
        <v>9665</v>
      </c>
      <c r="AB839">
        <v>2654</v>
      </c>
      <c r="AC839">
        <v>158</v>
      </c>
      <c r="AD839">
        <v>2.93</v>
      </c>
      <c r="AE839">
        <v>3800</v>
      </c>
      <c r="AF839">
        <v>0.846</v>
      </c>
      <c r="AG839">
        <v>0</v>
      </c>
      <c r="AH839">
        <v>0.063</v>
      </c>
      <c r="AI839">
        <v>393.17</v>
      </c>
      <c r="AJ839">
        <v>20</v>
      </c>
      <c r="AK839">
        <v>0</v>
      </c>
      <c r="AL839">
        <v>0</v>
      </c>
      <c r="AM839">
        <v>0</v>
      </c>
      <c r="AN839">
        <v>0</v>
      </c>
      <c r="AO839">
        <v>0</v>
      </c>
      <c r="AP839">
        <v>0.701</v>
      </c>
      <c r="AQ839">
        <v>0.019</v>
      </c>
      <c r="AR839">
        <v>0.00699999999999999</v>
      </c>
      <c r="AS839" s="3">
        <v>46107.77471064815</v>
      </c>
    </row>
    <row r="840" ht="25.5" customHeight="1">
      <c r="A840" t="inlineStr">
        <is>
          <t>64d10898000000000b009d9f</t>
        </is>
      </c>
      <c r="B840" s="2" t="str">
        <f>=HYPERLINK("https://www.xiaohongshu.com/user/profile/64d10898000000000b009d9f", "https://www.xiaohongshu.com/user/profile/64d10898000000000b009d9f")</f>
        <v>https://www.xiaohongshu.com/user/profile/64d10898000000000b009d9f</v>
      </c>
      <c r="C840" s="2" t="str">
        <f>=HYPERLINK("https://pgy.xiaohongshu.com/solar/pre-trade/blogger-detail/64d10898000000000b009d9f", "https://pgy.xiaohongshu.com/solar/pre-trade/blogger-detail/64d10898000000000b009d9f")</f>
        <v>https://pgy.xiaohongshu.com/solar/pre-trade/blogger-detail/64d10898000000000b009d9f</v>
      </c>
      <c r="D840" t="inlineStr">
        <is>
          <t>男</t>
        </is>
      </c>
      <c r="E840" t="inlineStr">
        <is>
          <t>2004867567</t>
        </is>
      </c>
      <c r="F840" t="inlineStr">
        <is>
          <t>小钝和他的朋友们</t>
        </is>
      </c>
      <c r="G840" t="inlineStr">
        <is>
          <t>山东 济南 历下区</t>
        </is>
      </c>
      <c r="H840" t="inlineStr">
        <is>
          <t>学生</t>
        </is>
      </c>
      <c r="I840" t="inlineStr">
        <is>
          <t>教育</t>
        </is>
      </c>
      <c r="J840">
        <v>3795</v>
      </c>
      <c r="K840" t="inlineStr">
        <is>
          <t>0.4</t>
        </is>
      </c>
      <c r="L840">
        <v>2880</v>
      </c>
      <c r="M840">
        <v>1282</v>
      </c>
      <c r="N840">
        <v>104</v>
      </c>
      <c r="O840">
        <v>350</v>
      </c>
      <c r="P840">
        <v>0</v>
      </c>
      <c r="Q840">
        <v>0.091</v>
      </c>
      <c r="R840">
        <v>5635</v>
      </c>
      <c r="S840">
        <v>1149</v>
      </c>
      <c r="T840">
        <v>84</v>
      </c>
      <c r="U840">
        <v>0.6</v>
      </c>
      <c r="V840">
        <v>350</v>
      </c>
      <c r="W840">
        <v>0</v>
      </c>
      <c r="X840">
        <v>0</v>
      </c>
      <c r="Y840">
        <v>62.11</v>
      </c>
      <c r="Z840">
        <v>3.93</v>
      </c>
      <c r="AA840">
        <v>2630</v>
      </c>
      <c r="AB840">
        <v>1300</v>
      </c>
      <c r="AC840">
        <v>119</v>
      </c>
      <c r="AD840">
        <v>1.96</v>
      </c>
      <c r="AE840">
        <v>600</v>
      </c>
      <c r="AF840">
        <v>0.1</v>
      </c>
      <c r="AG840">
        <v>0</v>
      </c>
      <c r="AH840">
        <v>0.015</v>
      </c>
      <c r="AI840">
        <v>228.09</v>
      </c>
      <c r="AJ840">
        <v>4.62</v>
      </c>
      <c r="AK840">
        <v>0</v>
      </c>
      <c r="AL840">
        <v>0</v>
      </c>
      <c r="AM840">
        <v>0</v>
      </c>
      <c r="AN840">
        <v>0</v>
      </c>
      <c r="AO840">
        <v>0</v>
      </c>
      <c r="AP840">
        <v>0.907999999999999</v>
      </c>
      <c r="AQ840">
        <v>0.053</v>
      </c>
      <c r="AR840">
        <v>0.02</v>
      </c>
      <c r="AS840" s="3">
        <v>46107.77471064815</v>
      </c>
    </row>
    <row r="841" ht="25.5" customHeight="1">
      <c r="A841" t="inlineStr">
        <is>
          <t>568e65de50c4b4756d3fcec1</t>
        </is>
      </c>
      <c r="B841" s="2" t="str">
        <f>=HYPERLINK("https://www.xiaohongshu.com/user/profile/568e65de50c4b4756d3fcec1", "https://www.xiaohongshu.com/user/profile/568e65de50c4b4756d3fcec1")</f>
        <v>https://www.xiaohongshu.com/user/profile/568e65de50c4b4756d3fcec1</v>
      </c>
      <c r="C841" s="2" t="str">
        <f>=HYPERLINK("https://pgy.xiaohongshu.com/solar/pre-trade/blogger-detail/568e65de50c4b4756d3fcec1", "https://pgy.xiaohongshu.com/solar/pre-trade/blogger-detail/568e65de50c4b4756d3fcec1")</f>
        <v>https://pgy.xiaohongshu.com/solar/pre-trade/blogger-detail/568e65de50c4b4756d3fcec1</v>
      </c>
      <c r="D841" t="inlineStr">
        <is>
          <t>女</t>
        </is>
      </c>
      <c r="E841" t="inlineStr">
        <is>
          <t>itsleawang</t>
        </is>
      </c>
      <c r="F841" t="inlineStr">
        <is>
          <t>勒亚Lea</t>
        </is>
      </c>
      <c r="G841" t="inlineStr">
        <is>
          <t>加拿大</t>
        </is>
      </c>
      <c r="H841" t="inlineStr">
        <is>
          <t>海外华人, 留学背景</t>
        </is>
      </c>
      <c r="I841" t="inlineStr">
        <is>
          <t>美食, 教育, 出行旅游</t>
        </is>
      </c>
      <c r="J841">
        <v>2957</v>
      </c>
      <c r="K841" t="inlineStr">
        <is>
          <t>0.3</t>
        </is>
      </c>
      <c r="L841">
        <v>12539</v>
      </c>
      <c r="M841">
        <v>2135</v>
      </c>
      <c r="N841">
        <v>152</v>
      </c>
      <c r="O841">
        <v>800</v>
      </c>
      <c r="P841">
        <v>0</v>
      </c>
      <c r="Q841">
        <v>0.286</v>
      </c>
      <c r="R841">
        <v>12539</v>
      </c>
      <c r="S841">
        <v>2135</v>
      </c>
      <c r="T841">
        <v>109</v>
      </c>
      <c r="U841">
        <v>0.67</v>
      </c>
      <c r="V841">
        <v>800</v>
      </c>
      <c r="W841">
        <v>0.2</v>
      </c>
      <c r="X841">
        <v>0</v>
      </c>
      <c r="Y841">
        <v>63.8</v>
      </c>
      <c r="Z841">
        <v>5.37</v>
      </c>
      <c r="AA841">
        <v>18867</v>
      </c>
      <c r="AB841">
        <v>1795</v>
      </c>
      <c r="AC841">
        <v>364</v>
      </c>
      <c r="AD841">
        <v>2.44</v>
      </c>
      <c r="AE841">
        <v>900</v>
      </c>
      <c r="AF841">
        <v>0.5</v>
      </c>
      <c r="AG841">
        <v>0</v>
      </c>
      <c r="AH841">
        <v>0.13</v>
      </c>
      <c r="AI841">
        <v>124.04</v>
      </c>
      <c r="AJ841">
        <v>5.2</v>
      </c>
      <c r="AK841">
        <v>7256</v>
      </c>
      <c r="AL841">
        <v>352</v>
      </c>
      <c r="AM841">
        <v>52</v>
      </c>
      <c r="AN841">
        <v>0</v>
      </c>
      <c r="AO841">
        <v>0</v>
      </c>
      <c r="AP841">
        <v>0.839</v>
      </c>
      <c r="AQ841">
        <v>0.047</v>
      </c>
      <c r="AR841">
        <v>0.027</v>
      </c>
      <c r="AS841" s="3">
        <v>46107.77491898148</v>
      </c>
    </row>
    <row r="842" ht="25.5" customHeight="1">
      <c r="A842" t="inlineStr">
        <is>
          <t>688069e0000000001e004e03</t>
        </is>
      </c>
      <c r="B842" s="2" t="str">
        <f>=HYPERLINK("https://www.xiaohongshu.com/user/profile/688069e0000000001e004e03", "https://www.xiaohongshu.com/user/profile/688069e0000000001e004e03")</f>
        <v>https://www.xiaohongshu.com/user/profile/688069e0000000001e004e03</v>
      </c>
      <c r="C842" s="2" t="str">
        <f>=HYPERLINK("https://pgy.xiaohongshu.com/solar/pre-trade/blogger-detail/688069e0000000001e004e03", "https://pgy.xiaohongshu.com/solar/pre-trade/blogger-detail/688069e0000000001e004e03")</f>
        <v>https://pgy.xiaohongshu.com/solar/pre-trade/blogger-detail/688069e0000000001e004e03</v>
      </c>
      <c r="D842" t="inlineStr">
        <is>
          <t>女</t>
        </is>
      </c>
      <c r="E842" t="inlineStr">
        <is>
          <t>95506774972</t>
        </is>
      </c>
      <c r="F842" t="inlineStr">
        <is>
          <t>top2天坑姐</t>
        </is>
      </c>
      <c r="G842" t="inlineStr">
        <is>
          <t>北京</t>
        </is>
      </c>
      <c r="H842" t="inlineStr">
        <is>
          <t>学生</t>
        </is>
      </c>
      <c r="I842" t="inlineStr">
        <is>
          <t>教育</t>
        </is>
      </c>
      <c r="J842">
        <v>1721</v>
      </c>
      <c r="K842" t="inlineStr">
        <is>
          <t>0.2</t>
        </is>
      </c>
      <c r="L842">
        <v>102467</v>
      </c>
      <c r="M842">
        <v>22062</v>
      </c>
      <c r="N842">
        <v>681</v>
      </c>
      <c r="O842">
        <v>120</v>
      </c>
      <c r="P842">
        <v>0.166999999999999</v>
      </c>
      <c r="Q842">
        <v>1</v>
      </c>
      <c r="R842">
        <v>102467</v>
      </c>
      <c r="S842">
        <v>22062</v>
      </c>
      <c r="T842">
        <v>506</v>
      </c>
      <c r="U842">
        <v>0.34</v>
      </c>
      <c r="V842">
        <v>120</v>
      </c>
      <c r="W842">
        <v>1</v>
      </c>
      <c r="X842">
        <v>0.166999999999999</v>
      </c>
      <c r="Y842">
        <v>9.24</v>
      </c>
      <c r="Z842">
        <v>0.39</v>
      </c>
      <c r="AA842">
        <v>0</v>
      </c>
      <c r="AB842">
        <v>0</v>
      </c>
      <c r="AC842">
        <v>0</v>
      </c>
      <c r="AD842">
        <v>0</v>
      </c>
      <c r="AE842">
        <v>0</v>
      </c>
      <c r="AF842">
        <v>0</v>
      </c>
      <c r="AG842">
        <v>0</v>
      </c>
      <c r="AH842">
        <v>0</v>
      </c>
      <c r="AI842">
        <v>0</v>
      </c>
      <c r="AJ842">
        <v>0</v>
      </c>
      <c r="AK842">
        <v>3787</v>
      </c>
      <c r="AL842">
        <v>479</v>
      </c>
      <c r="AM842">
        <v>19</v>
      </c>
      <c r="AN842">
        <v>0</v>
      </c>
      <c r="AO842">
        <v>6.4</v>
      </c>
      <c r="AP842">
        <v>0.941</v>
      </c>
      <c r="AQ842">
        <v>0.131</v>
      </c>
      <c r="AR842">
        <v>0.282</v>
      </c>
      <c r="AS842" s="3">
        <v>46107.77491898148</v>
      </c>
    </row>
    <row r="843" ht="25.5" customHeight="1">
      <c r="A843" t="inlineStr">
        <is>
          <t>5c0b2a7e0000000005019285</t>
        </is>
      </c>
      <c r="B843" s="2" t="str">
        <f>=HYPERLINK("https://www.xiaohongshu.com/user/profile/5c0b2a7e0000000005019285", "https://www.xiaohongshu.com/user/profile/5c0b2a7e0000000005019285")</f>
        <v>https://www.xiaohongshu.com/user/profile/5c0b2a7e0000000005019285</v>
      </c>
      <c r="C843" s="2" t="str">
        <f>=HYPERLINK("https://pgy.xiaohongshu.com/solar/pre-trade/blogger-detail/5c0b2a7e0000000005019285", "https://pgy.xiaohongshu.com/solar/pre-trade/blogger-detail/5c0b2a7e0000000005019285")</f>
        <v>https://pgy.xiaohongshu.com/solar/pre-trade/blogger-detail/5c0b2a7e0000000005019285</v>
      </c>
      <c r="D843" t="inlineStr">
        <is>
          <t>女</t>
        </is>
      </c>
      <c r="E843" t="inlineStr">
        <is>
          <t>412410535</t>
        </is>
      </c>
      <c r="F843" t="inlineStr">
        <is>
          <t>千层面教授</t>
        </is>
      </c>
      <c r="G843" t="inlineStr">
        <is>
          <t>广东 深圳 南山区</t>
        </is>
      </c>
      <c r="H843" t="inlineStr">
        <is>
          <t>学生, 留学背景</t>
        </is>
      </c>
      <c r="I843" t="inlineStr">
        <is>
          <t>职场, 教育</t>
        </is>
      </c>
      <c r="J843">
        <v>2574</v>
      </c>
      <c r="K843" t="inlineStr">
        <is>
          <t>0.3</t>
        </is>
      </c>
      <c r="L843">
        <v>5509</v>
      </c>
      <c r="M843">
        <v>1792</v>
      </c>
      <c r="N843">
        <v>123</v>
      </c>
      <c r="O843">
        <v>260</v>
      </c>
      <c r="P843">
        <v>0</v>
      </c>
      <c r="Q843">
        <v>0.332999999999999</v>
      </c>
      <c r="R843">
        <v>5509</v>
      </c>
      <c r="S843">
        <v>1792</v>
      </c>
      <c r="T843">
        <v>108</v>
      </c>
      <c r="U843">
        <v>0.5</v>
      </c>
      <c r="V843">
        <v>260</v>
      </c>
      <c r="W843">
        <v>0.332999999999999</v>
      </c>
      <c r="X843">
        <v>0</v>
      </c>
      <c r="Y843">
        <v>42.55</v>
      </c>
      <c r="Z843">
        <v>2.39</v>
      </c>
      <c r="AA843">
        <v>0</v>
      </c>
      <c r="AB843">
        <v>0</v>
      </c>
      <c r="AC843">
        <v>0</v>
      </c>
      <c r="AD843">
        <v>0</v>
      </c>
      <c r="AE843">
        <v>461</v>
      </c>
      <c r="AF843">
        <v>0</v>
      </c>
      <c r="AG843">
        <v>0</v>
      </c>
      <c r="AH843">
        <v>0</v>
      </c>
      <c r="AI843">
        <v>0</v>
      </c>
      <c r="AJ843">
        <v>0</v>
      </c>
      <c r="AK843">
        <v>6712</v>
      </c>
      <c r="AL843">
        <v>872</v>
      </c>
      <c r="AM843">
        <v>82</v>
      </c>
      <c r="AN843">
        <v>0</v>
      </c>
      <c r="AO843">
        <v>0</v>
      </c>
      <c r="AP843">
        <v>0.902</v>
      </c>
      <c r="AQ843">
        <v>0.024</v>
      </c>
      <c r="AR843">
        <v>0.043</v>
      </c>
      <c r="AS843" s="3">
        <v>46107.77491898148</v>
      </c>
    </row>
    <row r="844" ht="25.5" customHeight="1">
      <c r="A844" t="inlineStr">
        <is>
          <t>61f7c6900000000010004cc4</t>
        </is>
      </c>
      <c r="B844" s="2" t="str">
        <f>=HYPERLINK("https://www.xiaohongshu.com/user/profile/61f7c6900000000010004cc4", "https://www.xiaohongshu.com/user/profile/61f7c6900000000010004cc4")</f>
        <v>https://www.xiaohongshu.com/user/profile/61f7c6900000000010004cc4</v>
      </c>
      <c r="C844" s="2" t="str">
        <f>=HYPERLINK("https://pgy.xiaohongshu.com/solar/pre-trade/blogger-detail/61f7c6900000000010004cc4", "https://pgy.xiaohongshu.com/solar/pre-trade/blogger-detail/61f7c6900000000010004cc4")</f>
        <v>https://pgy.xiaohongshu.com/solar/pre-trade/blogger-detail/61f7c6900000000010004cc4</v>
      </c>
      <c r="D844" t="inlineStr">
        <is>
          <t>女</t>
        </is>
      </c>
      <c r="E844" t="inlineStr">
        <is>
          <t>prejudice_full</t>
        </is>
      </c>
      <c r="F844" t="inlineStr">
        <is>
          <t>吃点半熟芝士</t>
        </is>
      </c>
      <c r="G844" t="inlineStr">
        <is>
          <t>浙江 台州 黄岩区</t>
        </is>
      </c>
      <c r="H844" t="inlineStr">
        <is>
          <t>学生</t>
        </is>
      </c>
      <c r="I844"/>
      <c r="J844">
        <v>2679</v>
      </c>
      <c r="K844" t="inlineStr">
        <is>
          <t>0.3</t>
        </is>
      </c>
      <c r="L844">
        <v>18716</v>
      </c>
      <c r="M844">
        <v>4106</v>
      </c>
      <c r="N844">
        <v>130</v>
      </c>
      <c r="O844">
        <v>300</v>
      </c>
      <c r="P844">
        <v>0</v>
      </c>
      <c r="Q844">
        <v>0</v>
      </c>
      <c r="R844">
        <v>18716</v>
      </c>
      <c r="S844">
        <v>4106</v>
      </c>
      <c r="T844">
        <v>128</v>
      </c>
      <c r="U844">
        <v>0.37</v>
      </c>
      <c r="V844">
        <v>300</v>
      </c>
      <c r="W844">
        <v>0</v>
      </c>
      <c r="X844">
        <v>0</v>
      </c>
      <c r="Y844">
        <v>16.03</v>
      </c>
      <c r="Z844">
        <v>2.31</v>
      </c>
      <c r="AA844">
        <v>0</v>
      </c>
      <c r="AB844">
        <v>0</v>
      </c>
      <c r="AC844">
        <v>0</v>
      </c>
      <c r="AD844">
        <v>0</v>
      </c>
      <c r="AE844">
        <v>400</v>
      </c>
      <c r="AF844">
        <v>0</v>
      </c>
      <c r="AG844">
        <v>0</v>
      </c>
      <c r="AH844">
        <v>0</v>
      </c>
      <c r="AI844">
        <v>0</v>
      </c>
      <c r="AJ844">
        <v>0</v>
      </c>
      <c r="AK844">
        <v>0</v>
      </c>
      <c r="AL844">
        <v>0</v>
      </c>
      <c r="AM844">
        <v>0</v>
      </c>
      <c r="AN844">
        <v>0</v>
      </c>
      <c r="AO844">
        <v>0</v>
      </c>
      <c r="AP844">
        <v>0.782</v>
      </c>
      <c r="AQ844">
        <v>0.022</v>
      </c>
      <c r="AR844">
        <v>-0.001</v>
      </c>
      <c r="AS844" s="3">
        <v>46107.77491898148</v>
      </c>
    </row>
    <row r="845" ht="25.5" customHeight="1">
      <c r="A845" t="inlineStr">
        <is>
          <t>63f47f6d000000001001ebf5</t>
        </is>
      </c>
      <c r="B845" s="2" t="str">
        <f>=HYPERLINK("https://www.xiaohongshu.com/user/profile/63f47f6d000000001001ebf5", "https://www.xiaohongshu.com/user/profile/63f47f6d000000001001ebf5")</f>
        <v>https://www.xiaohongshu.com/user/profile/63f47f6d000000001001ebf5</v>
      </c>
      <c r="C845" s="2" t="str">
        <f>=HYPERLINK("https://pgy.xiaohongshu.com/solar/pre-trade/blogger-detail/63f47f6d000000001001ebf5", "https://pgy.xiaohongshu.com/solar/pre-trade/blogger-detail/63f47f6d000000001001ebf5")</f>
        <v>https://pgy.xiaohongshu.com/solar/pre-trade/blogger-detail/63f47f6d000000001001ebf5</v>
      </c>
      <c r="D845" t="inlineStr">
        <is>
          <t>女</t>
        </is>
      </c>
      <c r="E845" t="inlineStr">
        <is>
          <t>2260327221</t>
        </is>
      </c>
      <c r="F845" t="inlineStr">
        <is>
          <t>辉哥英语提升屋</t>
        </is>
      </c>
      <c r="G845" t="inlineStr">
        <is>
          <t>浙江 温州 乐清市</t>
        </is>
      </c>
      <c r="H845"/>
      <c r="I845" t="inlineStr">
        <is>
          <t>教育</t>
        </is>
      </c>
      <c r="J845">
        <v>3188</v>
      </c>
      <c r="K845" t="inlineStr">
        <is>
          <t>0.3</t>
        </is>
      </c>
      <c r="L845">
        <v>3957</v>
      </c>
      <c r="M845">
        <v>794</v>
      </c>
      <c r="N845">
        <v>111</v>
      </c>
      <c r="O845">
        <v>150</v>
      </c>
      <c r="P845">
        <v>0</v>
      </c>
      <c r="Q845">
        <v>0.222</v>
      </c>
      <c r="R845">
        <v>0</v>
      </c>
      <c r="S845">
        <v>0</v>
      </c>
      <c r="T845">
        <v>0</v>
      </c>
      <c r="U845">
        <v>0</v>
      </c>
      <c r="V845">
        <v>150</v>
      </c>
      <c r="W845">
        <v>0</v>
      </c>
      <c r="X845">
        <v>0</v>
      </c>
      <c r="Y845">
        <v>0</v>
      </c>
      <c r="Z845">
        <v>0</v>
      </c>
      <c r="AA845">
        <v>3957</v>
      </c>
      <c r="AB845">
        <v>794</v>
      </c>
      <c r="AC845">
        <v>77</v>
      </c>
      <c r="AD845">
        <v>1.75</v>
      </c>
      <c r="AE845">
        <v>200</v>
      </c>
      <c r="AF845">
        <v>0.222</v>
      </c>
      <c r="AG845">
        <v>0</v>
      </c>
      <c r="AH845">
        <v>0.07</v>
      </c>
      <c r="AI845">
        <v>50.54</v>
      </c>
      <c r="AJ845">
        <v>1.8</v>
      </c>
      <c r="AK845">
        <v>0</v>
      </c>
      <c r="AL845">
        <v>0</v>
      </c>
      <c r="AM845">
        <v>0</v>
      </c>
      <c r="AN845">
        <v>0</v>
      </c>
      <c r="AO845">
        <v>0</v>
      </c>
      <c r="AP845">
        <v>0.969</v>
      </c>
      <c r="AQ845">
        <v>0.193999999999999</v>
      </c>
      <c r="AR845">
        <v>1.085</v>
      </c>
      <c r="AS845" s="3">
        <v>46107.77491898148</v>
      </c>
    </row>
    <row r="846" ht="25.5" customHeight="1">
      <c r="A846" t="inlineStr">
        <is>
          <t>6637a04e0000000003030b9c</t>
        </is>
      </c>
      <c r="B846" s="2" t="str">
        <f>=HYPERLINK("https://www.xiaohongshu.com/user/profile/6637a04e0000000003030b9c", "https://www.xiaohongshu.com/user/profile/6637a04e0000000003030b9c")</f>
        <v>https://www.xiaohongshu.com/user/profile/6637a04e0000000003030b9c</v>
      </c>
      <c r="C846" s="2" t="str">
        <f>=HYPERLINK("https://pgy.xiaohongshu.com/solar/pre-trade/blogger-detail/6637a04e0000000003030b9c", "https://pgy.xiaohongshu.com/solar/pre-trade/blogger-detail/6637a04e0000000003030b9c")</f>
        <v>https://pgy.xiaohongshu.com/solar/pre-trade/blogger-detail/6637a04e0000000003030b9c</v>
      </c>
      <c r="D846" t="inlineStr">
        <is>
          <t>男</t>
        </is>
      </c>
      <c r="E846" t="inlineStr">
        <is>
          <t>42150232651</t>
        </is>
      </c>
      <c r="F846" t="inlineStr">
        <is>
          <t>泽铭Stephen</t>
        </is>
      </c>
      <c r="G846" t="inlineStr">
        <is>
          <t>美国</t>
        </is>
      </c>
      <c r="H846" t="inlineStr">
        <is>
          <t>留学背景</t>
        </is>
      </c>
      <c r="I846" t="inlineStr">
        <is>
          <t>教育</t>
        </is>
      </c>
      <c r="J846">
        <v>35608</v>
      </c>
      <c r="K846" t="inlineStr">
        <is>
          <t>3.6</t>
        </is>
      </c>
      <c r="L846">
        <v>7209</v>
      </c>
      <c r="M846">
        <v>1962</v>
      </c>
      <c r="N846">
        <v>107</v>
      </c>
      <c r="O846">
        <v>3000</v>
      </c>
      <c r="P846">
        <v>0</v>
      </c>
      <c r="Q846">
        <v>0.435</v>
      </c>
      <c r="R846">
        <v>0</v>
      </c>
      <c r="S846">
        <v>0</v>
      </c>
      <c r="T846">
        <v>0</v>
      </c>
      <c r="U846">
        <v>0</v>
      </c>
      <c r="V846">
        <v>3000</v>
      </c>
      <c r="W846">
        <v>0</v>
      </c>
      <c r="X846">
        <v>0</v>
      </c>
      <c r="Y846">
        <v>0</v>
      </c>
      <c r="Z846">
        <v>0</v>
      </c>
      <c r="AA846">
        <v>7209</v>
      </c>
      <c r="AB846">
        <v>1962</v>
      </c>
      <c r="AC846">
        <v>98</v>
      </c>
      <c r="AD846">
        <v>4.1</v>
      </c>
      <c r="AE846">
        <v>5100</v>
      </c>
      <c r="AF846">
        <v>0.435</v>
      </c>
      <c r="AG846">
        <v>0</v>
      </c>
      <c r="AH846">
        <v>0.358</v>
      </c>
      <c r="AI846">
        <v>707.45</v>
      </c>
      <c r="AJ846">
        <v>47.66</v>
      </c>
      <c r="AK846">
        <v>0</v>
      </c>
      <c r="AL846">
        <v>0</v>
      </c>
      <c r="AM846">
        <v>0</v>
      </c>
      <c r="AN846">
        <v>0</v>
      </c>
      <c r="AO846">
        <v>0</v>
      </c>
      <c r="AP846">
        <v>0.966</v>
      </c>
      <c r="AQ846">
        <v>0.025</v>
      </c>
      <c r="AR846">
        <v>-0.004</v>
      </c>
      <c r="AS846" s="3">
        <v>46107.77491898148</v>
      </c>
    </row>
    <row r="847" ht="25.5" customHeight="1">
      <c r="A847" t="inlineStr">
        <is>
          <t>593fb09450c4b40379200127</t>
        </is>
      </c>
      <c r="B847" s="2" t="str">
        <f>=HYPERLINK("https://www.xiaohongshu.com/user/profile/593fb09450c4b40379200127", "https://www.xiaohongshu.com/user/profile/593fb09450c4b40379200127")</f>
        <v>https://www.xiaohongshu.com/user/profile/593fb09450c4b40379200127</v>
      </c>
      <c r="C847" s="2" t="str">
        <f>=HYPERLINK("https://pgy.xiaohongshu.com/solar/pre-trade/blogger-detail/593fb09450c4b40379200127", "https://pgy.xiaohongshu.com/solar/pre-trade/blogger-detail/593fb09450c4b40379200127")</f>
        <v>https://pgy.xiaohongshu.com/solar/pre-trade/blogger-detail/593fb09450c4b40379200127</v>
      </c>
      <c r="D847" t="inlineStr">
        <is>
          <t>女</t>
        </is>
      </c>
      <c r="E847" t="inlineStr">
        <is>
          <t>947890809</t>
        </is>
      </c>
      <c r="F847" t="inlineStr">
        <is>
          <t>陶醉Zui</t>
        </is>
      </c>
      <c r="G847" t="inlineStr">
        <is>
          <t>美国</t>
        </is>
      </c>
      <c r="H847" t="inlineStr">
        <is>
          <t>学生</t>
        </is>
      </c>
      <c r="I847" t="inlineStr">
        <is>
          <t>教育</t>
        </is>
      </c>
      <c r="J847">
        <v>1126</v>
      </c>
      <c r="K847" t="inlineStr">
        <is>
          <t>0.1</t>
        </is>
      </c>
      <c r="L847">
        <v>5748</v>
      </c>
      <c r="M847">
        <v>1827</v>
      </c>
      <c r="N847">
        <v>105</v>
      </c>
      <c r="O847">
        <v>414</v>
      </c>
      <c r="P847">
        <v>0</v>
      </c>
      <c r="Q847">
        <v>0.5</v>
      </c>
      <c r="R847">
        <v>4395</v>
      </c>
      <c r="S847">
        <v>957</v>
      </c>
      <c r="T847">
        <v>43</v>
      </c>
      <c r="U847">
        <v>0.73</v>
      </c>
      <c r="V847">
        <v>414</v>
      </c>
      <c r="W847">
        <v>0</v>
      </c>
      <c r="X847">
        <v>0</v>
      </c>
      <c r="Y847">
        <v>94.2</v>
      </c>
      <c r="Z847">
        <v>7.96</v>
      </c>
      <c r="AA847">
        <v>7101</v>
      </c>
      <c r="AB847">
        <v>2698</v>
      </c>
      <c r="AC847">
        <v>137</v>
      </c>
      <c r="AD847">
        <v>2.02</v>
      </c>
      <c r="AE847">
        <v>800</v>
      </c>
      <c r="AF847">
        <v>1</v>
      </c>
      <c r="AG847">
        <v>0</v>
      </c>
      <c r="AH847">
        <v>0.241</v>
      </c>
      <c r="AI847">
        <v>165.92</v>
      </c>
      <c r="AJ847">
        <v>6.69</v>
      </c>
      <c r="AK847">
        <v>2542</v>
      </c>
      <c r="AL847">
        <v>354</v>
      </c>
      <c r="AM847">
        <v>72</v>
      </c>
      <c r="AN847">
        <v>0</v>
      </c>
      <c r="AO847">
        <v>0</v>
      </c>
      <c r="AP847">
        <v>0.898</v>
      </c>
      <c r="AQ847">
        <v>0.045</v>
      </c>
      <c r="AR847">
        <v>0.038</v>
      </c>
      <c r="AS847" s="3">
        <v>46107.77491898148</v>
      </c>
    </row>
    <row r="848" ht="25.5" customHeight="1">
      <c r="A848" t="inlineStr">
        <is>
          <t>5c088372f7e8b96dcd4bfd8e</t>
        </is>
      </c>
      <c r="B848" s="2" t="str">
        <f>=HYPERLINK("https://www.xiaohongshu.com/user/profile/5c088372f7e8b96dcd4bfd8e", "https://www.xiaohongshu.com/user/profile/5c088372f7e8b96dcd4bfd8e")</f>
        <v>https://www.xiaohongshu.com/user/profile/5c088372f7e8b96dcd4bfd8e</v>
      </c>
      <c r="C848" s="2" t="str">
        <f>=HYPERLINK("https://pgy.xiaohongshu.com/solar/pre-trade/blogger-detail/5c088372f7e8b96dcd4bfd8e", "https://pgy.xiaohongshu.com/solar/pre-trade/blogger-detail/5c088372f7e8b96dcd4bfd8e")</f>
        <v>https://pgy.xiaohongshu.com/solar/pre-trade/blogger-detail/5c088372f7e8b96dcd4bfd8e</v>
      </c>
      <c r="D848" t="inlineStr">
        <is>
          <t>男</t>
        </is>
      </c>
      <c r="E848" t="inlineStr">
        <is>
          <t>lq132069</t>
        </is>
      </c>
      <c r="F848" t="inlineStr">
        <is>
          <t>李天一（自律健身版）</t>
        </is>
      </c>
      <c r="G848" t="inlineStr">
        <is>
          <t>陕西 西安 长安区</t>
        </is>
      </c>
      <c r="H848" t="inlineStr">
        <is>
          <t>户外爱好者, 学生</t>
        </is>
      </c>
      <c r="I848" t="inlineStr">
        <is>
          <t>教育, 生活记录</t>
        </is>
      </c>
      <c r="J848">
        <v>4115</v>
      </c>
      <c r="K848" t="inlineStr">
        <is>
          <t>0.4</t>
        </is>
      </c>
      <c r="L848">
        <v>6779</v>
      </c>
      <c r="M848">
        <v>1010</v>
      </c>
      <c r="N848">
        <v>116</v>
      </c>
      <c r="O848">
        <v>281</v>
      </c>
      <c r="P848">
        <v>0</v>
      </c>
      <c r="Q848">
        <v>0.332999999999999</v>
      </c>
      <c r="R848">
        <v>6779</v>
      </c>
      <c r="S848">
        <v>1010</v>
      </c>
      <c r="T848">
        <v>103</v>
      </c>
      <c r="U848">
        <v>0.58</v>
      </c>
      <c r="V848">
        <v>281</v>
      </c>
      <c r="W848">
        <v>0.332999999999999</v>
      </c>
      <c r="X848">
        <v>0</v>
      </c>
      <c r="Y848">
        <v>41.45</v>
      </c>
      <c r="Z848">
        <v>2.42</v>
      </c>
      <c r="AA848">
        <v>0</v>
      </c>
      <c r="AB848">
        <v>0</v>
      </c>
      <c r="AC848">
        <v>0</v>
      </c>
      <c r="AD848">
        <v>0</v>
      </c>
      <c r="AE848">
        <v>395</v>
      </c>
      <c r="AF848">
        <v>0</v>
      </c>
      <c r="AG848">
        <v>0</v>
      </c>
      <c r="AH848">
        <v>0</v>
      </c>
      <c r="AI848">
        <v>0</v>
      </c>
      <c r="AJ848">
        <v>0</v>
      </c>
      <c r="AK848">
        <v>0</v>
      </c>
      <c r="AL848">
        <v>0</v>
      </c>
      <c r="AM848">
        <v>0</v>
      </c>
      <c r="AN848">
        <v>0</v>
      </c>
      <c r="AO848">
        <v>0</v>
      </c>
      <c r="AP848">
        <v>0.858</v>
      </c>
      <c r="AQ848">
        <v>0.038</v>
      </c>
      <c r="AR848">
        <v>0.024</v>
      </c>
      <c r="AS848" s="3">
        <v>46107.77491898148</v>
      </c>
    </row>
    <row r="849" ht="25.5" customHeight="1">
      <c r="A849" t="inlineStr">
        <is>
          <t>5b2718ff4eacab18820aae05</t>
        </is>
      </c>
      <c r="B849" s="2" t="str">
        <f>=HYPERLINK("https://www.xiaohongshu.com/user/profile/5b2718ff4eacab18820aae05", "https://www.xiaohongshu.com/user/profile/5b2718ff4eacab18820aae05")</f>
        <v>https://www.xiaohongshu.com/user/profile/5b2718ff4eacab18820aae05</v>
      </c>
      <c r="C849" s="2" t="str">
        <f>=HYPERLINK("https://pgy.xiaohongshu.com/solar/pre-trade/blogger-detail/5b2718ff4eacab18820aae05", "https://pgy.xiaohongshu.com/solar/pre-trade/blogger-detail/5b2718ff4eacab18820aae05")</f>
        <v>https://pgy.xiaohongshu.com/solar/pre-trade/blogger-detail/5b2718ff4eacab18820aae05</v>
      </c>
      <c r="D849" t="inlineStr">
        <is>
          <t>女</t>
        </is>
      </c>
      <c r="E849" t="inlineStr">
        <is>
          <t>843617217zlx</t>
        </is>
      </c>
      <c r="F849" t="inlineStr">
        <is>
          <t>蘑菇村长</t>
        </is>
      </c>
      <c r="G849" t="inlineStr">
        <is>
          <t>韩国</t>
        </is>
      </c>
      <c r="H849" t="inlineStr">
        <is>
          <t>学生</t>
        </is>
      </c>
      <c r="I849" t="inlineStr">
        <is>
          <t>出行旅游, 教育</t>
        </is>
      </c>
      <c r="J849">
        <v>5143</v>
      </c>
      <c r="K849" t="inlineStr">
        <is>
          <t>0.5</t>
        </is>
      </c>
      <c r="L849">
        <v>33519</v>
      </c>
      <c r="M849">
        <v>5518</v>
      </c>
      <c r="N849">
        <v>147</v>
      </c>
      <c r="O849">
        <v>213</v>
      </c>
      <c r="P849">
        <v>0</v>
      </c>
      <c r="Q849">
        <v>0.28</v>
      </c>
      <c r="R849">
        <v>2237</v>
      </c>
      <c r="S849">
        <v>160</v>
      </c>
      <c r="T849">
        <v>12</v>
      </c>
      <c r="U849">
        <v>1.79</v>
      </c>
      <c r="V849">
        <v>238</v>
      </c>
      <c r="W849">
        <v>0</v>
      </c>
      <c r="X849">
        <v>0</v>
      </c>
      <c r="Y849">
        <v>106.39</v>
      </c>
      <c r="Z849">
        <v>13.22</v>
      </c>
      <c r="AA849">
        <v>47423</v>
      </c>
      <c r="AB849">
        <v>7098</v>
      </c>
      <c r="AC849">
        <v>82</v>
      </c>
      <c r="AD849">
        <v>1.53</v>
      </c>
      <c r="AE849">
        <v>213</v>
      </c>
      <c r="AF849">
        <v>0.318</v>
      </c>
      <c r="AG849">
        <v>0</v>
      </c>
      <c r="AH849">
        <v>0.22</v>
      </c>
      <c r="AI849">
        <v>4.49</v>
      </c>
      <c r="AJ849">
        <v>1.32</v>
      </c>
      <c r="AK849">
        <v>0</v>
      </c>
      <c r="AL849">
        <v>0</v>
      </c>
      <c r="AM849">
        <v>0</v>
      </c>
      <c r="AN849">
        <v>0</v>
      </c>
      <c r="AO849">
        <v>0</v>
      </c>
      <c r="AP849">
        <v>0.935999999999999</v>
      </c>
      <c r="AQ849">
        <v>0.034</v>
      </c>
      <c r="AR849">
        <v>0.078</v>
      </c>
      <c r="AS849" s="3">
        <v>46107.77491898148</v>
      </c>
    </row>
    <row r="850" ht="25.5" customHeight="1">
      <c r="A850" t="inlineStr">
        <is>
          <t>65335ff2000000002a0180d7</t>
        </is>
      </c>
      <c r="B850" s="2" t="str">
        <f>=HYPERLINK("https://www.xiaohongshu.com/user/profile/65335ff2000000002a0180d7", "https://www.xiaohongshu.com/user/profile/65335ff2000000002a0180d7")</f>
        <v>https://www.xiaohongshu.com/user/profile/65335ff2000000002a0180d7</v>
      </c>
      <c r="C850" s="2" t="str">
        <f>=HYPERLINK("https://pgy.xiaohongshu.com/solar/pre-trade/blogger-detail/65335ff2000000002a0180d7", "https://pgy.xiaohongshu.com/solar/pre-trade/blogger-detail/65335ff2000000002a0180d7")</f>
        <v>https://pgy.xiaohongshu.com/solar/pre-trade/blogger-detail/65335ff2000000002a0180d7</v>
      </c>
      <c r="D850" t="inlineStr">
        <is>
          <t>男</t>
        </is>
      </c>
      <c r="E850" t="inlineStr">
        <is>
          <t>3687904189</t>
        </is>
      </c>
      <c r="F850" t="inlineStr">
        <is>
          <t>新西兰小白羊Jasper</t>
        </is>
      </c>
      <c r="G850" t="inlineStr">
        <is>
          <t>新西兰</t>
        </is>
      </c>
      <c r="H850" t="inlineStr">
        <is>
          <t>海外华人</t>
        </is>
      </c>
      <c r="I850" t="inlineStr">
        <is>
          <t>美食</t>
        </is>
      </c>
      <c r="J850">
        <v>3625</v>
      </c>
      <c r="K850" t="inlineStr">
        <is>
          <t>0.4</t>
        </is>
      </c>
      <c r="L850">
        <v>26783</v>
      </c>
      <c r="M850">
        <v>4252</v>
      </c>
      <c r="N850">
        <v>315</v>
      </c>
      <c r="O850">
        <v>350</v>
      </c>
      <c r="P850">
        <v>0</v>
      </c>
      <c r="Q850">
        <v>0.75</v>
      </c>
      <c r="R850">
        <v>0</v>
      </c>
      <c r="S850">
        <v>0</v>
      </c>
      <c r="T850">
        <v>0</v>
      </c>
      <c r="U850">
        <v>0</v>
      </c>
      <c r="V850">
        <v>350</v>
      </c>
      <c r="W850">
        <v>0</v>
      </c>
      <c r="X850">
        <v>0</v>
      </c>
      <c r="Y850">
        <v>0</v>
      </c>
      <c r="Z850">
        <v>0</v>
      </c>
      <c r="AA850">
        <v>26783</v>
      </c>
      <c r="AB850">
        <v>4252</v>
      </c>
      <c r="AC850">
        <v>237</v>
      </c>
      <c r="AD850">
        <v>1.67</v>
      </c>
      <c r="AE850">
        <v>500</v>
      </c>
      <c r="AF850">
        <v>0.75</v>
      </c>
      <c r="AG850">
        <v>0</v>
      </c>
      <c r="AH850">
        <v>0.05</v>
      </c>
      <c r="AI850">
        <v>28.3</v>
      </c>
      <c r="AJ850">
        <v>2.59</v>
      </c>
      <c r="AK850">
        <v>3428</v>
      </c>
      <c r="AL850">
        <v>574</v>
      </c>
      <c r="AM850">
        <v>37</v>
      </c>
      <c r="AN850">
        <v>11</v>
      </c>
      <c r="AO850">
        <v>53.07</v>
      </c>
      <c r="AP850">
        <v>0.907999999999999</v>
      </c>
      <c r="AQ850">
        <v>0.063</v>
      </c>
      <c r="AR850">
        <v>0.107</v>
      </c>
      <c r="AS850" s="3">
        <v>46107.77491898148</v>
      </c>
    </row>
    <row r="851" ht="25.5" customHeight="1">
      <c r="A851" t="inlineStr">
        <is>
          <t>5b1b51104eacab3a485c708a</t>
        </is>
      </c>
      <c r="B851" s="2" t="str">
        <f>=HYPERLINK("https://www.xiaohongshu.com/user/profile/5b1b51104eacab3a485c708a", "https://www.xiaohongshu.com/user/profile/5b1b51104eacab3a485c708a")</f>
        <v>https://www.xiaohongshu.com/user/profile/5b1b51104eacab3a485c708a</v>
      </c>
      <c r="C851" s="2" t="str">
        <f>=HYPERLINK("https://pgy.xiaohongshu.com/solar/pre-trade/blogger-detail/5b1b51104eacab3a485c708a", "https://pgy.xiaohongshu.com/solar/pre-trade/blogger-detail/5b1b51104eacab3a485c708a")</f>
        <v>https://pgy.xiaohongshu.com/solar/pre-trade/blogger-detail/5b1b51104eacab3a485c708a</v>
      </c>
      <c r="D851" t="inlineStr">
        <is>
          <t>女</t>
        </is>
      </c>
      <c r="E851" t="inlineStr">
        <is>
          <t>633845373</t>
        </is>
      </c>
      <c r="F851" t="inlineStr">
        <is>
          <t>佳音cici</t>
        </is>
      </c>
      <c r="G851" t="inlineStr">
        <is>
          <t>意大利</t>
        </is>
      </c>
      <c r="H851" t="inlineStr">
        <is>
          <t>学生, 情侣</t>
        </is>
      </c>
      <c r="I851" t="inlineStr">
        <is>
          <t>教育, 情感</t>
        </is>
      </c>
      <c r="J851">
        <v>2794</v>
      </c>
      <c r="K851" t="inlineStr">
        <is>
          <t>0.3</t>
        </is>
      </c>
      <c r="L851">
        <v>14881</v>
      </c>
      <c r="M851">
        <v>2911</v>
      </c>
      <c r="N851">
        <v>120</v>
      </c>
      <c r="O851">
        <v>300</v>
      </c>
      <c r="P851">
        <v>0.143</v>
      </c>
      <c r="Q851">
        <v>0.357</v>
      </c>
      <c r="R851">
        <v>11422</v>
      </c>
      <c r="S851">
        <v>2253</v>
      </c>
      <c r="T851">
        <v>98</v>
      </c>
      <c r="U851">
        <v>0.43</v>
      </c>
      <c r="V851">
        <v>300</v>
      </c>
      <c r="W851">
        <v>0</v>
      </c>
      <c r="X851">
        <v>0</v>
      </c>
      <c r="Y851">
        <v>26.26</v>
      </c>
      <c r="Z851">
        <v>2.76</v>
      </c>
      <c r="AA851">
        <v>17691</v>
      </c>
      <c r="AB851">
        <v>3517</v>
      </c>
      <c r="AC851">
        <v>112</v>
      </c>
      <c r="AD851">
        <v>1.61</v>
      </c>
      <c r="AE851">
        <v>400</v>
      </c>
      <c r="AF851">
        <v>0.417</v>
      </c>
      <c r="AG851">
        <v>0.166999999999999</v>
      </c>
      <c r="AH851">
        <v>0.238</v>
      </c>
      <c r="AI851">
        <v>22.61</v>
      </c>
      <c r="AJ851">
        <v>2.88</v>
      </c>
      <c r="AK851">
        <v>0</v>
      </c>
      <c r="AL851">
        <v>0</v>
      </c>
      <c r="AM851">
        <v>0</v>
      </c>
      <c r="AN851">
        <v>0</v>
      </c>
      <c r="AO851">
        <v>0</v>
      </c>
      <c r="AP851">
        <v>0.927</v>
      </c>
      <c r="AQ851">
        <v>0.237</v>
      </c>
      <c r="AR851">
        <v>0.411</v>
      </c>
      <c r="AS851" s="3">
        <v>46107.77491898148</v>
      </c>
    </row>
    <row r="852" ht="25.5" customHeight="1">
      <c r="A852" t="inlineStr">
        <is>
          <t>6306d63d000000000c037868</t>
        </is>
      </c>
      <c r="B852" s="2" t="str">
        <f>=HYPERLINK("https://www.xiaohongshu.com/user/profile/6306d63d000000000c037868", "https://www.xiaohongshu.com/user/profile/6306d63d000000000c037868")</f>
        <v>https://www.xiaohongshu.com/user/profile/6306d63d000000000c037868</v>
      </c>
      <c r="C852" s="2" t="str">
        <f>=HYPERLINK("https://pgy.xiaohongshu.com/solar/pre-trade/blogger-detail/6306d63d000000000c037868", "https://pgy.xiaohongshu.com/solar/pre-trade/blogger-detail/6306d63d000000000c037868")</f>
        <v>https://pgy.xiaohongshu.com/solar/pre-trade/blogger-detail/6306d63d000000000c037868</v>
      </c>
      <c r="D852" t="inlineStr">
        <is>
          <t>女</t>
        </is>
      </c>
      <c r="E852" t="inlineStr">
        <is>
          <t>loveju52</t>
        </is>
      </c>
      <c r="F852" t="inlineStr">
        <is>
          <t>糖果说英语</t>
        </is>
      </c>
      <c r="G852" t="inlineStr">
        <is>
          <t>河北 石家庄 桥西区</t>
        </is>
      </c>
      <c r="H852"/>
      <c r="I852" t="inlineStr">
        <is>
          <t>教育</t>
        </is>
      </c>
      <c r="J852">
        <v>7412</v>
      </c>
      <c r="K852" t="inlineStr">
        <is>
          <t>0.7</t>
        </is>
      </c>
      <c r="L852">
        <v>1641</v>
      </c>
      <c r="M852">
        <v>1349</v>
      </c>
      <c r="N852">
        <v>263</v>
      </c>
      <c r="O852">
        <v>200</v>
      </c>
      <c r="P852">
        <v>0</v>
      </c>
      <c r="Q852">
        <v>0.581</v>
      </c>
      <c r="R852">
        <v>0</v>
      </c>
      <c r="S852">
        <v>0</v>
      </c>
      <c r="T852">
        <v>0</v>
      </c>
      <c r="U852">
        <v>0</v>
      </c>
      <c r="V852">
        <v>200</v>
      </c>
      <c r="W852">
        <v>0</v>
      </c>
      <c r="X852">
        <v>0</v>
      </c>
      <c r="Y852">
        <v>0</v>
      </c>
      <c r="Z852">
        <v>0</v>
      </c>
      <c r="AA852">
        <v>1641</v>
      </c>
      <c r="AB852">
        <v>1349</v>
      </c>
      <c r="AC852">
        <v>242</v>
      </c>
      <c r="AD852">
        <v>1.65</v>
      </c>
      <c r="AE852">
        <v>200</v>
      </c>
      <c r="AF852">
        <v>0.581</v>
      </c>
      <c r="AG852">
        <v>0</v>
      </c>
      <c r="AH852">
        <v>0.096</v>
      </c>
      <c r="AI852">
        <v>121.88</v>
      </c>
      <c r="AJ852">
        <v>0.76</v>
      </c>
      <c r="AK852">
        <v>0</v>
      </c>
      <c r="AL852">
        <v>0</v>
      </c>
      <c r="AM852">
        <v>0</v>
      </c>
      <c r="AN852">
        <v>0</v>
      </c>
      <c r="AO852">
        <v>0</v>
      </c>
      <c r="AP852">
        <v>0.689</v>
      </c>
      <c r="AQ852">
        <v>0.054</v>
      </c>
      <c r="AR852">
        <v>0.094</v>
      </c>
      <c r="AS852" s="3">
        <v>46107.77491898148</v>
      </c>
    </row>
    <row r="853" ht="25.5" customHeight="1">
      <c r="A853" t="inlineStr">
        <is>
          <t>5b2621cd4eacab265938aa29</t>
        </is>
      </c>
      <c r="B853" s="2" t="str">
        <f>=HYPERLINK("https://www.xiaohongshu.com/user/profile/5b2621cd4eacab265938aa29", "https://www.xiaohongshu.com/user/profile/5b2621cd4eacab265938aa29")</f>
        <v>https://www.xiaohongshu.com/user/profile/5b2621cd4eacab265938aa29</v>
      </c>
      <c r="C853" s="2" t="str">
        <f>=HYPERLINK("https://pgy.xiaohongshu.com/solar/pre-trade/blogger-detail/5b2621cd4eacab265938aa29", "https://pgy.xiaohongshu.com/solar/pre-trade/blogger-detail/5b2621cd4eacab265938aa29")</f>
        <v>https://pgy.xiaohongshu.com/solar/pre-trade/blogger-detail/5b2621cd4eacab265938aa29</v>
      </c>
      <c r="D853" t="inlineStr">
        <is>
          <t>男</t>
        </is>
      </c>
      <c r="E853" t="inlineStr">
        <is>
          <t>117232813</t>
        </is>
      </c>
      <c r="F853" t="inlineStr">
        <is>
          <t>法国的LU小姐</t>
        </is>
      </c>
      <c r="G853" t="inlineStr">
        <is>
          <t>法国</t>
        </is>
      </c>
      <c r="H853" t="inlineStr">
        <is>
          <t>留学背景, 海外华人</t>
        </is>
      </c>
      <c r="I853" t="inlineStr">
        <is>
          <t>出行旅游</t>
        </is>
      </c>
      <c r="J853">
        <v>1451</v>
      </c>
      <c r="K853" t="inlineStr">
        <is>
          <t>0.1</t>
        </is>
      </c>
      <c r="L853">
        <v>16080</v>
      </c>
      <c r="M853">
        <v>2675</v>
      </c>
      <c r="N853">
        <v>400</v>
      </c>
      <c r="O853">
        <v>200</v>
      </c>
      <c r="P853">
        <v>0</v>
      </c>
      <c r="Q853">
        <v>0.667</v>
      </c>
      <c r="R853">
        <v>17274</v>
      </c>
      <c r="S853">
        <v>3129</v>
      </c>
      <c r="T853">
        <v>355</v>
      </c>
      <c r="U853">
        <v>0.39</v>
      </c>
      <c r="V853">
        <v>200</v>
      </c>
      <c r="W853">
        <v>1</v>
      </c>
      <c r="X853">
        <v>0</v>
      </c>
      <c r="Y853">
        <v>16.09</v>
      </c>
      <c r="Z853">
        <v>0.84</v>
      </c>
      <c r="AA853">
        <v>996</v>
      </c>
      <c r="AB853">
        <v>232</v>
      </c>
      <c r="AC853">
        <v>12</v>
      </c>
      <c r="AD853">
        <v>3.66</v>
      </c>
      <c r="AE853">
        <v>500</v>
      </c>
      <c r="AF853">
        <v>0</v>
      </c>
      <c r="AG853">
        <v>0</v>
      </c>
      <c r="AH853">
        <v>0.304</v>
      </c>
      <c r="AI853">
        <v>502.01</v>
      </c>
      <c r="AJ853">
        <v>38.46</v>
      </c>
      <c r="AK853">
        <v>5536</v>
      </c>
      <c r="AL853">
        <v>899</v>
      </c>
      <c r="AM853">
        <v>40</v>
      </c>
      <c r="AN853">
        <v>0</v>
      </c>
      <c r="AO853">
        <v>0</v>
      </c>
      <c r="AP853">
        <v>0.942</v>
      </c>
      <c r="AQ853">
        <v>0.0969999999999999</v>
      </c>
      <c r="AR853">
        <v>0.172</v>
      </c>
      <c r="AS853" s="3">
        <v>46107.77491898148</v>
      </c>
    </row>
    <row r="854" ht="25.5" customHeight="1">
      <c r="A854" t="inlineStr">
        <is>
          <t>5e8bf831000000000100647f</t>
        </is>
      </c>
      <c r="B854" s="2" t="str">
        <f>=HYPERLINK("https://www.xiaohongshu.com/user/profile/5e8bf831000000000100647f", "https://www.xiaohongshu.com/user/profile/5e8bf831000000000100647f")</f>
        <v>https://www.xiaohongshu.com/user/profile/5e8bf831000000000100647f</v>
      </c>
      <c r="C854" s="2" t="str">
        <f>=HYPERLINK("https://pgy.xiaohongshu.com/solar/pre-trade/blogger-detail/5e8bf831000000000100647f", "https://pgy.xiaohongshu.com/solar/pre-trade/blogger-detail/5e8bf831000000000100647f")</f>
        <v>https://pgy.xiaohongshu.com/solar/pre-trade/blogger-detail/5e8bf831000000000100647f</v>
      </c>
      <c r="D854" t="inlineStr">
        <is>
          <t>女</t>
        </is>
      </c>
      <c r="E854" t="inlineStr">
        <is>
          <t>711940036</t>
        </is>
      </c>
      <c r="F854" t="inlineStr">
        <is>
          <t>小张的读研日记</t>
        </is>
      </c>
      <c r="G854" t="inlineStr">
        <is>
          <t>山东 泰安 泰山区</t>
        </is>
      </c>
      <c r="H854" t="inlineStr">
        <is>
          <t>学生</t>
        </is>
      </c>
      <c r="I854" t="inlineStr">
        <is>
          <t>生活记录</t>
        </is>
      </c>
      <c r="J854">
        <v>6998</v>
      </c>
      <c r="K854" t="inlineStr">
        <is>
          <t>0.7</t>
        </is>
      </c>
      <c r="L854">
        <v>14777</v>
      </c>
      <c r="M854">
        <v>3933</v>
      </c>
      <c r="N854">
        <v>249</v>
      </c>
      <c r="O854">
        <v>600</v>
      </c>
      <c r="P854">
        <v>0</v>
      </c>
      <c r="Q854">
        <v>1</v>
      </c>
      <c r="R854">
        <v>0</v>
      </c>
      <c r="S854">
        <v>0</v>
      </c>
      <c r="T854">
        <v>0</v>
      </c>
      <c r="U854">
        <v>0</v>
      </c>
      <c r="V854">
        <v>300</v>
      </c>
      <c r="W854">
        <v>0</v>
      </c>
      <c r="X854">
        <v>0</v>
      </c>
      <c r="Y854">
        <v>0</v>
      </c>
      <c r="Z854">
        <v>0</v>
      </c>
      <c r="AA854">
        <v>14777</v>
      </c>
      <c r="AB854">
        <v>3933</v>
      </c>
      <c r="AC854">
        <v>235</v>
      </c>
      <c r="AD854">
        <v>1.65</v>
      </c>
      <c r="AE854">
        <v>600</v>
      </c>
      <c r="AF854">
        <v>1</v>
      </c>
      <c r="AG854">
        <v>0</v>
      </c>
      <c r="AH854">
        <v>0.205</v>
      </c>
      <c r="AI854">
        <v>40.6</v>
      </c>
      <c r="AJ854">
        <v>2.41</v>
      </c>
      <c r="AK854">
        <v>0</v>
      </c>
      <c r="AL854">
        <v>0</v>
      </c>
      <c r="AM854">
        <v>0</v>
      </c>
      <c r="AN854">
        <v>0</v>
      </c>
      <c r="AO854">
        <v>0</v>
      </c>
      <c r="AP854">
        <v>0.760999999999999</v>
      </c>
      <c r="AQ854">
        <v>0.0969999999999999</v>
      </c>
      <c r="AR854">
        <v>0.019</v>
      </c>
      <c r="AS854" s="3">
        <v>46107.77491898148</v>
      </c>
    </row>
    <row r="855" ht="25.5" customHeight="1">
      <c r="A855" t="inlineStr">
        <is>
          <t>625fc2fb0000000021020c0f</t>
        </is>
      </c>
      <c r="B855" s="2" t="str">
        <f>=HYPERLINK("https://www.xiaohongshu.com/user/profile/625fc2fb0000000021020c0f", "https://www.xiaohongshu.com/user/profile/625fc2fb0000000021020c0f")</f>
        <v>https://www.xiaohongshu.com/user/profile/625fc2fb0000000021020c0f</v>
      </c>
      <c r="C855" s="2" t="str">
        <f>=HYPERLINK("https://pgy.xiaohongshu.com/solar/pre-trade/blogger-detail/625fc2fb0000000021020c0f", "https://pgy.xiaohongshu.com/solar/pre-trade/blogger-detail/625fc2fb0000000021020c0f")</f>
        <v>https://pgy.xiaohongshu.com/solar/pre-trade/blogger-detail/625fc2fb0000000021020c0f</v>
      </c>
      <c r="D855" t="inlineStr">
        <is>
          <t>女</t>
        </is>
      </c>
      <c r="E855" t="inlineStr">
        <is>
          <t>2942670011</t>
        </is>
      </c>
      <c r="F855" t="inlineStr">
        <is>
          <t>momo学姐的百宝箱</t>
        </is>
      </c>
      <c r="G855" t="inlineStr">
        <is>
          <t>重庆</t>
        </is>
      </c>
      <c r="H855"/>
      <c r="I855" t="inlineStr">
        <is>
          <t>教育</t>
        </is>
      </c>
      <c r="J855">
        <v>231966</v>
      </c>
      <c r="K855" t="inlineStr">
        <is>
          <t>23.2</t>
        </is>
      </c>
      <c r="L855">
        <v>126907</v>
      </c>
      <c r="M855">
        <v>27766</v>
      </c>
      <c r="N855">
        <v>5274</v>
      </c>
      <c r="O855">
        <v>11000</v>
      </c>
      <c r="P855">
        <v>0.833</v>
      </c>
      <c r="Q855">
        <v>1</v>
      </c>
      <c r="R855">
        <v>0</v>
      </c>
      <c r="S855">
        <v>0</v>
      </c>
      <c r="T855">
        <v>0</v>
      </c>
      <c r="U855">
        <v>0</v>
      </c>
      <c r="V855">
        <v>11000</v>
      </c>
      <c r="W855">
        <v>0</v>
      </c>
      <c r="X855">
        <v>0</v>
      </c>
      <c r="Y855">
        <v>0</v>
      </c>
      <c r="Z855">
        <v>0</v>
      </c>
      <c r="AA855">
        <v>126907</v>
      </c>
      <c r="AB855">
        <v>27766</v>
      </c>
      <c r="AC855">
        <v>5012</v>
      </c>
      <c r="AD855">
        <v>1.96</v>
      </c>
      <c r="AE855">
        <v>17500</v>
      </c>
      <c r="AF855">
        <v>1</v>
      </c>
      <c r="AG855">
        <v>0.833</v>
      </c>
      <c r="AH855">
        <v>0.027</v>
      </c>
      <c r="AI855">
        <v>153.92</v>
      </c>
      <c r="AJ855">
        <v>2.62</v>
      </c>
      <c r="AK855">
        <v>185681</v>
      </c>
      <c r="AL855">
        <v>48262</v>
      </c>
      <c r="AM855">
        <v>7598</v>
      </c>
      <c r="AN855">
        <v>0</v>
      </c>
      <c r="AO855">
        <v>430.86</v>
      </c>
      <c r="AP855">
        <v>0.853</v>
      </c>
      <c r="AQ855">
        <v>0.095</v>
      </c>
      <c r="AR855">
        <v>0.04</v>
      </c>
      <c r="AS855" s="3">
        <v>46107.77491898148</v>
      </c>
    </row>
    <row r="856" ht="25.5" customHeight="1">
      <c r="A856" t="inlineStr">
        <is>
          <t>5d2ade580000000012033010</t>
        </is>
      </c>
      <c r="B856" s="2" t="str">
        <f>=HYPERLINK("https://www.xiaohongshu.com/user/profile/5d2ade580000000012033010", "https://www.xiaohongshu.com/user/profile/5d2ade580000000012033010")</f>
        <v>https://www.xiaohongshu.com/user/profile/5d2ade580000000012033010</v>
      </c>
      <c r="C856" s="2" t="str">
        <f>=HYPERLINK("https://pgy.xiaohongshu.com/solar/pre-trade/blogger-detail/5d2ade580000000012033010", "https://pgy.xiaohongshu.com/solar/pre-trade/blogger-detail/5d2ade580000000012033010")</f>
        <v>https://pgy.xiaohongshu.com/solar/pre-trade/blogger-detail/5d2ade580000000012033010</v>
      </c>
      <c r="D856" t="inlineStr">
        <is>
          <t>男</t>
        </is>
      </c>
      <c r="E856" t="inlineStr">
        <is>
          <t>842029351</t>
        </is>
      </c>
      <c r="F856" t="inlineStr">
        <is>
          <t>小风（单词版）</t>
        </is>
      </c>
      <c r="G856" t="inlineStr">
        <is>
          <t>江西 南昌 新建区</t>
        </is>
      </c>
      <c r="H856"/>
      <c r="I856" t="inlineStr">
        <is>
          <t>教育</t>
        </is>
      </c>
      <c r="J856">
        <v>3038</v>
      </c>
      <c r="K856" t="inlineStr">
        <is>
          <t>0.3</t>
        </is>
      </c>
      <c r="L856">
        <v>2324</v>
      </c>
      <c r="M856">
        <v>1721</v>
      </c>
      <c r="N856">
        <v>197</v>
      </c>
      <c r="O856">
        <v>200</v>
      </c>
      <c r="P856">
        <v>0.043</v>
      </c>
      <c r="Q856">
        <v>0.739</v>
      </c>
      <c r="R856">
        <v>0</v>
      </c>
      <c r="S856">
        <v>0</v>
      </c>
      <c r="T856">
        <v>0</v>
      </c>
      <c r="U856">
        <v>0</v>
      </c>
      <c r="V856">
        <v>200</v>
      </c>
      <c r="W856">
        <v>0</v>
      </c>
      <c r="X856">
        <v>0</v>
      </c>
      <c r="Y856">
        <v>0</v>
      </c>
      <c r="Z856">
        <v>0</v>
      </c>
      <c r="AA856">
        <v>2324</v>
      </c>
      <c r="AB856">
        <v>1721</v>
      </c>
      <c r="AC856">
        <v>197</v>
      </c>
      <c r="AD856">
        <v>1.67</v>
      </c>
      <c r="AE856">
        <v>300</v>
      </c>
      <c r="AF856">
        <v>0.739</v>
      </c>
      <c r="AG856">
        <v>0.043</v>
      </c>
      <c r="AH856">
        <v>0.471</v>
      </c>
      <c r="AI856">
        <v>129.09</v>
      </c>
      <c r="AJ856">
        <v>1.52</v>
      </c>
      <c r="AK856">
        <v>0</v>
      </c>
      <c r="AL856">
        <v>0</v>
      </c>
      <c r="AM856">
        <v>0</v>
      </c>
      <c r="AN856">
        <v>0</v>
      </c>
      <c r="AO856">
        <v>0</v>
      </c>
      <c r="AP856">
        <v>0.953</v>
      </c>
      <c r="AQ856">
        <v>0.14</v>
      </c>
      <c r="AR856">
        <v>0.105</v>
      </c>
      <c r="AS856" s="3">
        <v>46107.77491898148</v>
      </c>
    </row>
    <row r="857" ht="25.5" customHeight="1">
      <c r="A857" t="inlineStr">
        <is>
          <t>665646f70000000003030d8b</t>
        </is>
      </c>
      <c r="B857" s="2" t="str">
        <f>=HYPERLINK("https://www.xiaohongshu.com/user/profile/665646f70000000003030d8b", "https://www.xiaohongshu.com/user/profile/665646f70000000003030d8b")</f>
        <v>https://www.xiaohongshu.com/user/profile/665646f70000000003030d8b</v>
      </c>
      <c r="C857" s="2" t="str">
        <f>=HYPERLINK("https://pgy.xiaohongshu.com/solar/pre-trade/blogger-detail/665646f70000000003030d8b", "https://pgy.xiaohongshu.com/solar/pre-trade/blogger-detail/665646f70000000003030d8b")</f>
        <v>https://pgy.xiaohongshu.com/solar/pre-trade/blogger-detail/665646f70000000003030d8b</v>
      </c>
      <c r="D857" t="inlineStr">
        <is>
          <t>女</t>
        </is>
      </c>
      <c r="E857" t="inlineStr">
        <is>
          <t>jerenexzz</t>
        </is>
      </c>
      <c r="F857" t="inlineStr">
        <is>
          <t>Jerene</t>
        </is>
      </c>
      <c r="G857" t="inlineStr">
        <is>
          <t>马来西亚</t>
        </is>
      </c>
      <c r="H857" t="inlineStr">
        <is>
          <t>海外华人, 留学背景, 学生</t>
        </is>
      </c>
      <c r="I857" t="inlineStr">
        <is>
          <t>教育</t>
        </is>
      </c>
      <c r="J857">
        <v>1522</v>
      </c>
      <c r="K857" t="inlineStr">
        <is>
          <t>0.2</t>
        </is>
      </c>
      <c r="L857">
        <v>9793</v>
      </c>
      <c r="M857">
        <v>2547</v>
      </c>
      <c r="N857">
        <v>190</v>
      </c>
      <c r="O857">
        <v>413</v>
      </c>
      <c r="P857">
        <v>0</v>
      </c>
      <c r="Q857">
        <v>0.667</v>
      </c>
      <c r="R857">
        <v>25255</v>
      </c>
      <c r="S857">
        <v>4929</v>
      </c>
      <c r="T857">
        <v>492</v>
      </c>
      <c r="U857">
        <v>0.38</v>
      </c>
      <c r="V857">
        <v>413</v>
      </c>
      <c r="W857">
        <v>1</v>
      </c>
      <c r="X857">
        <v>0</v>
      </c>
      <c r="Y857">
        <v>16.35</v>
      </c>
      <c r="Z857">
        <v>0.73</v>
      </c>
      <c r="AA857">
        <v>7917</v>
      </c>
      <c r="AB857">
        <v>1970</v>
      </c>
      <c r="AC857">
        <v>132</v>
      </c>
      <c r="AD857">
        <v>1.87</v>
      </c>
      <c r="AE857">
        <v>738</v>
      </c>
      <c r="AF857">
        <v>0.5</v>
      </c>
      <c r="AG857">
        <v>0</v>
      </c>
      <c r="AH857">
        <v>0.085</v>
      </c>
      <c r="AI857">
        <v>93.22</v>
      </c>
      <c r="AJ857">
        <v>4.81</v>
      </c>
      <c r="AK857">
        <v>0</v>
      </c>
      <c r="AL857">
        <v>0</v>
      </c>
      <c r="AM857">
        <v>0</v>
      </c>
      <c r="AN857">
        <v>0</v>
      </c>
      <c r="AO857">
        <v>0</v>
      </c>
      <c r="AP857">
        <v>0.966</v>
      </c>
      <c r="AQ857">
        <v>0.213</v>
      </c>
      <c r="AR857">
        <v>0.144</v>
      </c>
      <c r="AS857" s="3">
        <v>46107.77491898148</v>
      </c>
    </row>
    <row r="858" ht="25.5" customHeight="1">
      <c r="A858" t="inlineStr">
        <is>
          <t>5be92e3fff526600017eb750</t>
        </is>
      </c>
      <c r="B858" s="2" t="str">
        <f>=HYPERLINK("https://www.xiaohongshu.com/user/profile/5be92e3fff526600017eb750", "https://www.xiaohongshu.com/user/profile/5be92e3fff526600017eb750")</f>
        <v>https://www.xiaohongshu.com/user/profile/5be92e3fff526600017eb750</v>
      </c>
      <c r="C858" s="2" t="str">
        <f>=HYPERLINK("https://pgy.xiaohongshu.com/solar/pre-trade/blogger-detail/5be92e3fff526600017eb750", "https://pgy.xiaohongshu.com/solar/pre-trade/blogger-detail/5be92e3fff526600017eb750")</f>
        <v>https://pgy.xiaohongshu.com/solar/pre-trade/blogger-detail/5be92e3fff526600017eb750</v>
      </c>
      <c r="D858" t="inlineStr">
        <is>
          <t>男</t>
        </is>
      </c>
      <c r="E858" t="inlineStr">
        <is>
          <t>381454576</t>
        </is>
      </c>
      <c r="F858" t="inlineStr">
        <is>
          <t>JustinEnglish</t>
        </is>
      </c>
      <c r="G858" t="inlineStr">
        <is>
          <t>马来西亚</t>
        </is>
      </c>
      <c r="H858" t="inlineStr">
        <is>
          <t>二次元人群, 数码爱好者, 学生, 留学背景</t>
        </is>
      </c>
      <c r="I858" t="inlineStr">
        <is>
          <t>教育</t>
        </is>
      </c>
      <c r="J858">
        <v>18278</v>
      </c>
      <c r="K858" t="inlineStr">
        <is>
          <t>1.8</t>
        </is>
      </c>
      <c r="L858">
        <v>15492</v>
      </c>
      <c r="M858">
        <v>7923</v>
      </c>
      <c r="N858">
        <v>937</v>
      </c>
      <c r="O858">
        <v>300</v>
      </c>
      <c r="P858">
        <v>0.25</v>
      </c>
      <c r="Q858">
        <v>0.958</v>
      </c>
      <c r="R858">
        <v>0</v>
      </c>
      <c r="S858">
        <v>0</v>
      </c>
      <c r="T858">
        <v>0</v>
      </c>
      <c r="U858">
        <v>0</v>
      </c>
      <c r="V858">
        <v>300</v>
      </c>
      <c r="W858">
        <v>0</v>
      </c>
      <c r="X858">
        <v>0</v>
      </c>
      <c r="Y858">
        <v>0</v>
      </c>
      <c r="Z858">
        <v>0</v>
      </c>
      <c r="AA858">
        <v>15492</v>
      </c>
      <c r="AB858">
        <v>7923</v>
      </c>
      <c r="AC858">
        <v>787</v>
      </c>
      <c r="AD858">
        <v>1.75</v>
      </c>
      <c r="AE858">
        <v>2000</v>
      </c>
      <c r="AF858">
        <v>0.958</v>
      </c>
      <c r="AG858">
        <v>0.25</v>
      </c>
      <c r="AH858">
        <v>0.033</v>
      </c>
      <c r="AI858">
        <v>129.1</v>
      </c>
      <c r="AJ858">
        <v>2.13</v>
      </c>
      <c r="AK858">
        <v>0</v>
      </c>
      <c r="AL858">
        <v>0</v>
      </c>
      <c r="AM858">
        <v>0</v>
      </c>
      <c r="AN858">
        <v>0</v>
      </c>
      <c r="AO858">
        <v>0</v>
      </c>
      <c r="AP858">
        <v>0.965</v>
      </c>
      <c r="AQ858">
        <v>0.228</v>
      </c>
      <c r="AR858">
        <v>0.37</v>
      </c>
      <c r="AS858" s="3">
        <v>46107.77491898148</v>
      </c>
    </row>
    <row r="859" ht="25.5" customHeight="1">
      <c r="A859" t="inlineStr">
        <is>
          <t>676278e0000000001801df05</t>
        </is>
      </c>
      <c r="B859" s="2" t="str">
        <f>=HYPERLINK("https://www.xiaohongshu.com/user/profile/676278e0000000001801df05", "https://www.xiaohongshu.com/user/profile/676278e0000000001801df05")</f>
        <v>https://www.xiaohongshu.com/user/profile/676278e0000000001801df05</v>
      </c>
      <c r="C859" s="2" t="str">
        <f>=HYPERLINK("https://pgy.xiaohongshu.com/solar/pre-trade/blogger-detail/676278e0000000001801df05", "https://pgy.xiaohongshu.com/solar/pre-trade/blogger-detail/676278e0000000001801df05")</f>
        <v>https://pgy.xiaohongshu.com/solar/pre-trade/blogger-detail/676278e0000000001801df05</v>
      </c>
      <c r="D859" t="inlineStr">
        <is>
          <t>女</t>
        </is>
      </c>
      <c r="E859" t="inlineStr">
        <is>
          <t>95384859396</t>
        </is>
      </c>
      <c r="F859" t="inlineStr">
        <is>
          <t>今天星期五</t>
        </is>
      </c>
      <c r="G859" t="inlineStr">
        <is>
          <t>中国 香港</t>
        </is>
      </c>
      <c r="H859" t="inlineStr">
        <is>
          <t>学生</t>
        </is>
      </c>
      <c r="I859" t="inlineStr">
        <is>
          <t>美食, 教育</t>
        </is>
      </c>
      <c r="J859">
        <v>4058</v>
      </c>
      <c r="K859" t="inlineStr">
        <is>
          <t>0.4</t>
        </is>
      </c>
      <c r="L859">
        <v>5851</v>
      </c>
      <c r="M859">
        <v>1075</v>
      </c>
      <c r="N859">
        <v>113</v>
      </c>
      <c r="O859">
        <v>500</v>
      </c>
      <c r="P859">
        <v>0</v>
      </c>
      <c r="Q859">
        <v>0.5</v>
      </c>
      <c r="R859">
        <v>2019</v>
      </c>
      <c r="S859">
        <v>324</v>
      </c>
      <c r="T859">
        <v>27</v>
      </c>
      <c r="U859">
        <v>1.84</v>
      </c>
      <c r="V859">
        <v>500</v>
      </c>
      <c r="W859">
        <v>0</v>
      </c>
      <c r="X859">
        <v>0</v>
      </c>
      <c r="Y859">
        <v>247.65</v>
      </c>
      <c r="Z859">
        <v>17.24</v>
      </c>
      <c r="AA859">
        <v>9683</v>
      </c>
      <c r="AB859">
        <v>1827</v>
      </c>
      <c r="AC859">
        <v>155</v>
      </c>
      <c r="AD859">
        <v>1.89</v>
      </c>
      <c r="AE859">
        <v>720</v>
      </c>
      <c r="AF859">
        <v>1</v>
      </c>
      <c r="AG859">
        <v>0</v>
      </c>
      <c r="AH859">
        <v>0.048</v>
      </c>
      <c r="AI859">
        <v>74.36</v>
      </c>
      <c r="AJ859">
        <v>3.65</v>
      </c>
      <c r="AK859">
        <v>0</v>
      </c>
      <c r="AL859">
        <v>0</v>
      </c>
      <c r="AM859">
        <v>0</v>
      </c>
      <c r="AN859">
        <v>0</v>
      </c>
      <c r="AO859">
        <v>0</v>
      </c>
      <c r="AP859">
        <v>0.932999999999999</v>
      </c>
      <c r="AQ859">
        <v>0.0279999999999999</v>
      </c>
      <c r="AR859">
        <v>0.017</v>
      </c>
      <c r="AS859" s="3">
        <v>46107.77491898148</v>
      </c>
    </row>
    <row r="860" ht="25.5" customHeight="1">
      <c r="A860" t="inlineStr">
        <is>
          <t>6338d21f000000001802fb7a</t>
        </is>
      </c>
      <c r="B860" s="2" t="str">
        <f>=HYPERLINK("https://www.xiaohongshu.com/user/profile/6338d21f000000001802fb7a", "https://www.xiaohongshu.com/user/profile/6338d21f000000001802fb7a")</f>
        <v>https://www.xiaohongshu.com/user/profile/6338d21f000000001802fb7a</v>
      </c>
      <c r="C860" s="2" t="str">
        <f>=HYPERLINK("https://pgy.xiaohongshu.com/solar/pre-trade/blogger-detail/6338d21f000000001802fb7a", "https://pgy.xiaohongshu.com/solar/pre-trade/blogger-detail/6338d21f000000001802fb7a")</f>
        <v>https://pgy.xiaohongshu.com/solar/pre-trade/blogger-detail/6338d21f000000001802fb7a</v>
      </c>
      <c r="D860" t="inlineStr">
        <is>
          <t>男</t>
        </is>
      </c>
      <c r="E860" t="inlineStr">
        <is>
          <t>2912076917</t>
        </is>
      </c>
      <c r="F860" t="inlineStr">
        <is>
          <t>韩国虎哥</t>
        </is>
      </c>
      <c r="G860" t="inlineStr">
        <is>
          <t>韩国</t>
        </is>
      </c>
      <c r="H860"/>
      <c r="I860" t="inlineStr">
        <is>
          <t>兴趣爱好, 教育</t>
        </is>
      </c>
      <c r="J860">
        <v>4375</v>
      </c>
      <c r="K860" t="inlineStr">
        <is>
          <t>0.4</t>
        </is>
      </c>
      <c r="L860">
        <v>7990</v>
      </c>
      <c r="M860">
        <v>2494</v>
      </c>
      <c r="N860">
        <v>259</v>
      </c>
      <c r="O860">
        <v>1000</v>
      </c>
      <c r="P860">
        <v>0.053</v>
      </c>
      <c r="Q860">
        <v>0.684</v>
      </c>
      <c r="R860">
        <v>0</v>
      </c>
      <c r="S860">
        <v>0</v>
      </c>
      <c r="T860">
        <v>0</v>
      </c>
      <c r="U860">
        <v>0</v>
      </c>
      <c r="V860">
        <v>1000</v>
      </c>
      <c r="W860">
        <v>0</v>
      </c>
      <c r="X860">
        <v>0</v>
      </c>
      <c r="Y860">
        <v>0</v>
      </c>
      <c r="Z860">
        <v>0</v>
      </c>
      <c r="AA860">
        <v>7990</v>
      </c>
      <c r="AB860">
        <v>2494</v>
      </c>
      <c r="AC860">
        <v>207</v>
      </c>
      <c r="AD860">
        <v>1.9</v>
      </c>
      <c r="AE860">
        <v>1000</v>
      </c>
      <c r="AF860">
        <v>0.684</v>
      </c>
      <c r="AG860">
        <v>0.053</v>
      </c>
      <c r="AH860">
        <v>0.371</v>
      </c>
      <c r="AI860">
        <v>125.16</v>
      </c>
      <c r="AJ860">
        <v>3.86</v>
      </c>
      <c r="AK860">
        <v>0</v>
      </c>
      <c r="AL860">
        <v>0</v>
      </c>
      <c r="AM860">
        <v>0</v>
      </c>
      <c r="AN860">
        <v>0</v>
      </c>
      <c r="AO860">
        <v>0</v>
      </c>
      <c r="AP860">
        <v>0.996</v>
      </c>
      <c r="AQ860">
        <v>0.28</v>
      </c>
      <c r="AR860">
        <v>0</v>
      </c>
      <c r="AS860" s="3">
        <v>46107.77491898148</v>
      </c>
    </row>
    <row r="861" ht="25.5" customHeight="1">
      <c r="A861" t="inlineStr">
        <is>
          <t>60e964ee000000002002d893</t>
        </is>
      </c>
      <c r="B861" s="2" t="str">
        <f>=HYPERLINK("https://www.xiaohongshu.com/user/profile/60e964ee000000002002d893", "https://www.xiaohongshu.com/user/profile/60e964ee000000002002d893")</f>
        <v>https://www.xiaohongshu.com/user/profile/60e964ee000000002002d893</v>
      </c>
      <c r="C861" s="2" t="str">
        <f>=HYPERLINK("https://pgy.xiaohongshu.com/solar/pre-trade/blogger-detail/60e964ee000000002002d893", "https://pgy.xiaohongshu.com/solar/pre-trade/blogger-detail/60e964ee000000002002d893")</f>
        <v>https://pgy.xiaohongshu.com/solar/pre-trade/blogger-detail/60e964ee000000002002d893</v>
      </c>
      <c r="D861" t="inlineStr">
        <is>
          <t>女</t>
        </is>
      </c>
      <c r="E861" t="inlineStr">
        <is>
          <t>9534712903</t>
        </is>
      </c>
      <c r="F861" t="inlineStr">
        <is>
          <t>橙色的盒饭</t>
        </is>
      </c>
      <c r="G861" t="inlineStr">
        <is>
          <t>浙江 杭州 余杭区</t>
        </is>
      </c>
      <c r="H861" t="inlineStr">
        <is>
          <t>考研过来人, 二次元人群</t>
        </is>
      </c>
      <c r="I861" t="inlineStr">
        <is>
          <t>教育</t>
        </is>
      </c>
      <c r="J861">
        <v>14502</v>
      </c>
      <c r="K861" t="inlineStr">
        <is>
          <t>1.5</t>
        </is>
      </c>
      <c r="L861">
        <v>9343</v>
      </c>
      <c r="M861">
        <v>1436</v>
      </c>
      <c r="N861">
        <v>259</v>
      </c>
      <c r="O861">
        <v>885</v>
      </c>
      <c r="P861">
        <v>0.25</v>
      </c>
      <c r="Q861">
        <v>0.625</v>
      </c>
      <c r="R861">
        <v>9409</v>
      </c>
      <c r="S861">
        <v>1572</v>
      </c>
      <c r="T861">
        <v>304</v>
      </c>
      <c r="U861">
        <v>0.86</v>
      </c>
      <c r="V861">
        <v>885</v>
      </c>
      <c r="W861">
        <v>0.714</v>
      </c>
      <c r="X861">
        <v>0.286</v>
      </c>
      <c r="Y861">
        <v>94.06</v>
      </c>
      <c r="Z861">
        <v>3.16</v>
      </c>
      <c r="AA861">
        <v>2594</v>
      </c>
      <c r="AB861">
        <v>305</v>
      </c>
      <c r="AC861">
        <v>14</v>
      </c>
      <c r="AD861">
        <v>8.21</v>
      </c>
      <c r="AE861">
        <v>2046</v>
      </c>
      <c r="AF861">
        <v>0</v>
      </c>
      <c r="AG861">
        <v>0</v>
      </c>
      <c r="AH861">
        <v>0.031</v>
      </c>
      <c r="AI861">
        <v>788.74</v>
      </c>
      <c r="AJ861">
        <v>136.4</v>
      </c>
      <c r="AK861">
        <v>0</v>
      </c>
      <c r="AL861">
        <v>0</v>
      </c>
      <c r="AM861">
        <v>0</v>
      </c>
      <c r="AN861">
        <v>0</v>
      </c>
      <c r="AO861">
        <v>0</v>
      </c>
      <c r="AP861">
        <v>0.888</v>
      </c>
      <c r="AQ861">
        <v>0.037</v>
      </c>
      <c r="AR861">
        <v>0.0279999999999999</v>
      </c>
      <c r="AS861" s="3">
        <v>46107.77516203704</v>
      </c>
    </row>
    <row r="862" ht="25.5" customHeight="1">
      <c r="A862" t="inlineStr">
        <is>
          <t>62b45e31000000001b027a16</t>
        </is>
      </c>
      <c r="B862" s="2" t="str">
        <f>=HYPERLINK("https://www.xiaohongshu.com/user/profile/62b45e31000000001b027a16", "https://www.xiaohongshu.com/user/profile/62b45e31000000001b027a16")</f>
        <v>https://www.xiaohongshu.com/user/profile/62b45e31000000001b027a16</v>
      </c>
      <c r="C862" s="2" t="str">
        <f>=HYPERLINK("https://pgy.xiaohongshu.com/solar/pre-trade/blogger-detail/62b45e31000000001b027a16", "https://pgy.xiaohongshu.com/solar/pre-trade/blogger-detail/62b45e31000000001b027a16")</f>
        <v>https://pgy.xiaohongshu.com/solar/pre-trade/blogger-detail/62b45e31000000001b027a16</v>
      </c>
      <c r="D862" t="inlineStr">
        <is>
          <t>女</t>
        </is>
      </c>
      <c r="E862" t="inlineStr">
        <is>
          <t>4151837572</t>
        </is>
      </c>
      <c r="F862" t="inlineStr">
        <is>
          <t>浅笑（保研pku版）</t>
        </is>
      </c>
      <c r="G862" t="inlineStr">
        <is>
          <t>安徽 合肥 蜀山区</t>
        </is>
      </c>
      <c r="H862"/>
      <c r="I862" t="inlineStr">
        <is>
          <t>教育</t>
        </is>
      </c>
      <c r="J862">
        <v>1819</v>
      </c>
      <c r="K862" t="inlineStr">
        <is>
          <t>0.2</t>
        </is>
      </c>
      <c r="L862">
        <v>3209</v>
      </c>
      <c r="M862">
        <v>629</v>
      </c>
      <c r="N862">
        <v>131</v>
      </c>
      <c r="O862">
        <v>150</v>
      </c>
      <c r="P862">
        <v>0.059</v>
      </c>
      <c r="Q862">
        <v>0.294</v>
      </c>
      <c r="R862">
        <v>4071</v>
      </c>
      <c r="S862">
        <v>653</v>
      </c>
      <c r="T862">
        <v>121</v>
      </c>
      <c r="U862">
        <v>0.53</v>
      </c>
      <c r="V862">
        <v>150</v>
      </c>
      <c r="W862">
        <v>0.313</v>
      </c>
      <c r="X862">
        <v>0.063</v>
      </c>
      <c r="Y862">
        <v>36.84</v>
      </c>
      <c r="Z862">
        <v>1.03</v>
      </c>
      <c r="AA862">
        <v>1923</v>
      </c>
      <c r="AB862">
        <v>230</v>
      </c>
      <c r="AC862">
        <v>7</v>
      </c>
      <c r="AD862">
        <v>3.24</v>
      </c>
      <c r="AE862">
        <v>400</v>
      </c>
      <c r="AF862">
        <v>0</v>
      </c>
      <c r="AG862">
        <v>0</v>
      </c>
      <c r="AH862">
        <v>0.132</v>
      </c>
      <c r="AI862">
        <v>208.01</v>
      </c>
      <c r="AJ862">
        <v>44.44</v>
      </c>
      <c r="AK862">
        <v>0</v>
      </c>
      <c r="AL862">
        <v>0</v>
      </c>
      <c r="AM862">
        <v>0</v>
      </c>
      <c r="AN862">
        <v>0</v>
      </c>
      <c r="AO862">
        <v>0</v>
      </c>
      <c r="AP862">
        <v>0.956</v>
      </c>
      <c r="AQ862">
        <v>0.275</v>
      </c>
      <c r="AR862">
        <v>0</v>
      </c>
      <c r="AS862" s="3">
        <v>46107.77516203704</v>
      </c>
    </row>
    <row r="863" ht="25.5" customHeight="1">
      <c r="A863" t="inlineStr">
        <is>
          <t>5b345e2e6b58b71c5fc31d77</t>
        </is>
      </c>
      <c r="B863" s="2" t="str">
        <f>=HYPERLINK("https://www.xiaohongshu.com/user/profile/5b345e2e6b58b71c5fc31d77", "https://www.xiaohongshu.com/user/profile/5b345e2e6b58b71c5fc31d77")</f>
        <v>https://www.xiaohongshu.com/user/profile/5b345e2e6b58b71c5fc31d77</v>
      </c>
      <c r="C863" s="2" t="str">
        <f>=HYPERLINK("https://pgy.xiaohongshu.com/solar/pre-trade/blogger-detail/5b345e2e6b58b71c5fc31d77", "https://pgy.xiaohongshu.com/solar/pre-trade/blogger-detail/5b345e2e6b58b71c5fc31d77")</f>
        <v>https://pgy.xiaohongshu.com/solar/pre-trade/blogger-detail/5b345e2e6b58b71c5fc31d77</v>
      </c>
      <c r="D863" t="inlineStr">
        <is>
          <t>男</t>
        </is>
      </c>
      <c r="E863" t="inlineStr">
        <is>
          <t>271960170</t>
        </is>
      </c>
      <c r="F863" t="inlineStr">
        <is>
          <t>Daily Spoken Chinese</t>
        </is>
      </c>
      <c r="G863" t="inlineStr">
        <is>
          <t>上海</t>
        </is>
      </c>
      <c r="H863"/>
      <c r="I863" t="inlineStr">
        <is>
          <t>教育</t>
        </is>
      </c>
      <c r="J863">
        <v>27806</v>
      </c>
      <c r="K863" t="inlineStr">
        <is>
          <t>2.8</t>
        </is>
      </c>
      <c r="L863">
        <v>3626</v>
      </c>
      <c r="M863">
        <v>1125</v>
      </c>
      <c r="N863">
        <v>156</v>
      </c>
      <c r="O863">
        <v>500</v>
      </c>
      <c r="P863">
        <v>0</v>
      </c>
      <c r="Q863">
        <v>0.545</v>
      </c>
      <c r="R863">
        <v>0</v>
      </c>
      <c r="S863">
        <v>0</v>
      </c>
      <c r="T863">
        <v>0</v>
      </c>
      <c r="U863">
        <v>0</v>
      </c>
      <c r="V863">
        <v>500</v>
      </c>
      <c r="W863">
        <v>0</v>
      </c>
      <c r="X863">
        <v>0</v>
      </c>
      <c r="Y863">
        <v>0</v>
      </c>
      <c r="Z863">
        <v>0</v>
      </c>
      <c r="AA863">
        <v>3626</v>
      </c>
      <c r="AB863">
        <v>1125</v>
      </c>
      <c r="AC863">
        <v>140</v>
      </c>
      <c r="AD863">
        <v>3.28</v>
      </c>
      <c r="AE863">
        <v>2000</v>
      </c>
      <c r="AF863">
        <v>0.545</v>
      </c>
      <c r="AG863">
        <v>0</v>
      </c>
      <c r="AH863">
        <v>0.375</v>
      </c>
      <c r="AI863">
        <v>551.5</v>
      </c>
      <c r="AJ863">
        <v>12.82</v>
      </c>
      <c r="AK863">
        <v>0</v>
      </c>
      <c r="AL863">
        <v>0</v>
      </c>
      <c r="AM863">
        <v>0</v>
      </c>
      <c r="AN863">
        <v>0</v>
      </c>
      <c r="AO863">
        <v>0</v>
      </c>
      <c r="AP863">
        <v>0.674</v>
      </c>
      <c r="AQ863">
        <v>0.037</v>
      </c>
      <c r="AR863">
        <v>0.023</v>
      </c>
      <c r="AS863" s="3">
        <v>46107.77516203704</v>
      </c>
    </row>
    <row r="864" ht="25.5" customHeight="1">
      <c r="A864" t="inlineStr">
        <is>
          <t>62fc9eec00000000150149e5</t>
        </is>
      </c>
      <c r="B864" s="2" t="str">
        <f>=HYPERLINK("https://www.xiaohongshu.com/user/profile/62fc9eec00000000150149e5", "https://www.xiaohongshu.com/user/profile/62fc9eec00000000150149e5")</f>
        <v>https://www.xiaohongshu.com/user/profile/62fc9eec00000000150149e5</v>
      </c>
      <c r="C864" s="2" t="str">
        <f>=HYPERLINK("https://pgy.xiaohongshu.com/solar/pre-trade/blogger-detail/62fc9eec00000000150149e5", "https://pgy.xiaohongshu.com/solar/pre-trade/blogger-detail/62fc9eec00000000150149e5")</f>
        <v>https://pgy.xiaohongshu.com/solar/pre-trade/blogger-detail/62fc9eec00000000150149e5</v>
      </c>
      <c r="D864" t="inlineStr">
        <is>
          <t>女</t>
        </is>
      </c>
      <c r="E864" t="inlineStr">
        <is>
          <t>1588499813</t>
        </is>
      </c>
      <c r="F864" t="inlineStr">
        <is>
          <t>绿豆粥iii</t>
        </is>
      </c>
      <c r="G864" t="inlineStr">
        <is>
          <t>广东 深圳 南山区</t>
        </is>
      </c>
      <c r="H864" t="inlineStr">
        <is>
          <t>学生</t>
        </is>
      </c>
      <c r="I864" t="inlineStr">
        <is>
          <t>教育</t>
        </is>
      </c>
      <c r="J864">
        <v>1952</v>
      </c>
      <c r="K864" t="inlineStr">
        <is>
          <t>0.2</t>
        </is>
      </c>
      <c r="L864">
        <v>8477</v>
      </c>
      <c r="M864">
        <v>2672</v>
      </c>
      <c r="N864">
        <v>403</v>
      </c>
      <c r="O864">
        <v>240</v>
      </c>
      <c r="P864">
        <v>0</v>
      </c>
      <c r="Q864">
        <v>0.667</v>
      </c>
      <c r="R864">
        <v>1391</v>
      </c>
      <c r="S864">
        <v>173</v>
      </c>
      <c r="T864">
        <v>16</v>
      </c>
      <c r="U864">
        <v>1.69</v>
      </c>
      <c r="V864">
        <v>240</v>
      </c>
      <c r="W864">
        <v>0</v>
      </c>
      <c r="X864">
        <v>0</v>
      </c>
      <c r="Y864">
        <v>172.54</v>
      </c>
      <c r="Z864">
        <v>14.12</v>
      </c>
      <c r="AA864">
        <v>18297</v>
      </c>
      <c r="AB864">
        <v>5155</v>
      </c>
      <c r="AC864">
        <v>618</v>
      </c>
      <c r="AD864">
        <v>1.58</v>
      </c>
      <c r="AE864">
        <v>436</v>
      </c>
      <c r="AF864">
        <v>1</v>
      </c>
      <c r="AG864">
        <v>0</v>
      </c>
      <c r="AH864">
        <v>0.02</v>
      </c>
      <c r="AI864">
        <v>23.83</v>
      </c>
      <c r="AJ864">
        <v>0.59</v>
      </c>
      <c r="AK864">
        <v>0</v>
      </c>
      <c r="AL864">
        <v>0</v>
      </c>
      <c r="AM864">
        <v>0</v>
      </c>
      <c r="AN864">
        <v>0</v>
      </c>
      <c r="AO864">
        <v>0</v>
      </c>
      <c r="AP864">
        <v>0.993</v>
      </c>
      <c r="AQ864">
        <v>0.245</v>
      </c>
      <c r="AR864">
        <v>0</v>
      </c>
      <c r="AS864" s="3">
        <v>46107.77516203704</v>
      </c>
    </row>
    <row r="865" ht="25.5" customHeight="1">
      <c r="A865" t="inlineStr">
        <is>
          <t>6710f023000000001d022864</t>
        </is>
      </c>
      <c r="B865" s="2" t="str">
        <f>=HYPERLINK("https://www.xiaohongshu.com/user/profile/6710f023000000001d022864", "https://www.xiaohongshu.com/user/profile/6710f023000000001d022864")</f>
        <v>https://www.xiaohongshu.com/user/profile/6710f023000000001d022864</v>
      </c>
      <c r="C865" s="2" t="str">
        <f>=HYPERLINK("https://pgy.xiaohongshu.com/solar/pre-trade/blogger-detail/6710f023000000001d022864", "https://pgy.xiaohongshu.com/solar/pre-trade/blogger-detail/6710f023000000001d022864")</f>
        <v>https://pgy.xiaohongshu.com/solar/pre-trade/blogger-detail/6710f023000000001d022864</v>
      </c>
      <c r="D865" t="inlineStr">
        <is>
          <t>女</t>
        </is>
      </c>
      <c r="E865" t="inlineStr">
        <is>
          <t>95650552542</t>
        </is>
      </c>
      <c r="F865" t="inlineStr">
        <is>
          <t>庞琳夏</t>
        </is>
      </c>
      <c r="G865" t="inlineStr">
        <is>
          <t>广东 广州 增城区</t>
        </is>
      </c>
      <c r="H865"/>
      <c r="I865" t="inlineStr">
        <is>
          <t>教育</t>
        </is>
      </c>
      <c r="J865">
        <v>1866</v>
      </c>
      <c r="K865" t="inlineStr">
        <is>
          <t>0.2</t>
        </is>
      </c>
      <c r="L865">
        <v>25259</v>
      </c>
      <c r="M865">
        <v>2322</v>
      </c>
      <c r="N865">
        <v>479</v>
      </c>
      <c r="O865">
        <v>150</v>
      </c>
      <c r="P865">
        <v>0.1</v>
      </c>
      <c r="Q865">
        <v>0.7</v>
      </c>
      <c r="R865">
        <v>0</v>
      </c>
      <c r="S865">
        <v>0</v>
      </c>
      <c r="T865">
        <v>0</v>
      </c>
      <c r="U865">
        <v>0</v>
      </c>
      <c r="V865">
        <v>150</v>
      </c>
      <c r="W865">
        <v>0</v>
      </c>
      <c r="X865">
        <v>0</v>
      </c>
      <c r="Y865">
        <v>0</v>
      </c>
      <c r="Z865">
        <v>0</v>
      </c>
      <c r="AA865">
        <v>25259</v>
      </c>
      <c r="AB865">
        <v>2322</v>
      </c>
      <c r="AC865">
        <v>345</v>
      </c>
      <c r="AD865">
        <v>1.65</v>
      </c>
      <c r="AE865">
        <v>350</v>
      </c>
      <c r="AF865">
        <v>0.7</v>
      </c>
      <c r="AG865">
        <v>0.1</v>
      </c>
      <c r="AH865">
        <v>0.027</v>
      </c>
      <c r="AI865">
        <v>13.86</v>
      </c>
      <c r="AJ865">
        <v>0.73</v>
      </c>
      <c r="AK865">
        <v>0</v>
      </c>
      <c r="AL865">
        <v>0</v>
      </c>
      <c r="AM865">
        <v>0</v>
      </c>
      <c r="AN865">
        <v>0</v>
      </c>
      <c r="AO865">
        <v>0</v>
      </c>
      <c r="AP865">
        <v>0.999</v>
      </c>
      <c r="AQ865">
        <v>0.453999999999999</v>
      </c>
      <c r="AR865">
        <v>0</v>
      </c>
      <c r="AS865" s="3">
        <v>46107.77516203704</v>
      </c>
    </row>
    <row r="866" ht="25.5" customHeight="1">
      <c r="A866" t="inlineStr">
        <is>
          <t>663214ef000000001e00142d</t>
        </is>
      </c>
      <c r="B866" s="2" t="str">
        <f>=HYPERLINK("https://www.xiaohongshu.com/user/profile/663214ef000000001e00142d", "https://www.xiaohongshu.com/user/profile/663214ef000000001e00142d")</f>
        <v>https://www.xiaohongshu.com/user/profile/663214ef000000001e00142d</v>
      </c>
      <c r="C866" s="2" t="str">
        <f>=HYPERLINK("https://pgy.xiaohongshu.com/solar/pre-trade/blogger-detail/663214ef000000001e00142d", "https://pgy.xiaohongshu.com/solar/pre-trade/blogger-detail/663214ef000000001e00142d")</f>
        <v>https://pgy.xiaohongshu.com/solar/pre-trade/blogger-detail/663214ef000000001e00142d</v>
      </c>
      <c r="D866" t="inlineStr">
        <is>
          <t>女</t>
        </is>
      </c>
      <c r="E866" t="inlineStr">
        <is>
          <t>26538334004</t>
        </is>
      </c>
      <c r="F866" t="inlineStr">
        <is>
          <t>董小姐升本计算机</t>
        </is>
      </c>
      <c r="G866" t="inlineStr">
        <is>
          <t>山东 青岛 黄岛区</t>
        </is>
      </c>
      <c r="H866"/>
      <c r="I866" t="inlineStr">
        <is>
          <t>教育</t>
        </is>
      </c>
      <c r="J866">
        <v>2554</v>
      </c>
      <c r="K866" t="inlineStr">
        <is>
          <t>0.3</t>
        </is>
      </c>
      <c r="L866">
        <v>7261</v>
      </c>
      <c r="M866">
        <v>1040</v>
      </c>
      <c r="N866">
        <v>154</v>
      </c>
      <c r="O866">
        <v>199</v>
      </c>
      <c r="P866">
        <v>0.091</v>
      </c>
      <c r="Q866">
        <v>0.455</v>
      </c>
      <c r="R866">
        <v>0</v>
      </c>
      <c r="S866">
        <v>0</v>
      </c>
      <c r="T866">
        <v>0</v>
      </c>
      <c r="U866">
        <v>0</v>
      </c>
      <c r="V866">
        <v>199</v>
      </c>
      <c r="W866">
        <v>0</v>
      </c>
      <c r="X866">
        <v>0</v>
      </c>
      <c r="Y866">
        <v>0</v>
      </c>
      <c r="Z866">
        <v>0</v>
      </c>
      <c r="AA866">
        <v>7261</v>
      </c>
      <c r="AB866">
        <v>1040</v>
      </c>
      <c r="AC866">
        <v>123</v>
      </c>
      <c r="AD866">
        <v>1.91</v>
      </c>
      <c r="AE866">
        <v>425</v>
      </c>
      <c r="AF866">
        <v>0.455</v>
      </c>
      <c r="AG866">
        <v>0.091</v>
      </c>
      <c r="AH866">
        <v>0.031</v>
      </c>
      <c r="AI866">
        <v>58.53</v>
      </c>
      <c r="AJ866">
        <v>2.76</v>
      </c>
      <c r="AK866">
        <v>0</v>
      </c>
      <c r="AL866">
        <v>0</v>
      </c>
      <c r="AM866">
        <v>0</v>
      </c>
      <c r="AN866">
        <v>0</v>
      </c>
      <c r="AO866">
        <v>0</v>
      </c>
      <c r="AP866">
        <v>0.862</v>
      </c>
      <c r="AQ866">
        <v>0.144</v>
      </c>
      <c r="AR866">
        <v>0.32</v>
      </c>
      <c r="AS866" s="3">
        <v>46107.77516203704</v>
      </c>
    </row>
    <row r="867" ht="25.5" customHeight="1">
      <c r="A867" t="inlineStr">
        <is>
          <t>5a7132d94eacab42b775fa07</t>
        </is>
      </c>
      <c r="B867" s="2" t="str">
        <f>=HYPERLINK("https://www.xiaohongshu.com/user/profile/5a7132d94eacab42b775fa07", "https://www.xiaohongshu.com/user/profile/5a7132d94eacab42b775fa07")</f>
        <v>https://www.xiaohongshu.com/user/profile/5a7132d94eacab42b775fa07</v>
      </c>
      <c r="C867" s="2" t="str">
        <f>=HYPERLINK("https://pgy.xiaohongshu.com/solar/pre-trade/blogger-detail/5a7132d94eacab42b775fa07", "https://pgy.xiaohongshu.com/solar/pre-trade/blogger-detail/5a7132d94eacab42b775fa07")</f>
        <v>https://pgy.xiaohongshu.com/solar/pre-trade/blogger-detail/5a7132d94eacab42b775fa07</v>
      </c>
      <c r="D867" t="inlineStr">
        <is>
          <t>男</t>
        </is>
      </c>
      <c r="E867" t="inlineStr">
        <is>
          <t>635875781</t>
        </is>
      </c>
      <c r="F867" t="inlineStr">
        <is>
          <t>WillowFashion</t>
        </is>
      </c>
      <c r="G867" t="inlineStr">
        <is>
          <t>上海</t>
        </is>
      </c>
      <c r="H867"/>
      <c r="I867" t="inlineStr">
        <is>
          <t>教育</t>
        </is>
      </c>
      <c r="J867">
        <v>3438</v>
      </c>
      <c r="K867" t="inlineStr">
        <is>
          <t>0.3</t>
        </is>
      </c>
      <c r="L867">
        <v>6167</v>
      </c>
      <c r="M867">
        <v>655</v>
      </c>
      <c r="N867">
        <v>142</v>
      </c>
      <c r="O867">
        <v>299</v>
      </c>
      <c r="P867">
        <v>0.067</v>
      </c>
      <c r="Q867">
        <v>0.332999999999999</v>
      </c>
      <c r="R867">
        <v>6432</v>
      </c>
      <c r="S867">
        <v>1482</v>
      </c>
      <c r="T867">
        <v>126</v>
      </c>
      <c r="U867">
        <v>0.5</v>
      </c>
      <c r="V867">
        <v>299</v>
      </c>
      <c r="W867">
        <v>0.385</v>
      </c>
      <c r="X867">
        <v>0.077</v>
      </c>
      <c r="Y867">
        <v>46.49</v>
      </c>
      <c r="Z867">
        <v>1.46</v>
      </c>
      <c r="AA867">
        <v>1585</v>
      </c>
      <c r="AB867">
        <v>109</v>
      </c>
      <c r="AC867">
        <v>2</v>
      </c>
      <c r="AD867">
        <v>7</v>
      </c>
      <c r="AE867">
        <v>599</v>
      </c>
      <c r="AF867">
        <v>0</v>
      </c>
      <c r="AG867">
        <v>0</v>
      </c>
      <c r="AH867">
        <v>0.025</v>
      </c>
      <c r="AI867">
        <v>377.8</v>
      </c>
      <c r="AJ867">
        <v>108.91</v>
      </c>
      <c r="AK867">
        <v>0</v>
      </c>
      <c r="AL867">
        <v>0</v>
      </c>
      <c r="AM867">
        <v>0</v>
      </c>
      <c r="AN867">
        <v>0</v>
      </c>
      <c r="AO867">
        <v>0</v>
      </c>
      <c r="AP867">
        <v>0.938</v>
      </c>
      <c r="AQ867">
        <v>0.248</v>
      </c>
      <c r="AR867">
        <v>0.302</v>
      </c>
      <c r="AS867" s="3">
        <v>46107.77516203704</v>
      </c>
    </row>
    <row r="868" ht="25.5" customHeight="1">
      <c r="A868" t="inlineStr">
        <is>
          <t>5c49c8550000000010039fd4</t>
        </is>
      </c>
      <c r="B868" s="2" t="str">
        <f>=HYPERLINK("https://www.xiaohongshu.com/user/profile/5c49c8550000000010039fd4", "https://www.xiaohongshu.com/user/profile/5c49c8550000000010039fd4")</f>
        <v>https://www.xiaohongshu.com/user/profile/5c49c8550000000010039fd4</v>
      </c>
      <c r="C868" s="2" t="str">
        <f>=HYPERLINK("https://pgy.xiaohongshu.com/solar/pre-trade/blogger-detail/5c49c8550000000010039fd4", "https://pgy.xiaohongshu.com/solar/pre-trade/blogger-detail/5c49c8550000000010039fd4")</f>
        <v>https://pgy.xiaohongshu.com/solar/pre-trade/blogger-detail/5c49c8550000000010039fd4</v>
      </c>
      <c r="D868" t="inlineStr">
        <is>
          <t>女</t>
        </is>
      </c>
      <c r="E868" t="inlineStr">
        <is>
          <t>taroy0106</t>
        </is>
      </c>
      <c r="F868" t="inlineStr">
        <is>
          <t>小韩是taroy</t>
        </is>
      </c>
      <c r="G868" t="inlineStr">
        <is>
          <t>广东 深圳 龙岗区</t>
        </is>
      </c>
      <c r="H868" t="inlineStr">
        <is>
          <t>留学背景, 学生</t>
        </is>
      </c>
      <c r="I868" t="inlineStr">
        <is>
          <t>音乐</t>
        </is>
      </c>
      <c r="J868">
        <v>3657</v>
      </c>
      <c r="K868" t="inlineStr">
        <is>
          <t>0.4</t>
        </is>
      </c>
      <c r="L868">
        <v>13733</v>
      </c>
      <c r="M868">
        <v>1930</v>
      </c>
      <c r="N868">
        <v>243</v>
      </c>
      <c r="O868">
        <v>200</v>
      </c>
      <c r="P868">
        <v>0</v>
      </c>
      <c r="Q868">
        <v>1</v>
      </c>
      <c r="R868">
        <v>4913</v>
      </c>
      <c r="S868">
        <v>841</v>
      </c>
      <c r="T868">
        <v>138</v>
      </c>
      <c r="U868">
        <v>0.54</v>
      </c>
      <c r="V868">
        <v>200</v>
      </c>
      <c r="W868">
        <v>1</v>
      </c>
      <c r="X868">
        <v>0</v>
      </c>
      <c r="Y868">
        <v>40.71</v>
      </c>
      <c r="Z868">
        <v>1.4</v>
      </c>
      <c r="AA868">
        <v>22553</v>
      </c>
      <c r="AB868">
        <v>3019</v>
      </c>
      <c r="AC868">
        <v>282</v>
      </c>
      <c r="AD868">
        <v>1.62</v>
      </c>
      <c r="AE868">
        <v>350</v>
      </c>
      <c r="AF868">
        <v>1</v>
      </c>
      <c r="AG868">
        <v>0</v>
      </c>
      <c r="AH868">
        <v>0.139</v>
      </c>
      <c r="AI868">
        <v>15.52</v>
      </c>
      <c r="AJ868">
        <v>1.02</v>
      </c>
      <c r="AK868">
        <v>0</v>
      </c>
      <c r="AL868">
        <v>0</v>
      </c>
      <c r="AM868">
        <v>0</v>
      </c>
      <c r="AN868">
        <v>0</v>
      </c>
      <c r="AO868">
        <v>0</v>
      </c>
      <c r="AP868">
        <v>0.825</v>
      </c>
      <c r="AQ868">
        <v>0.047</v>
      </c>
      <c r="AR868">
        <v>0.013</v>
      </c>
      <c r="AS868" s="3">
        <v>46107.77516203704</v>
      </c>
    </row>
    <row r="869" ht="25.5" customHeight="1">
      <c r="A869" t="inlineStr">
        <is>
          <t>66e0211a000000001d0234ee</t>
        </is>
      </c>
      <c r="B869" s="2" t="str">
        <f>=HYPERLINK("https://www.xiaohongshu.com/user/profile/66e0211a000000001d0234ee", "https://www.xiaohongshu.com/user/profile/66e0211a000000001d0234ee")</f>
        <v>https://www.xiaohongshu.com/user/profile/66e0211a000000001d0234ee</v>
      </c>
      <c r="C869" s="2" t="str">
        <f>=HYPERLINK("https://pgy.xiaohongshu.com/solar/pre-trade/blogger-detail/66e0211a000000001d0234ee", "https://pgy.xiaohongshu.com/solar/pre-trade/blogger-detail/66e0211a000000001d0234ee")</f>
        <v>https://pgy.xiaohongshu.com/solar/pre-trade/blogger-detail/66e0211a000000001d0234ee</v>
      </c>
      <c r="D869" t="inlineStr">
        <is>
          <t>女</t>
        </is>
      </c>
      <c r="E869" t="inlineStr">
        <is>
          <t>94119506900</t>
        </is>
      </c>
      <c r="F869" t="inlineStr">
        <is>
          <t>蛋仔画画画</t>
        </is>
      </c>
      <c r="G869" t="inlineStr">
        <is>
          <t>河南 许昌 禹州市</t>
        </is>
      </c>
      <c r="H869" t="inlineStr">
        <is>
          <t>妈妈, 萌娃, 二次元人群, 学生</t>
        </is>
      </c>
      <c r="I869" t="inlineStr">
        <is>
          <t>兴趣爱好</t>
        </is>
      </c>
      <c r="J869">
        <v>4510</v>
      </c>
      <c r="K869" t="inlineStr">
        <is>
          <t>0.5</t>
        </is>
      </c>
      <c r="L869">
        <v>7832</v>
      </c>
      <c r="M869">
        <v>2062</v>
      </c>
      <c r="N869">
        <v>143</v>
      </c>
      <c r="O869">
        <v>188</v>
      </c>
      <c r="P869">
        <v>0</v>
      </c>
      <c r="Q869">
        <v>0.273</v>
      </c>
      <c r="R869">
        <v>0</v>
      </c>
      <c r="S869">
        <v>0</v>
      </c>
      <c r="T869">
        <v>0</v>
      </c>
      <c r="U869">
        <v>0</v>
      </c>
      <c r="V869">
        <v>188</v>
      </c>
      <c r="W869">
        <v>0</v>
      </c>
      <c r="X869">
        <v>0</v>
      </c>
      <c r="Y869">
        <v>0</v>
      </c>
      <c r="Z869">
        <v>0</v>
      </c>
      <c r="AA869">
        <v>7832</v>
      </c>
      <c r="AB869">
        <v>2062</v>
      </c>
      <c r="AC869">
        <v>121</v>
      </c>
      <c r="AD869">
        <v>1.65</v>
      </c>
      <c r="AE869">
        <v>308</v>
      </c>
      <c r="AF869">
        <v>0.273</v>
      </c>
      <c r="AG869">
        <v>0</v>
      </c>
      <c r="AH869">
        <v>0.02</v>
      </c>
      <c r="AI869">
        <v>39.32</v>
      </c>
      <c r="AJ869">
        <v>2.15</v>
      </c>
      <c r="AK869">
        <v>0</v>
      </c>
      <c r="AL869">
        <v>0</v>
      </c>
      <c r="AM869">
        <v>0</v>
      </c>
      <c r="AN869">
        <v>0</v>
      </c>
      <c r="AO869">
        <v>0</v>
      </c>
      <c r="AP869">
        <v>0.961</v>
      </c>
      <c r="AQ869">
        <v>0.214</v>
      </c>
      <c r="AR869">
        <v>0</v>
      </c>
      <c r="AS869" s="3">
        <v>46107.77516203704</v>
      </c>
    </row>
    <row r="870" ht="25.5" customHeight="1">
      <c r="A870" t="inlineStr">
        <is>
          <t>633d0029000000001802a355</t>
        </is>
      </c>
      <c r="B870" s="2" t="str">
        <f>=HYPERLINK("https://www.xiaohongshu.com/user/profile/633d0029000000001802a355", "https://www.xiaohongshu.com/user/profile/633d0029000000001802a355")</f>
        <v>https://www.xiaohongshu.com/user/profile/633d0029000000001802a355</v>
      </c>
      <c r="C870" s="2" t="str">
        <f>=HYPERLINK("https://pgy.xiaohongshu.com/solar/pre-trade/blogger-detail/633d0029000000001802a355", "https://pgy.xiaohongshu.com/solar/pre-trade/blogger-detail/633d0029000000001802a355")</f>
        <v>https://pgy.xiaohongshu.com/solar/pre-trade/blogger-detail/633d0029000000001802a355</v>
      </c>
      <c r="D870" t="inlineStr">
        <is>
          <t>女</t>
        </is>
      </c>
      <c r="E870" t="inlineStr">
        <is>
          <t>2917321753</t>
        </is>
      </c>
      <c r="F870" t="inlineStr">
        <is>
          <t>文科生七七的咖啡馆（研一版）</t>
        </is>
      </c>
      <c r="G870" t="inlineStr">
        <is>
          <t>重庆</t>
        </is>
      </c>
      <c r="H870" t="inlineStr">
        <is>
          <t>考研过来人, 学生, 闺蜜</t>
        </is>
      </c>
      <c r="I870" t="inlineStr">
        <is>
          <t>教育</t>
        </is>
      </c>
      <c r="J870">
        <v>3319</v>
      </c>
      <c r="K870" t="inlineStr">
        <is>
          <t>0.3</t>
        </is>
      </c>
      <c r="L870">
        <v>2544</v>
      </c>
      <c r="M870">
        <v>245</v>
      </c>
      <c r="N870">
        <v>119</v>
      </c>
      <c r="O870">
        <v>215</v>
      </c>
      <c r="P870">
        <v>0</v>
      </c>
      <c r="Q870">
        <v>0.25</v>
      </c>
      <c r="R870">
        <v>2544</v>
      </c>
      <c r="S870">
        <v>245</v>
      </c>
      <c r="T870">
        <v>108</v>
      </c>
      <c r="U870">
        <v>1.08</v>
      </c>
      <c r="V870">
        <v>215</v>
      </c>
      <c r="W870">
        <v>0.25</v>
      </c>
      <c r="X870">
        <v>0</v>
      </c>
      <c r="Y870">
        <v>93.28</v>
      </c>
      <c r="Z870">
        <v>2.29</v>
      </c>
      <c r="AA870">
        <v>0</v>
      </c>
      <c r="AB870">
        <v>0</v>
      </c>
      <c r="AC870">
        <v>0</v>
      </c>
      <c r="AD870">
        <v>1.63</v>
      </c>
      <c r="AE870">
        <v>350</v>
      </c>
      <c r="AF870">
        <v>0</v>
      </c>
      <c r="AG870">
        <v>0</v>
      </c>
      <c r="AH870">
        <v>0</v>
      </c>
      <c r="AI870">
        <v>386.31</v>
      </c>
      <c r="AJ870">
        <v>4.86</v>
      </c>
      <c r="AK870">
        <v>3880</v>
      </c>
      <c r="AL870">
        <v>618</v>
      </c>
      <c r="AM870">
        <v>67</v>
      </c>
      <c r="AN870">
        <v>0</v>
      </c>
      <c r="AO870">
        <v>17.28</v>
      </c>
      <c r="AP870">
        <v>0.755999999999999</v>
      </c>
      <c r="AQ870">
        <v>0.084</v>
      </c>
      <c r="AR870">
        <v>0.05</v>
      </c>
      <c r="AS870" s="3">
        <v>46107.77516203704</v>
      </c>
    </row>
    <row r="871" ht="25.5" customHeight="1">
      <c r="A871" t="inlineStr">
        <is>
          <t>6906e38e0000000037028e4d</t>
        </is>
      </c>
      <c r="B871" s="2" t="str">
        <f>=HYPERLINK("https://www.xiaohongshu.com/user/profile/6906e38e0000000037028e4d", "https://www.xiaohongshu.com/user/profile/6906e38e0000000037028e4d")</f>
        <v>https://www.xiaohongshu.com/user/profile/6906e38e0000000037028e4d</v>
      </c>
      <c r="C871" s="2" t="str">
        <f>=HYPERLINK("https://pgy.xiaohongshu.com/solar/pre-trade/blogger-detail/6906e38e0000000037028e4d", "https://pgy.xiaohongshu.com/solar/pre-trade/blogger-detail/6906e38e0000000037028e4d")</f>
        <v>https://pgy.xiaohongshu.com/solar/pre-trade/blogger-detail/6906e38e0000000037028e4d</v>
      </c>
      <c r="D871" t="inlineStr">
        <is>
          <t>女</t>
        </is>
      </c>
      <c r="E871" t="inlineStr">
        <is>
          <t>49738389310</t>
        </is>
      </c>
      <c r="F871" t="inlineStr">
        <is>
          <t>再见蜂鸟</t>
        </is>
      </c>
      <c r="G871" t="inlineStr">
        <is>
          <t>四川 成都 双流区</t>
        </is>
      </c>
      <c r="H871"/>
      <c r="I871" t="inlineStr">
        <is>
          <t>影视综资讯, 教育</t>
        </is>
      </c>
      <c r="J871">
        <v>1200</v>
      </c>
      <c r="K871" t="inlineStr">
        <is>
          <t>0.1</t>
        </is>
      </c>
      <c r="L871">
        <v>23448</v>
      </c>
      <c r="M871">
        <v>1912</v>
      </c>
      <c r="N871">
        <v>237</v>
      </c>
      <c r="O871">
        <v>399</v>
      </c>
      <c r="P871">
        <v>0.222</v>
      </c>
      <c r="Q871">
        <v>0.778</v>
      </c>
      <c r="R871">
        <v>23539</v>
      </c>
      <c r="S871">
        <v>2621</v>
      </c>
      <c r="T871">
        <v>268</v>
      </c>
      <c r="U871">
        <v>0.45</v>
      </c>
      <c r="V871">
        <v>399</v>
      </c>
      <c r="W871">
        <v>0.875</v>
      </c>
      <c r="X871">
        <v>0.25</v>
      </c>
      <c r="Y871">
        <v>16.95</v>
      </c>
      <c r="Z871">
        <v>1.45</v>
      </c>
      <c r="AA871">
        <v>2857</v>
      </c>
      <c r="AB871">
        <v>235</v>
      </c>
      <c r="AC871">
        <v>17</v>
      </c>
      <c r="AD871">
        <v>4.47</v>
      </c>
      <c r="AE871">
        <v>699</v>
      </c>
      <c r="AF871">
        <v>0</v>
      </c>
      <c r="AG871">
        <v>0</v>
      </c>
      <c r="AH871">
        <v>0.038</v>
      </c>
      <c r="AI871">
        <v>244.66</v>
      </c>
      <c r="AJ871">
        <v>41.12</v>
      </c>
      <c r="AK871">
        <v>0</v>
      </c>
      <c r="AL871">
        <v>0</v>
      </c>
      <c r="AM871">
        <v>0</v>
      </c>
      <c r="AN871">
        <v>0</v>
      </c>
      <c r="AO871">
        <v>0</v>
      </c>
      <c r="AP871">
        <v>1</v>
      </c>
      <c r="AQ871">
        <v>0.512</v>
      </c>
      <c r="AR871">
        <v>0</v>
      </c>
      <c r="AS871" s="3">
        <v>46107.77516203704</v>
      </c>
    </row>
    <row r="872" ht="25.5" customHeight="1">
      <c r="A872" t="inlineStr">
        <is>
          <t>650f9e7e000000001603b7fd</t>
        </is>
      </c>
      <c r="B872" s="2" t="str">
        <f>=HYPERLINK("https://www.xiaohongshu.com/user/profile/650f9e7e000000001603b7fd", "https://www.xiaohongshu.com/user/profile/650f9e7e000000001603b7fd")</f>
        <v>https://www.xiaohongshu.com/user/profile/650f9e7e000000001603b7fd</v>
      </c>
      <c r="C872" s="2" t="str">
        <f>=HYPERLINK("https://pgy.xiaohongshu.com/solar/pre-trade/blogger-detail/650f9e7e000000001603b7fd", "https://pgy.xiaohongshu.com/solar/pre-trade/blogger-detail/650f9e7e000000001603b7fd")</f>
        <v>https://pgy.xiaohongshu.com/solar/pre-trade/blogger-detail/650f9e7e000000001603b7fd</v>
      </c>
      <c r="D872" t="inlineStr">
        <is>
          <t>男</t>
        </is>
      </c>
      <c r="E872" t="inlineStr">
        <is>
          <t>yzwz021001</t>
        </is>
      </c>
      <c r="F872" t="inlineStr">
        <is>
          <t>Marrine</t>
        </is>
      </c>
      <c r="G872" t="inlineStr">
        <is>
          <t>四川 成都 金牛区</t>
        </is>
      </c>
      <c r="H872" t="inlineStr">
        <is>
          <t>学生</t>
        </is>
      </c>
      <c r="I872" t="inlineStr">
        <is>
          <t>教育</t>
        </is>
      </c>
      <c r="J872">
        <v>3922</v>
      </c>
      <c r="K872" t="inlineStr">
        <is>
          <t>0.4</t>
        </is>
      </c>
      <c r="L872">
        <v>6078</v>
      </c>
      <c r="M872">
        <v>1025</v>
      </c>
      <c r="N872">
        <v>165</v>
      </c>
      <c r="O872">
        <v>300</v>
      </c>
      <c r="P872">
        <v>0</v>
      </c>
      <c r="Q872">
        <v>0.294</v>
      </c>
      <c r="R872">
        <v>6260</v>
      </c>
      <c r="S872">
        <v>1068</v>
      </c>
      <c r="T872">
        <v>174</v>
      </c>
      <c r="U872">
        <v>0.58</v>
      </c>
      <c r="V872">
        <v>300</v>
      </c>
      <c r="W872">
        <v>0.332999999999999</v>
      </c>
      <c r="X872">
        <v>0</v>
      </c>
      <c r="Y872">
        <v>47.92</v>
      </c>
      <c r="Z872">
        <v>1.43</v>
      </c>
      <c r="AA872">
        <v>3623</v>
      </c>
      <c r="AB872">
        <v>541</v>
      </c>
      <c r="AC872">
        <v>67</v>
      </c>
      <c r="AD872">
        <v>2.42</v>
      </c>
      <c r="AE872">
        <v>500</v>
      </c>
      <c r="AF872">
        <v>0</v>
      </c>
      <c r="AG872">
        <v>0</v>
      </c>
      <c r="AH872">
        <v>0.009</v>
      </c>
      <c r="AI872">
        <v>137.99</v>
      </c>
      <c r="AJ872">
        <v>6.76</v>
      </c>
      <c r="AK872">
        <v>0</v>
      </c>
      <c r="AL872">
        <v>0</v>
      </c>
      <c r="AM872">
        <v>0</v>
      </c>
      <c r="AN872">
        <v>0</v>
      </c>
      <c r="AO872">
        <v>0</v>
      </c>
      <c r="AP872">
        <v>0.837</v>
      </c>
      <c r="AQ872">
        <v>0.0559999999999999</v>
      </c>
      <c r="AR872">
        <v>0.05</v>
      </c>
      <c r="AS872" s="3">
        <v>46107.77516203704</v>
      </c>
    </row>
    <row r="873" ht="25.5" customHeight="1">
      <c r="A873" t="inlineStr">
        <is>
          <t>5979b2c650c4b4209f28fd10</t>
        </is>
      </c>
      <c r="B873" s="2" t="str">
        <f>=HYPERLINK("https://www.xiaohongshu.com/user/profile/5979b2c650c4b4209f28fd10", "https://www.xiaohongshu.com/user/profile/5979b2c650c4b4209f28fd10")</f>
        <v>https://www.xiaohongshu.com/user/profile/5979b2c650c4b4209f28fd10</v>
      </c>
      <c r="C873" s="2" t="str">
        <f>=HYPERLINK("https://pgy.xiaohongshu.com/solar/pre-trade/blogger-detail/5979b2c650c4b4209f28fd10", "https://pgy.xiaohongshu.com/solar/pre-trade/blogger-detail/5979b2c650c4b4209f28fd10")</f>
        <v>https://pgy.xiaohongshu.com/solar/pre-trade/blogger-detail/5979b2c650c4b4209f28fd10</v>
      </c>
      <c r="D873" t="inlineStr">
        <is>
          <t>女</t>
        </is>
      </c>
      <c r="E873" t="inlineStr">
        <is>
          <t>Laogao_123</t>
        </is>
      </c>
      <c r="F873" t="inlineStr">
        <is>
          <t>钉锚韩语欧尼</t>
        </is>
      </c>
      <c r="G873" t="inlineStr">
        <is>
          <t>山东 烟台 莱山区</t>
        </is>
      </c>
      <c r="H873" t="inlineStr">
        <is>
          <t>创业者, 留学背景, 翻译</t>
        </is>
      </c>
      <c r="I873" t="inlineStr">
        <is>
          <t>教育</t>
        </is>
      </c>
      <c r="J873">
        <v>13521</v>
      </c>
      <c r="K873" t="inlineStr">
        <is>
          <t>1.4</t>
        </is>
      </c>
      <c r="L873">
        <v>3242</v>
      </c>
      <c r="M873">
        <v>925</v>
      </c>
      <c r="N873">
        <v>132</v>
      </c>
      <c r="O873">
        <v>450</v>
      </c>
      <c r="P873">
        <v>0</v>
      </c>
      <c r="Q873">
        <v>0.32</v>
      </c>
      <c r="R873">
        <v>732</v>
      </c>
      <c r="S873">
        <v>35</v>
      </c>
      <c r="T873">
        <v>9</v>
      </c>
      <c r="U873">
        <v>13.16</v>
      </c>
      <c r="V873">
        <v>450</v>
      </c>
      <c r="W873">
        <v>0</v>
      </c>
      <c r="X873">
        <v>0</v>
      </c>
      <c r="Y873">
        <v>614.75</v>
      </c>
      <c r="Z873">
        <v>45</v>
      </c>
      <c r="AA873">
        <v>3353</v>
      </c>
      <c r="AB873">
        <v>1065</v>
      </c>
      <c r="AC873">
        <v>125</v>
      </c>
      <c r="AD873">
        <v>2.44</v>
      </c>
      <c r="AE873">
        <v>1000</v>
      </c>
      <c r="AF873">
        <v>0.332999999999999</v>
      </c>
      <c r="AG873">
        <v>0</v>
      </c>
      <c r="AH873">
        <v>0.107</v>
      </c>
      <c r="AI873">
        <v>298.24</v>
      </c>
      <c r="AJ873">
        <v>6.8</v>
      </c>
      <c r="AK873">
        <v>0</v>
      </c>
      <c r="AL873">
        <v>0</v>
      </c>
      <c r="AM873">
        <v>0</v>
      </c>
      <c r="AN873">
        <v>0</v>
      </c>
      <c r="AO873">
        <v>0</v>
      </c>
      <c r="AP873">
        <v>0.744</v>
      </c>
      <c r="AQ873">
        <v>0.051</v>
      </c>
      <c r="AR873">
        <v>0.061</v>
      </c>
      <c r="AS873" s="3">
        <v>46107.77516203704</v>
      </c>
    </row>
    <row r="874" ht="25.5" customHeight="1">
      <c r="A874" t="inlineStr">
        <is>
          <t>6169a38500000000020231f2</t>
        </is>
      </c>
      <c r="B874" s="2" t="str">
        <f>=HYPERLINK("https://www.xiaohongshu.com/user/profile/6169a38500000000020231f2", "https://www.xiaohongshu.com/user/profile/6169a38500000000020231f2")</f>
        <v>https://www.xiaohongshu.com/user/profile/6169a38500000000020231f2</v>
      </c>
      <c r="C874" s="2" t="str">
        <f>=HYPERLINK("https://pgy.xiaohongshu.com/solar/pre-trade/blogger-detail/6169a38500000000020231f2", "https://pgy.xiaohongshu.com/solar/pre-trade/blogger-detail/6169a38500000000020231f2")</f>
        <v>https://pgy.xiaohongshu.com/solar/pre-trade/blogger-detail/6169a38500000000020231f2</v>
      </c>
      <c r="D874" t="inlineStr">
        <is>
          <t>女</t>
        </is>
      </c>
      <c r="E874" t="inlineStr">
        <is>
          <t>2704859941</t>
        </is>
      </c>
      <c r="F874" t="inlineStr">
        <is>
          <t>学文物的000</t>
        </is>
      </c>
      <c r="G874" t="inlineStr">
        <is>
          <t>陕西 西安 长安区</t>
        </is>
      </c>
      <c r="H874" t="inlineStr">
        <is>
          <t>考研过来人, 手账爱好者, 学生</t>
        </is>
      </c>
      <c r="I874" t="inlineStr">
        <is>
          <t>教育</t>
        </is>
      </c>
      <c r="J874">
        <v>1268</v>
      </c>
      <c r="K874" t="inlineStr">
        <is>
          <t>0.1</t>
        </is>
      </c>
      <c r="L874">
        <v>2504</v>
      </c>
      <c r="M874">
        <v>357</v>
      </c>
      <c r="N874">
        <v>247</v>
      </c>
      <c r="O874">
        <v>160</v>
      </c>
      <c r="P874">
        <v>0</v>
      </c>
      <c r="Q874">
        <v>0.5</v>
      </c>
      <c r="R874">
        <v>2504</v>
      </c>
      <c r="S874">
        <v>357</v>
      </c>
      <c r="T874">
        <v>212</v>
      </c>
      <c r="U874">
        <v>0.72</v>
      </c>
      <c r="V874">
        <v>160</v>
      </c>
      <c r="W874">
        <v>0.5</v>
      </c>
      <c r="X874">
        <v>0</v>
      </c>
      <c r="Y874">
        <v>59.89</v>
      </c>
      <c r="Z874">
        <v>0.61</v>
      </c>
      <c r="AA874">
        <v>0</v>
      </c>
      <c r="AB874">
        <v>0</v>
      </c>
      <c r="AC874">
        <v>0</v>
      </c>
      <c r="AD874">
        <v>0</v>
      </c>
      <c r="AE874">
        <v>0</v>
      </c>
      <c r="AF874">
        <v>0</v>
      </c>
      <c r="AG874">
        <v>0</v>
      </c>
      <c r="AH874">
        <v>0</v>
      </c>
      <c r="AI874">
        <v>0</v>
      </c>
      <c r="AJ874">
        <v>0</v>
      </c>
      <c r="AK874">
        <v>0</v>
      </c>
      <c r="AL874">
        <v>0</v>
      </c>
      <c r="AM874">
        <v>0</v>
      </c>
      <c r="AN874">
        <v>0</v>
      </c>
      <c r="AO874">
        <v>0</v>
      </c>
      <c r="AP874">
        <v>0.994</v>
      </c>
      <c r="AQ874">
        <v>0.457</v>
      </c>
      <c r="AR874">
        <v>0</v>
      </c>
      <c r="AS874" s="3">
        <v>46107.77516203704</v>
      </c>
    </row>
    <row r="875" ht="25.5" customHeight="1">
      <c r="A875" t="inlineStr">
        <is>
          <t>68304667000000001b03295e</t>
        </is>
      </c>
      <c r="B875" s="2" t="str">
        <f>=HYPERLINK("https://www.xiaohongshu.com/user/profile/68304667000000001b03295e", "https://www.xiaohongshu.com/user/profile/68304667000000001b03295e")</f>
        <v>https://www.xiaohongshu.com/user/profile/68304667000000001b03295e</v>
      </c>
      <c r="C875" s="2" t="str">
        <f>=HYPERLINK("https://pgy.xiaohongshu.com/solar/pre-trade/blogger-detail/68304667000000001b03295e", "https://pgy.xiaohongshu.com/solar/pre-trade/blogger-detail/68304667000000001b03295e")</f>
        <v>https://pgy.xiaohongshu.com/solar/pre-trade/blogger-detail/68304667000000001b03295e</v>
      </c>
      <c r="D875" t="inlineStr">
        <is>
          <t>女</t>
        </is>
      </c>
      <c r="E875" t="inlineStr">
        <is>
          <t>95044582773</t>
        </is>
      </c>
      <c r="F875" t="inlineStr">
        <is>
          <t>Seraphinaaaaaa-</t>
        </is>
      </c>
      <c r="G875" t="inlineStr">
        <is>
          <t>河南 焦作 解放区</t>
        </is>
      </c>
      <c r="H875" t="inlineStr">
        <is>
          <t>学生</t>
        </is>
      </c>
      <c r="I875" t="inlineStr">
        <is>
          <t>职场, 教育</t>
        </is>
      </c>
      <c r="J875">
        <v>2782</v>
      </c>
      <c r="K875" t="inlineStr">
        <is>
          <t>0.3</t>
        </is>
      </c>
      <c r="L875">
        <v>4666</v>
      </c>
      <c r="M875">
        <v>956</v>
      </c>
      <c r="N875">
        <v>137</v>
      </c>
      <c r="O875">
        <v>183</v>
      </c>
      <c r="P875">
        <v>0</v>
      </c>
      <c r="Q875">
        <v>0.457999999999999</v>
      </c>
      <c r="R875">
        <v>4247</v>
      </c>
      <c r="S875">
        <v>929</v>
      </c>
      <c r="T875">
        <v>147</v>
      </c>
      <c r="U875">
        <v>0.46</v>
      </c>
      <c r="V875">
        <v>183</v>
      </c>
      <c r="W875">
        <v>0.474</v>
      </c>
      <c r="X875">
        <v>0</v>
      </c>
      <c r="Y875">
        <v>39.22</v>
      </c>
      <c r="Z875">
        <v>0.94</v>
      </c>
      <c r="AA875">
        <v>6035</v>
      </c>
      <c r="AB875">
        <v>984</v>
      </c>
      <c r="AC875">
        <v>103</v>
      </c>
      <c r="AD875">
        <v>1.84</v>
      </c>
      <c r="AE875">
        <v>332</v>
      </c>
      <c r="AF875">
        <v>0.4</v>
      </c>
      <c r="AG875">
        <v>0</v>
      </c>
      <c r="AH875">
        <v>0.048</v>
      </c>
      <c r="AI875">
        <v>55.01</v>
      </c>
      <c r="AJ875">
        <v>3.02</v>
      </c>
      <c r="AK875">
        <v>16859</v>
      </c>
      <c r="AL875">
        <v>1816</v>
      </c>
      <c r="AM875">
        <v>598</v>
      </c>
      <c r="AN875">
        <v>23</v>
      </c>
      <c r="AO875">
        <v>9.04</v>
      </c>
      <c r="AP875">
        <v>0.973</v>
      </c>
      <c r="AQ875">
        <v>0.163</v>
      </c>
      <c r="AR875">
        <v>0.312</v>
      </c>
      <c r="AS875" s="3">
        <v>46107.77516203704</v>
      </c>
    </row>
    <row r="876" ht="25.5" customHeight="1">
      <c r="A876" t="inlineStr">
        <is>
          <t>643f5efb00000000140101c6</t>
        </is>
      </c>
      <c r="B876" s="2" t="str">
        <f>=HYPERLINK("https://www.xiaohongshu.com/user/profile/643f5efb00000000140101c6", "https://www.xiaohongshu.com/user/profile/643f5efb00000000140101c6")</f>
        <v>https://www.xiaohongshu.com/user/profile/643f5efb00000000140101c6</v>
      </c>
      <c r="C876" s="2" t="str">
        <f>=HYPERLINK("https://pgy.xiaohongshu.com/solar/pre-trade/blogger-detail/643f5efb00000000140101c6", "https://pgy.xiaohongshu.com/solar/pre-trade/blogger-detail/643f5efb00000000140101c6")</f>
        <v>https://pgy.xiaohongshu.com/solar/pre-trade/blogger-detail/643f5efb00000000140101c6</v>
      </c>
      <c r="D876" t="inlineStr">
        <is>
          <t>女</t>
        </is>
      </c>
      <c r="E876" t="inlineStr">
        <is>
          <t>5538208939</t>
        </is>
      </c>
      <c r="F876" t="inlineStr">
        <is>
          <t>不烧锅炉</t>
        </is>
      </c>
      <c r="G876" t="inlineStr">
        <is>
          <t>江苏 南京 江宁区</t>
        </is>
      </c>
      <c r="H876" t="inlineStr">
        <is>
          <t>考研过来人, 学生</t>
        </is>
      </c>
      <c r="I876"/>
      <c r="J876">
        <v>3009</v>
      </c>
      <c r="K876" t="inlineStr">
        <is>
          <t>0.3</t>
        </is>
      </c>
      <c r="L876">
        <v>42074</v>
      </c>
      <c r="M876">
        <v>3590</v>
      </c>
      <c r="N876">
        <v>126</v>
      </c>
      <c r="O876">
        <v>400</v>
      </c>
      <c r="P876">
        <v>0</v>
      </c>
      <c r="Q876">
        <v>0</v>
      </c>
      <c r="R876">
        <v>0</v>
      </c>
      <c r="S876">
        <v>0</v>
      </c>
      <c r="T876">
        <v>0</v>
      </c>
      <c r="U876">
        <v>0</v>
      </c>
      <c r="V876">
        <v>300</v>
      </c>
      <c r="W876">
        <v>0</v>
      </c>
      <c r="X876">
        <v>0</v>
      </c>
      <c r="Y876">
        <v>0</v>
      </c>
      <c r="Z876">
        <v>0</v>
      </c>
      <c r="AA876">
        <v>42074</v>
      </c>
      <c r="AB876">
        <v>3590</v>
      </c>
      <c r="AC876">
        <v>106</v>
      </c>
      <c r="AD876">
        <v>1.61</v>
      </c>
      <c r="AE876">
        <v>400</v>
      </c>
      <c r="AF876">
        <v>0</v>
      </c>
      <c r="AG876">
        <v>0</v>
      </c>
      <c r="AH876">
        <v>0.089</v>
      </c>
      <c r="AI876">
        <v>9.51</v>
      </c>
      <c r="AJ876">
        <v>3.17</v>
      </c>
      <c r="AK876">
        <v>0</v>
      </c>
      <c r="AL876">
        <v>0</v>
      </c>
      <c r="AM876">
        <v>0</v>
      </c>
      <c r="AN876">
        <v>0</v>
      </c>
      <c r="AO876">
        <v>0</v>
      </c>
      <c r="AP876">
        <v>0.745</v>
      </c>
      <c r="AQ876">
        <v>0.017</v>
      </c>
      <c r="AR876">
        <v>0.006</v>
      </c>
      <c r="AS876" s="3">
        <v>46107.77516203704</v>
      </c>
    </row>
    <row r="877" ht="25.5" customHeight="1">
      <c r="A877" t="inlineStr">
        <is>
          <t>5c7bef690000000017015788</t>
        </is>
      </c>
      <c r="B877" s="2" t="str">
        <f>=HYPERLINK("https://www.xiaohongshu.com/user/profile/5c7bef690000000017015788", "https://www.xiaohongshu.com/user/profile/5c7bef690000000017015788")</f>
        <v>https://www.xiaohongshu.com/user/profile/5c7bef690000000017015788</v>
      </c>
      <c r="C877" s="2" t="str">
        <f>=HYPERLINK("https://pgy.xiaohongshu.com/solar/pre-trade/blogger-detail/5c7bef690000000017015788", "https://pgy.xiaohongshu.com/solar/pre-trade/blogger-detail/5c7bef690000000017015788")</f>
        <v>https://pgy.xiaohongshu.com/solar/pre-trade/blogger-detail/5c7bef690000000017015788</v>
      </c>
      <c r="D877" t="inlineStr">
        <is>
          <t>女</t>
        </is>
      </c>
      <c r="E877" t="inlineStr">
        <is>
          <t>977822724</t>
        </is>
      </c>
      <c r="F877" t="inlineStr">
        <is>
          <t>饼饼JP</t>
        </is>
      </c>
      <c r="G877" t="inlineStr">
        <is>
          <t>山东 青岛 市北区</t>
        </is>
      </c>
      <c r="H877"/>
      <c r="I877" t="inlineStr">
        <is>
          <t>教育</t>
        </is>
      </c>
      <c r="J877">
        <v>43405</v>
      </c>
      <c r="K877" t="inlineStr">
        <is>
          <t>4.3</t>
        </is>
      </c>
      <c r="L877">
        <v>12964</v>
      </c>
      <c r="M877">
        <v>3999</v>
      </c>
      <c r="N877">
        <v>345</v>
      </c>
      <c r="O877">
        <v>267</v>
      </c>
      <c r="P877">
        <v>0.067</v>
      </c>
      <c r="Q877">
        <v>1</v>
      </c>
      <c r="R877">
        <v>0</v>
      </c>
      <c r="S877">
        <v>0</v>
      </c>
      <c r="T877">
        <v>0</v>
      </c>
      <c r="U877">
        <v>0</v>
      </c>
      <c r="V877">
        <v>267</v>
      </c>
      <c r="W877">
        <v>0</v>
      </c>
      <c r="X877">
        <v>0</v>
      </c>
      <c r="Y877">
        <v>0</v>
      </c>
      <c r="Z877">
        <v>0</v>
      </c>
      <c r="AA877">
        <v>12964</v>
      </c>
      <c r="AB877">
        <v>3999</v>
      </c>
      <c r="AC877">
        <v>324</v>
      </c>
      <c r="AD877">
        <v>0</v>
      </c>
      <c r="AE877">
        <v>0</v>
      </c>
      <c r="AF877">
        <v>1</v>
      </c>
      <c r="AG877">
        <v>0.067</v>
      </c>
      <c r="AH877">
        <v>0.379</v>
      </c>
      <c r="AI877">
        <v>0</v>
      </c>
      <c r="AJ877">
        <v>0</v>
      </c>
      <c r="AK877">
        <v>0</v>
      </c>
      <c r="AL877">
        <v>0</v>
      </c>
      <c r="AM877">
        <v>0</v>
      </c>
      <c r="AN877">
        <v>0</v>
      </c>
      <c r="AO877">
        <v>0</v>
      </c>
      <c r="AP877">
        <v>0.939</v>
      </c>
      <c r="AQ877">
        <v>0.036</v>
      </c>
      <c r="AR877">
        <v>0.013</v>
      </c>
      <c r="AS877" s="3">
        <v>46107.77516203704</v>
      </c>
    </row>
    <row r="878" ht="25.5" customHeight="1">
      <c r="A878" t="inlineStr">
        <is>
          <t>66037741000000000b00e0a1</t>
        </is>
      </c>
      <c r="B878" s="2" t="str">
        <f>=HYPERLINK("https://www.xiaohongshu.com/user/profile/66037741000000000b00e0a1", "https://www.xiaohongshu.com/user/profile/66037741000000000b00e0a1")</f>
        <v>https://www.xiaohongshu.com/user/profile/66037741000000000b00e0a1</v>
      </c>
      <c r="C878" s="2" t="str">
        <f>=HYPERLINK("https://pgy.xiaohongshu.com/solar/pre-trade/blogger-detail/66037741000000000b00e0a1", "https://pgy.xiaohongshu.com/solar/pre-trade/blogger-detail/66037741000000000b00e0a1")</f>
        <v>https://pgy.xiaohongshu.com/solar/pre-trade/blogger-detail/66037741000000000b00e0a1</v>
      </c>
      <c r="D878" t="inlineStr">
        <is>
          <t>男</t>
        </is>
      </c>
      <c r="E878" t="inlineStr">
        <is>
          <t>18042137494</t>
        </is>
      </c>
      <c r="F878" t="inlineStr">
        <is>
          <t>饿了烤地瓜（四六级版）</t>
        </is>
      </c>
      <c r="G878" t="inlineStr">
        <is>
          <t>河南 郑州 金水区</t>
        </is>
      </c>
      <c r="H878"/>
      <c r="I878" t="inlineStr">
        <is>
          <t>教育</t>
        </is>
      </c>
      <c r="J878">
        <v>8337</v>
      </c>
      <c r="K878" t="inlineStr">
        <is>
          <t>0.8</t>
        </is>
      </c>
      <c r="L878">
        <v>32942</v>
      </c>
      <c r="M878">
        <v>7436</v>
      </c>
      <c r="N878">
        <v>1741</v>
      </c>
      <c r="O878">
        <v>200</v>
      </c>
      <c r="P878">
        <v>0.143</v>
      </c>
      <c r="Q878">
        <v>1</v>
      </c>
      <c r="R878">
        <v>32942</v>
      </c>
      <c r="S878">
        <v>7436</v>
      </c>
      <c r="T878">
        <v>1653</v>
      </c>
      <c r="U878">
        <v>0.33</v>
      </c>
      <c r="V878">
        <v>200</v>
      </c>
      <c r="W878">
        <v>1</v>
      </c>
      <c r="X878">
        <v>0.143</v>
      </c>
      <c r="Y878">
        <v>6.07</v>
      </c>
      <c r="Z878">
        <v>0.11</v>
      </c>
      <c r="AA878">
        <v>0</v>
      </c>
      <c r="AB878">
        <v>0</v>
      </c>
      <c r="AC878">
        <v>0</v>
      </c>
      <c r="AD878">
        <v>0</v>
      </c>
      <c r="AE878">
        <v>185</v>
      </c>
      <c r="AF878">
        <v>0</v>
      </c>
      <c r="AG878">
        <v>0</v>
      </c>
      <c r="AH878">
        <v>0</v>
      </c>
      <c r="AI878">
        <v>0</v>
      </c>
      <c r="AJ878">
        <v>0</v>
      </c>
      <c r="AK878">
        <v>0</v>
      </c>
      <c r="AL878">
        <v>0</v>
      </c>
      <c r="AM878">
        <v>0</v>
      </c>
      <c r="AN878">
        <v>0</v>
      </c>
      <c r="AO878">
        <v>0</v>
      </c>
      <c r="AP878">
        <v>0.922</v>
      </c>
      <c r="AQ878">
        <v>0.069</v>
      </c>
      <c r="AR878">
        <v>0.049</v>
      </c>
      <c r="AS878" s="3">
        <v>46107.77516203704</v>
      </c>
    </row>
    <row r="879" ht="25.5" customHeight="1">
      <c r="A879" t="inlineStr">
        <is>
          <t>63ac859d0000000027028ed6</t>
        </is>
      </c>
      <c r="B879" s="2" t="str">
        <f>=HYPERLINK("https://www.xiaohongshu.com/user/profile/63ac859d0000000027028ed6", "https://www.xiaohongshu.com/user/profile/63ac859d0000000027028ed6")</f>
        <v>https://www.xiaohongshu.com/user/profile/63ac859d0000000027028ed6</v>
      </c>
      <c r="C879" s="2" t="str">
        <f>=HYPERLINK("https://pgy.xiaohongshu.com/solar/pre-trade/blogger-detail/63ac859d0000000027028ed6", "https://pgy.xiaohongshu.com/solar/pre-trade/blogger-detail/63ac859d0000000027028ed6")</f>
        <v>https://pgy.xiaohongshu.com/solar/pre-trade/blogger-detail/63ac859d0000000027028ed6</v>
      </c>
      <c r="D879" t="inlineStr">
        <is>
          <t>女</t>
        </is>
      </c>
      <c r="E879" t="inlineStr">
        <is>
          <t>6736156357</t>
        </is>
      </c>
      <c r="F879" t="inlineStr">
        <is>
          <t>coconut英语课堂</t>
        </is>
      </c>
      <c r="G879" t="inlineStr">
        <is>
          <t>湖北 武汉 东西湖区</t>
        </is>
      </c>
      <c r="H879"/>
      <c r="I879" t="inlineStr">
        <is>
          <t>教育</t>
        </is>
      </c>
      <c r="J879">
        <v>9434</v>
      </c>
      <c r="K879" t="inlineStr">
        <is>
          <t>0.9</t>
        </is>
      </c>
      <c r="L879">
        <v>8114</v>
      </c>
      <c r="M879">
        <v>755</v>
      </c>
      <c r="N879">
        <v>140</v>
      </c>
      <c r="O879">
        <v>145</v>
      </c>
      <c r="P879">
        <v>0</v>
      </c>
      <c r="Q879">
        <v>0.276</v>
      </c>
      <c r="R879">
        <v>8241</v>
      </c>
      <c r="S879">
        <v>787</v>
      </c>
      <c r="T879">
        <v>113</v>
      </c>
      <c r="U879">
        <v>0.48</v>
      </c>
      <c r="V879">
        <v>145</v>
      </c>
      <c r="W879">
        <v>0.286</v>
      </c>
      <c r="X879">
        <v>0</v>
      </c>
      <c r="Y879">
        <v>17.59</v>
      </c>
      <c r="Z879">
        <v>0.99</v>
      </c>
      <c r="AA879">
        <v>2837</v>
      </c>
      <c r="AB879">
        <v>310</v>
      </c>
      <c r="AC879">
        <v>21</v>
      </c>
      <c r="AD879">
        <v>3.11</v>
      </c>
      <c r="AE879">
        <v>500</v>
      </c>
      <c r="AF879">
        <v>0</v>
      </c>
      <c r="AG879">
        <v>0</v>
      </c>
      <c r="AH879">
        <v>0.061</v>
      </c>
      <c r="AI879">
        <v>176.24</v>
      </c>
      <c r="AJ879">
        <v>20.83</v>
      </c>
      <c r="AK879">
        <v>0</v>
      </c>
      <c r="AL879">
        <v>0</v>
      </c>
      <c r="AM879">
        <v>0</v>
      </c>
      <c r="AN879">
        <v>0</v>
      </c>
      <c r="AO879">
        <v>0</v>
      </c>
      <c r="AP879">
        <v>0.991</v>
      </c>
      <c r="AQ879">
        <v>0.17</v>
      </c>
      <c r="AR879">
        <v>0.409</v>
      </c>
      <c r="AS879" s="3">
        <v>46107.77516203704</v>
      </c>
    </row>
    <row r="880" ht="25.5" customHeight="1">
      <c r="A880" t="inlineStr">
        <is>
          <t>68184f23000000000801407a</t>
        </is>
      </c>
      <c r="B880" s="2" t="str">
        <f>=HYPERLINK("https://www.xiaohongshu.com/user/profile/68184f23000000000801407a", "https://www.xiaohongshu.com/user/profile/68184f23000000000801407a")</f>
        <v>https://www.xiaohongshu.com/user/profile/68184f23000000000801407a</v>
      </c>
      <c r="C880" s="2" t="str">
        <f>=HYPERLINK("https://pgy.xiaohongshu.com/solar/pre-trade/blogger-detail/68184f23000000000801407a", "https://pgy.xiaohongshu.com/solar/pre-trade/blogger-detail/68184f23000000000801407a")</f>
        <v>https://pgy.xiaohongshu.com/solar/pre-trade/blogger-detail/68184f23000000000801407a</v>
      </c>
      <c r="D880" t="inlineStr">
        <is>
          <t>女</t>
        </is>
      </c>
      <c r="E880" t="inlineStr">
        <is>
          <t>qisili060303</t>
        </is>
      </c>
      <c r="F880" t="inlineStr">
        <is>
          <t>煲包仔</t>
        </is>
      </c>
      <c r="G880" t="inlineStr">
        <is>
          <t>广东 江门 蓬江区</t>
        </is>
      </c>
      <c r="H880"/>
      <c r="I880" t="inlineStr">
        <is>
          <t>教育</t>
        </is>
      </c>
      <c r="J880">
        <v>4645</v>
      </c>
      <c r="K880" t="inlineStr">
        <is>
          <t>0.5</t>
        </is>
      </c>
      <c r="L880">
        <v>1208</v>
      </c>
      <c r="M880">
        <v>646</v>
      </c>
      <c r="N880">
        <v>104</v>
      </c>
      <c r="O880">
        <v>150</v>
      </c>
      <c r="P880">
        <v>0</v>
      </c>
      <c r="Q880">
        <v>0</v>
      </c>
      <c r="R880">
        <v>0</v>
      </c>
      <c r="S880">
        <v>0</v>
      </c>
      <c r="T880">
        <v>0</v>
      </c>
      <c r="U880">
        <v>4.3</v>
      </c>
      <c r="V880">
        <v>150</v>
      </c>
      <c r="W880">
        <v>0</v>
      </c>
      <c r="X880">
        <v>0</v>
      </c>
      <c r="Y880">
        <v>233.1</v>
      </c>
      <c r="Z880">
        <v>60</v>
      </c>
      <c r="AA880">
        <v>1440</v>
      </c>
      <c r="AB880">
        <v>773</v>
      </c>
      <c r="AC880">
        <v>79</v>
      </c>
      <c r="AD880">
        <v>1.73</v>
      </c>
      <c r="AE880">
        <v>178</v>
      </c>
      <c r="AF880">
        <v>0</v>
      </c>
      <c r="AG880">
        <v>0</v>
      </c>
      <c r="AH880">
        <v>0.071</v>
      </c>
      <c r="AI880">
        <v>123.61</v>
      </c>
      <c r="AJ880">
        <v>1.47</v>
      </c>
      <c r="AK880">
        <v>358</v>
      </c>
      <c r="AL880">
        <v>21</v>
      </c>
      <c r="AM880">
        <v>1</v>
      </c>
      <c r="AN880">
        <v>0</v>
      </c>
      <c r="AO880">
        <v>0</v>
      </c>
      <c r="AP880">
        <v>0.929</v>
      </c>
      <c r="AQ880">
        <v>0.024</v>
      </c>
      <c r="AR880">
        <v>0.032</v>
      </c>
      <c r="AS880" s="3">
        <v>46107.77516203704</v>
      </c>
    </row>
    <row r="881" ht="25.5" customHeight="1">
      <c r="A881" t="inlineStr">
        <is>
          <t>63f3a6d1000000001001f266</t>
        </is>
      </c>
      <c r="B881" s="2" t="str">
        <f>=HYPERLINK("https://www.xiaohongshu.com/user/profile/63f3a6d1000000001001f266", "https://www.xiaohongshu.com/user/profile/63f3a6d1000000001001f266")</f>
        <v>https://www.xiaohongshu.com/user/profile/63f3a6d1000000001001f266</v>
      </c>
      <c r="C881" s="2" t="str">
        <f>=HYPERLINK("https://pgy.xiaohongshu.com/solar/pre-trade/blogger-detail/63f3a6d1000000001001f266", "https://pgy.xiaohongshu.com/solar/pre-trade/blogger-detail/63f3a6d1000000001001f266")</f>
        <v>https://pgy.xiaohongshu.com/solar/pre-trade/blogger-detail/63f3a6d1000000001001f266</v>
      </c>
      <c r="D881" t="inlineStr">
        <is>
          <t>男</t>
        </is>
      </c>
      <c r="E881" t="inlineStr">
        <is>
          <t>6114000014</t>
        </is>
      </c>
      <c r="F881" t="inlineStr">
        <is>
          <t>栗栗熊</t>
        </is>
      </c>
      <c r="G881" t="inlineStr">
        <is>
          <t>青海 西宁 城西区</t>
        </is>
      </c>
      <c r="H881"/>
      <c r="I881" t="inlineStr">
        <is>
          <t>教育</t>
        </is>
      </c>
      <c r="J881">
        <v>3489</v>
      </c>
      <c r="K881" t="inlineStr">
        <is>
          <t>0.3</t>
        </is>
      </c>
      <c r="L881">
        <v>20684</v>
      </c>
      <c r="M881">
        <v>4366</v>
      </c>
      <c r="N881">
        <v>694</v>
      </c>
      <c r="O881">
        <v>200</v>
      </c>
      <c r="P881">
        <v>0</v>
      </c>
      <c r="Q881">
        <v>1</v>
      </c>
      <c r="R881">
        <v>20684</v>
      </c>
      <c r="S881">
        <v>4366</v>
      </c>
      <c r="T881">
        <v>693</v>
      </c>
      <c r="U881">
        <v>0.35</v>
      </c>
      <c r="V881">
        <v>200</v>
      </c>
      <c r="W881">
        <v>1</v>
      </c>
      <c r="X881">
        <v>0</v>
      </c>
      <c r="Y881">
        <v>9.67</v>
      </c>
      <c r="Z881">
        <v>0.29</v>
      </c>
      <c r="AA881">
        <v>0</v>
      </c>
      <c r="AB881">
        <v>0</v>
      </c>
      <c r="AC881">
        <v>0</v>
      </c>
      <c r="AD881">
        <v>0</v>
      </c>
      <c r="AE881">
        <v>400</v>
      </c>
      <c r="AF881">
        <v>0</v>
      </c>
      <c r="AG881">
        <v>0</v>
      </c>
      <c r="AH881">
        <v>0</v>
      </c>
      <c r="AI881">
        <v>0</v>
      </c>
      <c r="AJ881">
        <v>0</v>
      </c>
      <c r="AK881">
        <v>0</v>
      </c>
      <c r="AL881">
        <v>0</v>
      </c>
      <c r="AM881">
        <v>0</v>
      </c>
      <c r="AN881">
        <v>0</v>
      </c>
      <c r="AO881">
        <v>0</v>
      </c>
      <c r="AP881">
        <v>0.848</v>
      </c>
      <c r="AQ881">
        <v>0.013</v>
      </c>
      <c r="AR881">
        <v>0.002</v>
      </c>
      <c r="AS881" s="3">
        <v>46107.77538194445</v>
      </c>
    </row>
    <row r="882" ht="25.5" customHeight="1">
      <c r="A882" t="inlineStr">
        <is>
          <t>60df3d340000000001008b1e</t>
        </is>
      </c>
      <c r="B882" s="2" t="str">
        <f>=HYPERLINK("https://www.xiaohongshu.com/user/profile/60df3d340000000001008b1e", "https://www.xiaohongshu.com/user/profile/60df3d340000000001008b1e")</f>
        <v>https://www.xiaohongshu.com/user/profile/60df3d340000000001008b1e</v>
      </c>
      <c r="C882" s="2" t="str">
        <f>=HYPERLINK("https://pgy.xiaohongshu.com/solar/pre-trade/blogger-detail/60df3d340000000001008b1e", "https://pgy.xiaohongshu.com/solar/pre-trade/blogger-detail/60df3d340000000001008b1e")</f>
        <v>https://pgy.xiaohongshu.com/solar/pre-trade/blogger-detail/60df3d340000000001008b1e</v>
      </c>
      <c r="D882" t="inlineStr">
        <is>
          <t>女</t>
        </is>
      </c>
      <c r="E882" t="inlineStr">
        <is>
          <t>4298393598</t>
        </is>
      </c>
      <c r="F882" t="inlineStr">
        <is>
          <t>刘小瓜吼🍉</t>
        </is>
      </c>
      <c r="G882" t="inlineStr">
        <is>
          <t>中国 香港</t>
        </is>
      </c>
      <c r="H882" t="inlineStr">
        <is>
          <t>留学背景, 学生</t>
        </is>
      </c>
      <c r="I882" t="inlineStr">
        <is>
          <t>出行旅游, 教育</t>
        </is>
      </c>
      <c r="J882">
        <v>7065</v>
      </c>
      <c r="K882" t="inlineStr">
        <is>
          <t>0.7</t>
        </is>
      </c>
      <c r="L882">
        <v>10171</v>
      </c>
      <c r="M882">
        <v>1789</v>
      </c>
      <c r="N882">
        <v>153</v>
      </c>
      <c r="O882">
        <v>1648</v>
      </c>
      <c r="P882">
        <v>0</v>
      </c>
      <c r="Q882">
        <v>0.166999999999999</v>
      </c>
      <c r="R882">
        <v>21442</v>
      </c>
      <c r="S882">
        <v>2559</v>
      </c>
      <c r="T882">
        <v>165</v>
      </c>
      <c r="U882">
        <v>0.94</v>
      </c>
      <c r="V882">
        <v>1648</v>
      </c>
      <c r="W882">
        <v>0.25</v>
      </c>
      <c r="X882">
        <v>0</v>
      </c>
      <c r="Y882">
        <v>76.86</v>
      </c>
      <c r="Z882">
        <v>8.86</v>
      </c>
      <c r="AA882">
        <v>3543</v>
      </c>
      <c r="AB882">
        <v>663</v>
      </c>
      <c r="AC882">
        <v>92</v>
      </c>
      <c r="AD882">
        <v>5.01</v>
      </c>
      <c r="AE882">
        <v>2328</v>
      </c>
      <c r="AF882">
        <v>0</v>
      </c>
      <c r="AG882">
        <v>0</v>
      </c>
      <c r="AH882">
        <v>0.181</v>
      </c>
      <c r="AI882">
        <v>656.98</v>
      </c>
      <c r="AJ882">
        <v>21.26</v>
      </c>
      <c r="AK882">
        <v>0</v>
      </c>
      <c r="AL882">
        <v>0</v>
      </c>
      <c r="AM882">
        <v>0</v>
      </c>
      <c r="AN882">
        <v>0</v>
      </c>
      <c r="AO882">
        <v>0</v>
      </c>
      <c r="AP882">
        <v>0.511</v>
      </c>
      <c r="AQ882">
        <v>0.0279999999999999</v>
      </c>
      <c r="AR882">
        <v>0.023</v>
      </c>
      <c r="AS882" s="3">
        <v>46107.77538194445</v>
      </c>
    </row>
    <row r="883" ht="25.5" customHeight="1">
      <c r="A883" t="inlineStr">
        <is>
          <t>5ac175fb4eacab14e127ffe9</t>
        </is>
      </c>
      <c r="B883" s="2" t="str">
        <f>=HYPERLINK("https://www.xiaohongshu.com/user/profile/5ac175fb4eacab14e127ffe9", "https://www.xiaohongshu.com/user/profile/5ac175fb4eacab14e127ffe9")</f>
        <v>https://www.xiaohongshu.com/user/profile/5ac175fb4eacab14e127ffe9</v>
      </c>
      <c r="C883" s="2" t="str">
        <f>=HYPERLINK("https://pgy.xiaohongshu.com/solar/pre-trade/blogger-detail/5ac175fb4eacab14e127ffe9", "https://pgy.xiaohongshu.com/solar/pre-trade/blogger-detail/5ac175fb4eacab14e127ffe9")</f>
        <v>https://pgy.xiaohongshu.com/solar/pre-trade/blogger-detail/5ac175fb4eacab14e127ffe9</v>
      </c>
      <c r="D883" t="inlineStr">
        <is>
          <t>男</t>
        </is>
      </c>
      <c r="E883" t="inlineStr">
        <is>
          <t>423075716</t>
        </is>
      </c>
      <c r="F883" t="inlineStr">
        <is>
          <t>叶林oldyelin</t>
        </is>
      </c>
      <c r="G883" t="inlineStr">
        <is>
          <t>日本</t>
        </is>
      </c>
      <c r="H883" t="inlineStr">
        <is>
          <t>留学背景, 摄影师, 导演</t>
        </is>
      </c>
      <c r="I883" t="inlineStr">
        <is>
          <t>摄影, 教育</t>
        </is>
      </c>
      <c r="J883">
        <v>4115</v>
      </c>
      <c r="K883" t="inlineStr">
        <is>
          <t>0.4</t>
        </is>
      </c>
      <c r="L883">
        <v>17199</v>
      </c>
      <c r="M883">
        <v>3037</v>
      </c>
      <c r="N883">
        <v>187</v>
      </c>
      <c r="O883">
        <v>411</v>
      </c>
      <c r="P883">
        <v>0.111</v>
      </c>
      <c r="Q883">
        <v>0.778</v>
      </c>
      <c r="R883">
        <v>10574</v>
      </c>
      <c r="S883">
        <v>1623</v>
      </c>
      <c r="T883">
        <v>47</v>
      </c>
      <c r="U883">
        <v>0.55</v>
      </c>
      <c r="V883">
        <v>411</v>
      </c>
      <c r="W883">
        <v>0</v>
      </c>
      <c r="X883">
        <v>0</v>
      </c>
      <c r="Y883">
        <v>38.87</v>
      </c>
      <c r="Z883">
        <v>8.06</v>
      </c>
      <c r="AA883">
        <v>17548</v>
      </c>
      <c r="AB883">
        <v>3679</v>
      </c>
      <c r="AC883">
        <v>172</v>
      </c>
      <c r="AD883">
        <v>1.77</v>
      </c>
      <c r="AE883">
        <v>1000</v>
      </c>
      <c r="AF883">
        <v>0.875</v>
      </c>
      <c r="AG883">
        <v>0.125</v>
      </c>
      <c r="AH883">
        <v>0.149</v>
      </c>
      <c r="AI883">
        <v>56.99</v>
      </c>
      <c r="AJ883">
        <v>4.43</v>
      </c>
      <c r="AK883">
        <v>0</v>
      </c>
      <c r="AL883">
        <v>0</v>
      </c>
      <c r="AM883">
        <v>0</v>
      </c>
      <c r="AN883">
        <v>0</v>
      </c>
      <c r="AO883">
        <v>0</v>
      </c>
      <c r="AP883">
        <v>0.953</v>
      </c>
      <c r="AQ883">
        <v>0.315</v>
      </c>
      <c r="AR883">
        <v>1.281</v>
      </c>
      <c r="AS883" s="3">
        <v>46107.77538194445</v>
      </c>
    </row>
    <row r="884" ht="25.5" customHeight="1">
      <c r="A884" t="inlineStr">
        <is>
          <t>5f11b3ce0000000001003db4</t>
        </is>
      </c>
      <c r="B884" s="2" t="str">
        <f>=HYPERLINK("https://www.xiaohongshu.com/user/profile/5f11b3ce0000000001003db4", "https://www.xiaohongshu.com/user/profile/5f11b3ce0000000001003db4")</f>
        <v>https://www.xiaohongshu.com/user/profile/5f11b3ce0000000001003db4</v>
      </c>
      <c r="C884" s="2" t="str">
        <f>=HYPERLINK("https://pgy.xiaohongshu.com/solar/pre-trade/blogger-detail/5f11b3ce0000000001003db4", "https://pgy.xiaohongshu.com/solar/pre-trade/blogger-detail/5f11b3ce0000000001003db4")</f>
        <v>https://pgy.xiaohongshu.com/solar/pre-trade/blogger-detail/5f11b3ce0000000001003db4</v>
      </c>
      <c r="D884" t="inlineStr">
        <is>
          <t>女</t>
        </is>
      </c>
      <c r="E884" t="inlineStr">
        <is>
          <t>407971771</t>
        </is>
      </c>
      <c r="F884" t="inlineStr">
        <is>
          <t>a小韩（爱学习版</t>
        </is>
      </c>
      <c r="G884" t="inlineStr">
        <is>
          <t>海南 海口 美兰区</t>
        </is>
      </c>
      <c r="H884" t="inlineStr">
        <is>
          <t>学生</t>
        </is>
      </c>
      <c r="I884" t="inlineStr">
        <is>
          <t>兴趣爱好, 教育</t>
        </is>
      </c>
      <c r="J884">
        <v>2179</v>
      </c>
      <c r="K884" t="inlineStr">
        <is>
          <t>0.2</t>
        </is>
      </c>
      <c r="L884">
        <v>9390</v>
      </c>
      <c r="M884">
        <v>2702</v>
      </c>
      <c r="N884">
        <v>254</v>
      </c>
      <c r="O884">
        <v>106</v>
      </c>
      <c r="P884">
        <v>0</v>
      </c>
      <c r="Q884">
        <v>1</v>
      </c>
      <c r="R884">
        <v>0</v>
      </c>
      <c r="S884">
        <v>0</v>
      </c>
      <c r="T884">
        <v>0</v>
      </c>
      <c r="U884">
        <v>0</v>
      </c>
      <c r="V884">
        <v>106</v>
      </c>
      <c r="W884">
        <v>0</v>
      </c>
      <c r="X884">
        <v>0</v>
      </c>
      <c r="Y884">
        <v>0</v>
      </c>
      <c r="Z884">
        <v>0</v>
      </c>
      <c r="AA884">
        <v>9390</v>
      </c>
      <c r="AB884">
        <v>2702</v>
      </c>
      <c r="AC884">
        <v>234</v>
      </c>
      <c r="AD884">
        <v>1.58</v>
      </c>
      <c r="AE884">
        <v>220</v>
      </c>
      <c r="AF884">
        <v>1</v>
      </c>
      <c r="AG884">
        <v>0</v>
      </c>
      <c r="AH884">
        <v>0.05</v>
      </c>
      <c r="AI884">
        <v>23.43</v>
      </c>
      <c r="AJ884">
        <v>0.87</v>
      </c>
      <c r="AK884">
        <v>0</v>
      </c>
      <c r="AL884">
        <v>0</v>
      </c>
      <c r="AM884">
        <v>0</v>
      </c>
      <c r="AN884">
        <v>0</v>
      </c>
      <c r="AO884">
        <v>0</v>
      </c>
      <c r="AP884">
        <v>0.977</v>
      </c>
      <c r="AQ884">
        <v>0.125</v>
      </c>
      <c r="AR884">
        <v>0</v>
      </c>
      <c r="AS884" s="3">
        <v>46107.77538194445</v>
      </c>
    </row>
    <row r="885" ht="25.5" customHeight="1">
      <c r="A885" t="inlineStr">
        <is>
          <t>59a4304bb1da141279a51812</t>
        </is>
      </c>
      <c r="B885" s="2" t="str">
        <f>=HYPERLINK("https://www.xiaohongshu.com/user/profile/59a4304bb1da141279a51812", "https://www.xiaohongshu.com/user/profile/59a4304bb1da141279a51812")</f>
        <v>https://www.xiaohongshu.com/user/profile/59a4304bb1da141279a51812</v>
      </c>
      <c r="C885" s="2" t="str">
        <f>=HYPERLINK("https://pgy.xiaohongshu.com/solar/pre-trade/blogger-detail/59a4304bb1da141279a51812", "https://pgy.xiaohongshu.com/solar/pre-trade/blogger-detail/59a4304bb1da141279a51812")</f>
        <v>https://pgy.xiaohongshu.com/solar/pre-trade/blogger-detail/59a4304bb1da141279a51812</v>
      </c>
      <c r="D885" t="inlineStr">
        <is>
          <t>女</t>
        </is>
      </c>
      <c r="E885" t="inlineStr">
        <is>
          <t>951577197</t>
        </is>
      </c>
      <c r="F885" t="inlineStr">
        <is>
          <t>Selena</t>
        </is>
      </c>
      <c r="G885" t="inlineStr">
        <is>
          <t>美国</t>
        </is>
      </c>
      <c r="H885"/>
      <c r="I885" t="inlineStr">
        <is>
          <t>出行旅游, 教育</t>
        </is>
      </c>
      <c r="J885">
        <v>6931</v>
      </c>
      <c r="K885" t="inlineStr">
        <is>
          <t>0.7</t>
        </is>
      </c>
      <c r="L885">
        <v>12063</v>
      </c>
      <c r="M885">
        <v>2653</v>
      </c>
      <c r="N885">
        <v>184</v>
      </c>
      <c r="O885">
        <v>888</v>
      </c>
      <c r="P885">
        <v>0.222</v>
      </c>
      <c r="Q885">
        <v>0.667</v>
      </c>
      <c r="R885">
        <v>10687</v>
      </c>
      <c r="S885">
        <v>1526</v>
      </c>
      <c r="T885">
        <v>102</v>
      </c>
      <c r="U885">
        <v>0.88</v>
      </c>
      <c r="V885">
        <v>888</v>
      </c>
      <c r="W885">
        <v>0</v>
      </c>
      <c r="X885">
        <v>0</v>
      </c>
      <c r="Y885">
        <v>83.09</v>
      </c>
      <c r="Z885">
        <v>7.86</v>
      </c>
      <c r="AA885">
        <v>15303</v>
      </c>
      <c r="AB885">
        <v>3006</v>
      </c>
      <c r="AC885">
        <v>234</v>
      </c>
      <c r="AD885">
        <v>2.1</v>
      </c>
      <c r="AE885">
        <v>1800</v>
      </c>
      <c r="AF885">
        <v>0.75</v>
      </c>
      <c r="AG885">
        <v>0.25</v>
      </c>
      <c r="AH885">
        <v>0.0969999999999999</v>
      </c>
      <c r="AI885">
        <v>117.62</v>
      </c>
      <c r="AJ885">
        <v>6.81</v>
      </c>
      <c r="AK885">
        <v>0</v>
      </c>
      <c r="AL885">
        <v>0</v>
      </c>
      <c r="AM885">
        <v>0</v>
      </c>
      <c r="AN885">
        <v>0</v>
      </c>
      <c r="AO885">
        <v>0</v>
      </c>
      <c r="AP885">
        <v>0.955</v>
      </c>
      <c r="AQ885">
        <v>0.158</v>
      </c>
      <c r="AR885">
        <v>0.341</v>
      </c>
      <c r="AS885" s="3">
        <v>46107.77538194445</v>
      </c>
    </row>
    <row r="886" ht="25.5" customHeight="1">
      <c r="A886" t="inlineStr">
        <is>
          <t>59e4d595e8ac2b07029dd999</t>
        </is>
      </c>
      <c r="B886" s="2" t="str">
        <f>=HYPERLINK("https://www.xiaohongshu.com/user/profile/59e4d595e8ac2b07029dd999", "https://www.xiaohongshu.com/user/profile/59e4d595e8ac2b07029dd999")</f>
        <v>https://www.xiaohongshu.com/user/profile/59e4d595e8ac2b07029dd999</v>
      </c>
      <c r="C886" s="2" t="str">
        <f>=HYPERLINK("https://pgy.xiaohongshu.com/solar/pre-trade/blogger-detail/59e4d595e8ac2b07029dd999", "https://pgy.xiaohongshu.com/solar/pre-trade/blogger-detail/59e4d595e8ac2b07029dd999")</f>
        <v>https://pgy.xiaohongshu.com/solar/pre-trade/blogger-detail/59e4d595e8ac2b07029dd999</v>
      </c>
      <c r="D886" t="inlineStr">
        <is>
          <t>女</t>
        </is>
      </c>
      <c r="E886" t="inlineStr">
        <is>
          <t>liuyuqing990831</t>
        </is>
      </c>
      <c r="F886" t="inlineStr">
        <is>
          <t>刘雨晴Esme</t>
        </is>
      </c>
      <c r="G886" t="inlineStr">
        <is>
          <t>中国 香港</t>
        </is>
      </c>
      <c r="H886" t="inlineStr">
        <is>
          <t>学生, 真人秀嘉宾</t>
        </is>
      </c>
      <c r="I886" t="inlineStr">
        <is>
          <t>出行旅游</t>
        </is>
      </c>
      <c r="J886">
        <v>9121</v>
      </c>
      <c r="K886" t="inlineStr">
        <is>
          <t>0.9</t>
        </is>
      </c>
      <c r="L886">
        <v>23052</v>
      </c>
      <c r="M886">
        <v>3934</v>
      </c>
      <c r="N886">
        <v>853</v>
      </c>
      <c r="O886">
        <v>1000</v>
      </c>
      <c r="P886">
        <v>0</v>
      </c>
      <c r="Q886">
        <v>1</v>
      </c>
      <c r="R886">
        <v>23052</v>
      </c>
      <c r="S886">
        <v>3934</v>
      </c>
      <c r="T886">
        <v>778</v>
      </c>
      <c r="U886">
        <v>0.63</v>
      </c>
      <c r="V886">
        <v>1000</v>
      </c>
      <c r="W886">
        <v>1</v>
      </c>
      <c r="X886">
        <v>0</v>
      </c>
      <c r="Y886">
        <v>47.53</v>
      </c>
      <c r="Z886">
        <v>1.1</v>
      </c>
      <c r="AA886">
        <v>51793</v>
      </c>
      <c r="AB886">
        <v>8247</v>
      </c>
      <c r="AC886">
        <v>451</v>
      </c>
      <c r="AD886">
        <v>1.67</v>
      </c>
      <c r="AE886">
        <v>1400</v>
      </c>
      <c r="AF886">
        <v>1</v>
      </c>
      <c r="AG886">
        <v>0</v>
      </c>
      <c r="AH886">
        <v>0.238</v>
      </c>
      <c r="AI886">
        <v>27.03</v>
      </c>
      <c r="AJ886">
        <v>2.75</v>
      </c>
      <c r="AK886">
        <v>10293</v>
      </c>
      <c r="AL886">
        <v>1727</v>
      </c>
      <c r="AM886">
        <v>115</v>
      </c>
      <c r="AN886">
        <v>494</v>
      </c>
      <c r="AO886">
        <v>2.23</v>
      </c>
      <c r="AP886">
        <v>0.685</v>
      </c>
      <c r="AQ886">
        <v>0.067</v>
      </c>
      <c r="AR886">
        <v>0.115</v>
      </c>
      <c r="AS886" s="3">
        <v>46107.77538194445</v>
      </c>
    </row>
    <row r="887" ht="25.5" customHeight="1">
      <c r="A887" t="inlineStr">
        <is>
          <t>5a94e67de8ac2b2bed6a6729</t>
        </is>
      </c>
      <c r="B887" s="2" t="str">
        <f>=HYPERLINK("https://www.xiaohongshu.com/user/profile/5a94e67de8ac2b2bed6a6729", "https://www.xiaohongshu.com/user/profile/5a94e67de8ac2b2bed6a6729")</f>
        <v>https://www.xiaohongshu.com/user/profile/5a94e67de8ac2b2bed6a6729</v>
      </c>
      <c r="C887" s="2" t="str">
        <f>=HYPERLINK("https://pgy.xiaohongshu.com/solar/pre-trade/blogger-detail/5a94e67de8ac2b2bed6a6729", "https://pgy.xiaohongshu.com/solar/pre-trade/blogger-detail/5a94e67de8ac2b2bed6a6729")</f>
        <v>https://pgy.xiaohongshu.com/solar/pre-trade/blogger-detail/5a94e67de8ac2b2bed6a6729</v>
      </c>
      <c r="D887" t="inlineStr">
        <is>
          <t>女</t>
        </is>
      </c>
      <c r="E887" t="inlineStr">
        <is>
          <t>littleyu98</t>
        </is>
      </c>
      <c r="F887" t="inlineStr">
        <is>
          <t>小鱼同学UAU</t>
        </is>
      </c>
      <c r="G887" t="inlineStr">
        <is>
          <t>韩国</t>
        </is>
      </c>
      <c r="H887" t="inlineStr">
        <is>
          <t>留学背景, 海外华人, 学生</t>
        </is>
      </c>
      <c r="I887" t="inlineStr">
        <is>
          <t>教育, 出行旅游, 生活记录</t>
        </is>
      </c>
      <c r="J887">
        <v>426327</v>
      </c>
      <c r="K887" t="inlineStr">
        <is>
          <t>42.6</t>
        </is>
      </c>
      <c r="L887">
        <v>256588</v>
      </c>
      <c r="M887">
        <v>72761</v>
      </c>
      <c r="N887">
        <v>6054</v>
      </c>
      <c r="O887">
        <v>35000</v>
      </c>
      <c r="P887">
        <v>0.818</v>
      </c>
      <c r="Q887">
        <v>0.818</v>
      </c>
      <c r="R887">
        <v>0</v>
      </c>
      <c r="S887">
        <v>0</v>
      </c>
      <c r="T887">
        <v>0</v>
      </c>
      <c r="U887">
        <v>0</v>
      </c>
      <c r="V887">
        <v>35000</v>
      </c>
      <c r="W887">
        <v>0</v>
      </c>
      <c r="X887">
        <v>0</v>
      </c>
      <c r="Y887">
        <v>0</v>
      </c>
      <c r="Z887">
        <v>0</v>
      </c>
      <c r="AA887">
        <v>256588</v>
      </c>
      <c r="AB887">
        <v>72761</v>
      </c>
      <c r="AC887">
        <v>5821</v>
      </c>
      <c r="AD887">
        <v>2.05</v>
      </c>
      <c r="AE887">
        <v>40000</v>
      </c>
      <c r="AF887">
        <v>0.818</v>
      </c>
      <c r="AG887">
        <v>0.818</v>
      </c>
      <c r="AH887">
        <v>0.133</v>
      </c>
      <c r="AI887">
        <v>132.55</v>
      </c>
      <c r="AJ887">
        <v>5.98</v>
      </c>
      <c r="AK887">
        <v>372640</v>
      </c>
      <c r="AL887">
        <v>68850</v>
      </c>
      <c r="AM887">
        <v>5751</v>
      </c>
      <c r="AN887">
        <v>0</v>
      </c>
      <c r="AO887">
        <v>0</v>
      </c>
      <c r="AP887">
        <v>0.729</v>
      </c>
      <c r="AQ887">
        <v>0.071</v>
      </c>
      <c r="AR887">
        <v>0.006</v>
      </c>
      <c r="AS887" s="3">
        <v>46107.77538194445</v>
      </c>
    </row>
    <row r="888" ht="25.5" customHeight="1">
      <c r="A888" t="inlineStr">
        <is>
          <t>6715964b000000001d0232d9</t>
        </is>
      </c>
      <c r="B888" s="2" t="str">
        <f>=HYPERLINK("https://www.xiaohongshu.com/user/profile/6715964b000000001d0232d9", "https://www.xiaohongshu.com/user/profile/6715964b000000001d0232d9")</f>
        <v>https://www.xiaohongshu.com/user/profile/6715964b000000001d0232d9</v>
      </c>
      <c r="C888" s="2" t="str">
        <f>=HYPERLINK("https://pgy.xiaohongshu.com/solar/pre-trade/blogger-detail/6715964b000000001d0232d9", "https://pgy.xiaohongshu.com/solar/pre-trade/blogger-detail/6715964b000000001d0232d9")</f>
        <v>https://pgy.xiaohongshu.com/solar/pre-trade/blogger-detail/6715964b000000001d0232d9</v>
      </c>
      <c r="D888" t="inlineStr">
        <is>
          <t>男</t>
        </is>
      </c>
      <c r="E888" t="inlineStr">
        <is>
          <t>95655969436</t>
        </is>
      </c>
      <c r="F888" t="inlineStr">
        <is>
          <t>三十六大</t>
        </is>
      </c>
      <c r="G888" t="inlineStr">
        <is>
          <t>巴基斯坦</t>
        </is>
      </c>
      <c r="H888" t="inlineStr">
        <is>
          <t>学生, 留学背景</t>
        </is>
      </c>
      <c r="I888" t="inlineStr">
        <is>
          <t>教育</t>
        </is>
      </c>
      <c r="J888">
        <v>2018</v>
      </c>
      <c r="K888" t="inlineStr">
        <is>
          <t>0.2</t>
        </is>
      </c>
      <c r="L888">
        <v>4398</v>
      </c>
      <c r="M888">
        <v>930</v>
      </c>
      <c r="N888">
        <v>129</v>
      </c>
      <c r="O888">
        <v>500</v>
      </c>
      <c r="P888">
        <v>0</v>
      </c>
      <c r="Q888">
        <v>0.4</v>
      </c>
      <c r="R888">
        <v>1290</v>
      </c>
      <c r="S888">
        <v>182</v>
      </c>
      <c r="T888">
        <v>17</v>
      </c>
      <c r="U888">
        <v>3.05</v>
      </c>
      <c r="V888">
        <v>500</v>
      </c>
      <c r="W888">
        <v>0</v>
      </c>
      <c r="X888">
        <v>0</v>
      </c>
      <c r="Y888">
        <v>387.6</v>
      </c>
      <c r="Z888">
        <v>22.73</v>
      </c>
      <c r="AA888">
        <v>5172</v>
      </c>
      <c r="AB888">
        <v>1401</v>
      </c>
      <c r="AC888">
        <v>121</v>
      </c>
      <c r="AD888">
        <v>2.07</v>
      </c>
      <c r="AE888">
        <v>800</v>
      </c>
      <c r="AF888">
        <v>0.5</v>
      </c>
      <c r="AG888">
        <v>0</v>
      </c>
      <c r="AH888">
        <v>0.273</v>
      </c>
      <c r="AI888">
        <v>154.68</v>
      </c>
      <c r="AJ888">
        <v>4.78</v>
      </c>
      <c r="AK888">
        <v>0</v>
      </c>
      <c r="AL888">
        <v>0</v>
      </c>
      <c r="AM888">
        <v>0</v>
      </c>
      <c r="AN888">
        <v>0</v>
      </c>
      <c r="AO888">
        <v>0</v>
      </c>
      <c r="AP888">
        <v>0.930999999999999</v>
      </c>
      <c r="AQ888">
        <v>0.08</v>
      </c>
      <c r="AR888">
        <v>0.094</v>
      </c>
      <c r="AS888" s="3">
        <v>46107.77538194445</v>
      </c>
    </row>
    <row r="889" ht="25.5" customHeight="1">
      <c r="A889" t="inlineStr">
        <is>
          <t>6718f9ed000000001d033901</t>
        </is>
      </c>
      <c r="B889" s="2" t="str">
        <f>=HYPERLINK("https://www.xiaohongshu.com/user/profile/6718f9ed000000001d033901", "https://www.xiaohongshu.com/user/profile/6718f9ed000000001d033901")</f>
        <v>https://www.xiaohongshu.com/user/profile/6718f9ed000000001d033901</v>
      </c>
      <c r="C889" s="2" t="str">
        <f>=HYPERLINK("https://pgy.xiaohongshu.com/solar/pre-trade/blogger-detail/6718f9ed000000001d033901", "https://pgy.xiaohongshu.com/solar/pre-trade/blogger-detail/6718f9ed000000001d033901")</f>
        <v>https://pgy.xiaohongshu.com/solar/pre-trade/blogger-detail/6718f9ed000000001d033901</v>
      </c>
      <c r="D889" t="inlineStr">
        <is>
          <t>女</t>
        </is>
      </c>
      <c r="E889" t="inlineStr">
        <is>
          <t>95651062305</t>
        </is>
      </c>
      <c r="F889" t="inlineStr">
        <is>
          <t>柳奶奶的榴莲牛奶（上岸版</t>
        </is>
      </c>
      <c r="G889" t="inlineStr">
        <is>
          <t>北京</t>
        </is>
      </c>
      <c r="H889" t="inlineStr">
        <is>
          <t>学生</t>
        </is>
      </c>
      <c r="I889" t="inlineStr">
        <is>
          <t>教育</t>
        </is>
      </c>
      <c r="J889">
        <v>6452</v>
      </c>
      <c r="K889" t="inlineStr">
        <is>
          <t>0.6</t>
        </is>
      </c>
      <c r="L889">
        <v>2503</v>
      </c>
      <c r="M889">
        <v>1547</v>
      </c>
      <c r="N889">
        <v>197</v>
      </c>
      <c r="O889">
        <v>600</v>
      </c>
      <c r="P889">
        <v>0</v>
      </c>
      <c r="Q889">
        <v>0</v>
      </c>
      <c r="R889">
        <v>0</v>
      </c>
      <c r="S889">
        <v>0</v>
      </c>
      <c r="T889">
        <v>0</v>
      </c>
      <c r="U889">
        <v>0</v>
      </c>
      <c r="V889">
        <v>600</v>
      </c>
      <c r="W889">
        <v>0</v>
      </c>
      <c r="X889">
        <v>0</v>
      </c>
      <c r="Y889">
        <v>0</v>
      </c>
      <c r="Z889">
        <v>0</v>
      </c>
      <c r="AA889">
        <v>2503</v>
      </c>
      <c r="AB889">
        <v>1547</v>
      </c>
      <c r="AC889">
        <v>159</v>
      </c>
      <c r="AD889">
        <v>2.02</v>
      </c>
      <c r="AE889">
        <v>800</v>
      </c>
      <c r="AF889">
        <v>0</v>
      </c>
      <c r="AG889">
        <v>0</v>
      </c>
      <c r="AH889">
        <v>0.033</v>
      </c>
      <c r="AI889">
        <v>319.62</v>
      </c>
      <c r="AJ889">
        <v>4.06</v>
      </c>
      <c r="AK889">
        <v>0</v>
      </c>
      <c r="AL889">
        <v>0</v>
      </c>
      <c r="AM889">
        <v>0</v>
      </c>
      <c r="AN889">
        <v>0</v>
      </c>
      <c r="AO889">
        <v>0</v>
      </c>
      <c r="AP889">
        <v>0.912999999999999</v>
      </c>
      <c r="AQ889">
        <v>0.01</v>
      </c>
      <c r="AR889">
        <v>0.001</v>
      </c>
      <c r="AS889" s="3">
        <v>46107.77538194445</v>
      </c>
    </row>
    <row r="890" ht="25.5" customHeight="1">
      <c r="A890" t="inlineStr">
        <is>
          <t>5d0034d600000000160116f7</t>
        </is>
      </c>
      <c r="B890" s="2" t="str">
        <f>=HYPERLINK("https://www.xiaohongshu.com/user/profile/5d0034d600000000160116f7", "https://www.xiaohongshu.com/user/profile/5d0034d600000000160116f7")</f>
        <v>https://www.xiaohongshu.com/user/profile/5d0034d600000000160116f7</v>
      </c>
      <c r="C890" s="2" t="str">
        <f>=HYPERLINK("https://pgy.xiaohongshu.com/solar/pre-trade/blogger-detail/5d0034d600000000160116f7", "https://pgy.xiaohongshu.com/solar/pre-trade/blogger-detail/5d0034d600000000160116f7")</f>
        <v>https://pgy.xiaohongshu.com/solar/pre-trade/blogger-detail/5d0034d600000000160116f7</v>
      </c>
      <c r="D890" t="inlineStr">
        <is>
          <t>女</t>
        </is>
      </c>
      <c r="E890" t="inlineStr">
        <is>
          <t>930538873</t>
        </is>
      </c>
      <c r="F890" t="inlineStr">
        <is>
          <t>大鱼</t>
        </is>
      </c>
      <c r="G890" t="inlineStr">
        <is>
          <t>江苏 徐州 泉山区</t>
        </is>
      </c>
      <c r="H890" t="inlineStr">
        <is>
          <t>户外爱好者, 学生</t>
        </is>
      </c>
      <c r="I890" t="inlineStr">
        <is>
          <t>美食, 教育</t>
        </is>
      </c>
      <c r="J890">
        <v>1590</v>
      </c>
      <c r="K890" t="inlineStr">
        <is>
          <t>0.2</t>
        </is>
      </c>
      <c r="L890">
        <v>16945</v>
      </c>
      <c r="M890">
        <v>3516</v>
      </c>
      <c r="N890">
        <v>154</v>
      </c>
      <c r="O890">
        <v>150</v>
      </c>
      <c r="P890">
        <v>0</v>
      </c>
      <c r="Q890">
        <v>0.5</v>
      </c>
      <c r="R890">
        <v>16945</v>
      </c>
      <c r="S890">
        <v>3516</v>
      </c>
      <c r="T890">
        <v>128</v>
      </c>
      <c r="U890">
        <v>0.39</v>
      </c>
      <c r="V890">
        <v>150</v>
      </c>
      <c r="W890">
        <v>0.5</v>
      </c>
      <c r="X890">
        <v>0</v>
      </c>
      <c r="Y890">
        <v>18.51</v>
      </c>
      <c r="Z890">
        <v>1.85</v>
      </c>
      <c r="AA890">
        <v>0</v>
      </c>
      <c r="AB890">
        <v>0</v>
      </c>
      <c r="AC890">
        <v>0</v>
      </c>
      <c r="AD890">
        <v>0</v>
      </c>
      <c r="AE890">
        <v>280</v>
      </c>
      <c r="AF890">
        <v>0</v>
      </c>
      <c r="AG890">
        <v>0</v>
      </c>
      <c r="AH890">
        <v>0</v>
      </c>
      <c r="AI890">
        <v>0</v>
      </c>
      <c r="AJ890">
        <v>0</v>
      </c>
      <c r="AK890">
        <v>431</v>
      </c>
      <c r="AL890">
        <v>35</v>
      </c>
      <c r="AM890">
        <v>5</v>
      </c>
      <c r="AN890">
        <v>0</v>
      </c>
      <c r="AO890">
        <v>0</v>
      </c>
      <c r="AP890">
        <v>0.736</v>
      </c>
      <c r="AQ890">
        <v>0.046</v>
      </c>
      <c r="AR890">
        <v>0.033</v>
      </c>
      <c r="AS890" s="3">
        <v>46107.77538194445</v>
      </c>
    </row>
    <row r="891" ht="25.5" customHeight="1">
      <c r="A891" t="inlineStr">
        <is>
          <t>6755a1d3000000001d02c595</t>
        </is>
      </c>
      <c r="B891" s="2" t="str">
        <f>=HYPERLINK("https://www.xiaohongshu.com/user/profile/6755a1d3000000001d02c595", "https://www.xiaohongshu.com/user/profile/6755a1d3000000001d02c595")</f>
        <v>https://www.xiaohongshu.com/user/profile/6755a1d3000000001d02c595</v>
      </c>
      <c r="C891" s="2" t="str">
        <f>=HYPERLINK("https://pgy.xiaohongshu.com/solar/pre-trade/blogger-detail/6755a1d3000000001d02c595", "https://pgy.xiaohongshu.com/solar/pre-trade/blogger-detail/6755a1d3000000001d02c595")</f>
        <v>https://pgy.xiaohongshu.com/solar/pre-trade/blogger-detail/6755a1d3000000001d02c595</v>
      </c>
      <c r="D891" t="inlineStr">
        <is>
          <t>男</t>
        </is>
      </c>
      <c r="E891" t="inlineStr">
        <is>
          <t>11564956750</t>
        </is>
      </c>
      <c r="F891" t="inlineStr">
        <is>
          <t>星辰景岚🦊欣</t>
        </is>
      </c>
      <c r="G891" t="inlineStr">
        <is>
          <t>广西 贵港 港北区</t>
        </is>
      </c>
      <c r="H891"/>
      <c r="I891" t="inlineStr">
        <is>
          <t>教育</t>
        </is>
      </c>
      <c r="J891">
        <v>2693</v>
      </c>
      <c r="K891" t="inlineStr">
        <is>
          <t>0.3</t>
        </is>
      </c>
      <c r="L891">
        <v>1503</v>
      </c>
      <c r="M891">
        <v>747</v>
      </c>
      <c r="N891">
        <v>273</v>
      </c>
      <c r="O891">
        <v>100</v>
      </c>
      <c r="P891">
        <v>0</v>
      </c>
      <c r="Q891">
        <v>0.773</v>
      </c>
      <c r="R891">
        <v>0</v>
      </c>
      <c r="S891">
        <v>0</v>
      </c>
      <c r="T891">
        <v>0</v>
      </c>
      <c r="U891">
        <v>0.42</v>
      </c>
      <c r="V891">
        <v>150</v>
      </c>
      <c r="W891">
        <v>0</v>
      </c>
      <c r="X891">
        <v>0</v>
      </c>
      <c r="Y891">
        <v>17.18</v>
      </c>
      <c r="Z891">
        <v>2</v>
      </c>
      <c r="AA891">
        <v>1503</v>
      </c>
      <c r="AB891">
        <v>747</v>
      </c>
      <c r="AC891">
        <v>259</v>
      </c>
      <c r="AD891">
        <v>1.63</v>
      </c>
      <c r="AE891">
        <v>100</v>
      </c>
      <c r="AF891">
        <v>0.773</v>
      </c>
      <c r="AG891">
        <v>0</v>
      </c>
      <c r="AH891">
        <v>0.32</v>
      </c>
      <c r="AI891">
        <v>66.53</v>
      </c>
      <c r="AJ891">
        <v>0.37</v>
      </c>
      <c r="AK891">
        <v>9260</v>
      </c>
      <c r="AL891">
        <v>1223</v>
      </c>
      <c r="AM891">
        <v>75</v>
      </c>
      <c r="AN891">
        <v>0</v>
      </c>
      <c r="AO891">
        <v>0</v>
      </c>
      <c r="AP891">
        <v>0.556</v>
      </c>
      <c r="AQ891">
        <v>0.044</v>
      </c>
      <c r="AR891">
        <v>0.073</v>
      </c>
      <c r="AS891" s="3">
        <v>46107.77538194445</v>
      </c>
    </row>
    <row r="892" ht="25.5" customHeight="1">
      <c r="A892" t="inlineStr">
        <is>
          <t>5f1e39f90000000001000b08</t>
        </is>
      </c>
      <c r="B892" s="2" t="str">
        <f>=HYPERLINK("https://www.xiaohongshu.com/user/profile/5f1e39f90000000001000b08", "https://www.xiaohongshu.com/user/profile/5f1e39f90000000001000b08")</f>
        <v>https://www.xiaohongshu.com/user/profile/5f1e39f90000000001000b08</v>
      </c>
      <c r="C892" s="2" t="str">
        <f>=HYPERLINK("https://pgy.xiaohongshu.com/solar/pre-trade/blogger-detail/5f1e39f90000000001000b08", "https://pgy.xiaohongshu.com/solar/pre-trade/blogger-detail/5f1e39f90000000001000b08")</f>
        <v>https://pgy.xiaohongshu.com/solar/pre-trade/blogger-detail/5f1e39f90000000001000b08</v>
      </c>
      <c r="D892" t="inlineStr">
        <is>
          <t>男</t>
        </is>
      </c>
      <c r="E892" t="inlineStr">
        <is>
          <t>Z337339547</t>
        </is>
      </c>
      <c r="F892" t="inlineStr">
        <is>
          <t>学超声的mo</t>
        </is>
      </c>
      <c r="G892" t="inlineStr">
        <is>
          <t>山西 太原 迎泽区</t>
        </is>
      </c>
      <c r="H892"/>
      <c r="I892" t="inlineStr">
        <is>
          <t>教育</t>
        </is>
      </c>
      <c r="J892">
        <v>1325</v>
      </c>
      <c r="K892" t="inlineStr">
        <is>
          <t>0.1</t>
        </is>
      </c>
      <c r="L892">
        <v>3947</v>
      </c>
      <c r="M892">
        <v>795</v>
      </c>
      <c r="N892">
        <v>151</v>
      </c>
      <c r="O892">
        <v>217</v>
      </c>
      <c r="P892">
        <v>0</v>
      </c>
      <c r="Q892">
        <v>0.091</v>
      </c>
      <c r="R892">
        <v>3947</v>
      </c>
      <c r="S892">
        <v>795</v>
      </c>
      <c r="T892">
        <v>85</v>
      </c>
      <c r="U892">
        <v>0.57</v>
      </c>
      <c r="V892">
        <v>217</v>
      </c>
      <c r="W892">
        <v>0.091</v>
      </c>
      <c r="X892">
        <v>0</v>
      </c>
      <c r="Y892">
        <v>54.97</v>
      </c>
      <c r="Z892">
        <v>1.43</v>
      </c>
      <c r="AA892">
        <v>0</v>
      </c>
      <c r="AB892">
        <v>0</v>
      </c>
      <c r="AC892">
        <v>0</v>
      </c>
      <c r="AD892">
        <v>0</v>
      </c>
      <c r="AE892">
        <v>380</v>
      </c>
      <c r="AF892">
        <v>0</v>
      </c>
      <c r="AG892">
        <v>0</v>
      </c>
      <c r="AH892">
        <v>0</v>
      </c>
      <c r="AI892">
        <v>0</v>
      </c>
      <c r="AJ892">
        <v>0</v>
      </c>
      <c r="AK892">
        <v>0</v>
      </c>
      <c r="AL892">
        <v>0</v>
      </c>
      <c r="AM892">
        <v>0</v>
      </c>
      <c r="AN892">
        <v>0</v>
      </c>
      <c r="AO892">
        <v>0</v>
      </c>
      <c r="AP892">
        <v>0.955</v>
      </c>
      <c r="AQ892">
        <v>0.355</v>
      </c>
      <c r="AR892">
        <v>0</v>
      </c>
      <c r="AS892" s="3">
        <v>46107.77538194445</v>
      </c>
    </row>
    <row r="893" ht="25.5" customHeight="1">
      <c r="A893" t="inlineStr">
        <is>
          <t>5c01e2fd000000000700b258</t>
        </is>
      </c>
      <c r="B893" s="2" t="str">
        <f>=HYPERLINK("https://www.xiaohongshu.com/user/profile/5c01e2fd000000000700b258", "https://www.xiaohongshu.com/user/profile/5c01e2fd000000000700b258")</f>
        <v>https://www.xiaohongshu.com/user/profile/5c01e2fd000000000700b258</v>
      </c>
      <c r="C893" s="2" t="str">
        <f>=HYPERLINK("https://pgy.xiaohongshu.com/solar/pre-trade/blogger-detail/5c01e2fd000000000700b258", "https://pgy.xiaohongshu.com/solar/pre-trade/blogger-detail/5c01e2fd000000000700b258")</f>
        <v>https://pgy.xiaohongshu.com/solar/pre-trade/blogger-detail/5c01e2fd000000000700b258</v>
      </c>
      <c r="D893" t="inlineStr">
        <is>
          <t>女</t>
        </is>
      </c>
      <c r="E893" t="inlineStr">
        <is>
          <t>566895402</t>
        </is>
      </c>
      <c r="F893" t="inlineStr">
        <is>
          <t>北美女强人</t>
        </is>
      </c>
      <c r="G893" t="inlineStr">
        <is>
          <t>湖北 荆州 荆州区</t>
        </is>
      </c>
      <c r="H893" t="inlineStr">
        <is>
          <t>学生</t>
        </is>
      </c>
      <c r="I893" t="inlineStr">
        <is>
          <t>教育</t>
        </is>
      </c>
      <c r="J893">
        <v>4472</v>
      </c>
      <c r="K893" t="inlineStr">
        <is>
          <t>0.4</t>
        </is>
      </c>
      <c r="L893">
        <v>20898</v>
      </c>
      <c r="M893">
        <v>3559</v>
      </c>
      <c r="N893">
        <v>187</v>
      </c>
      <c r="O893">
        <v>400</v>
      </c>
      <c r="P893">
        <v>0</v>
      </c>
      <c r="Q893">
        <v>0.5</v>
      </c>
      <c r="R893">
        <v>9330</v>
      </c>
      <c r="S893">
        <v>2207</v>
      </c>
      <c r="T893">
        <v>93</v>
      </c>
      <c r="U893">
        <v>0.48</v>
      </c>
      <c r="V893">
        <v>400</v>
      </c>
      <c r="W893">
        <v>0</v>
      </c>
      <c r="X893">
        <v>0</v>
      </c>
      <c r="Y893">
        <v>42.87</v>
      </c>
      <c r="Z893">
        <v>3.96</v>
      </c>
      <c r="AA893">
        <v>32466</v>
      </c>
      <c r="AB893">
        <v>4911</v>
      </c>
      <c r="AC893">
        <v>259</v>
      </c>
      <c r="AD893">
        <v>1.6</v>
      </c>
      <c r="AE893">
        <v>500</v>
      </c>
      <c r="AF893">
        <v>1</v>
      </c>
      <c r="AG893">
        <v>0</v>
      </c>
      <c r="AH893">
        <v>0.026</v>
      </c>
      <c r="AI893">
        <v>15.4</v>
      </c>
      <c r="AJ893">
        <v>1.82</v>
      </c>
      <c r="AK893">
        <v>0</v>
      </c>
      <c r="AL893">
        <v>0</v>
      </c>
      <c r="AM893">
        <v>0</v>
      </c>
      <c r="AN893">
        <v>0</v>
      </c>
      <c r="AO893">
        <v>0</v>
      </c>
      <c r="AP893">
        <v>0.88</v>
      </c>
      <c r="AQ893">
        <v>0.02</v>
      </c>
      <c r="AR893">
        <v>0.01</v>
      </c>
      <c r="AS893" s="3">
        <v>46107.77538194445</v>
      </c>
    </row>
    <row r="894" ht="25.5" customHeight="1">
      <c r="A894" t="inlineStr">
        <is>
          <t>6322542e000000001501d26a</t>
        </is>
      </c>
      <c r="B894" s="2" t="str">
        <f>=HYPERLINK("https://www.xiaohongshu.com/user/profile/6322542e000000001501d26a", "https://www.xiaohongshu.com/user/profile/6322542e000000001501d26a")</f>
        <v>https://www.xiaohongshu.com/user/profile/6322542e000000001501d26a</v>
      </c>
      <c r="C894" s="2" t="str">
        <f>=HYPERLINK("https://pgy.xiaohongshu.com/solar/pre-trade/blogger-detail/6322542e000000001501d26a", "https://pgy.xiaohongshu.com/solar/pre-trade/blogger-detail/6322542e000000001501d26a")</f>
        <v>https://pgy.xiaohongshu.com/solar/pre-trade/blogger-detail/6322542e000000001501d26a</v>
      </c>
      <c r="D894" t="inlineStr">
        <is>
          <t>女</t>
        </is>
      </c>
      <c r="E894" t="inlineStr">
        <is>
          <t>4126966391</t>
        </is>
      </c>
      <c r="F894" t="inlineStr">
        <is>
          <t>雅思Catherine老师</t>
        </is>
      </c>
      <c r="G894" t="inlineStr">
        <is>
          <t>湖北 武汉 洪山区</t>
        </is>
      </c>
      <c r="H894"/>
      <c r="I894" t="inlineStr">
        <is>
          <t>教育</t>
        </is>
      </c>
      <c r="J894">
        <v>2402</v>
      </c>
      <c r="K894" t="inlineStr">
        <is>
          <t>0.2</t>
        </is>
      </c>
      <c r="L894">
        <v>6603</v>
      </c>
      <c r="M894">
        <v>1644</v>
      </c>
      <c r="N894">
        <v>184</v>
      </c>
      <c r="O894">
        <v>300</v>
      </c>
      <c r="P894">
        <v>0</v>
      </c>
      <c r="Q894">
        <v>0.4</v>
      </c>
      <c r="R894">
        <v>6603</v>
      </c>
      <c r="S894">
        <v>1644</v>
      </c>
      <c r="T894">
        <v>148</v>
      </c>
      <c r="U894">
        <v>0.48</v>
      </c>
      <c r="V894">
        <v>300</v>
      </c>
      <c r="W894">
        <v>0.4</v>
      </c>
      <c r="X894">
        <v>0</v>
      </c>
      <c r="Y894">
        <v>45.43</v>
      </c>
      <c r="Z894">
        <v>1.63</v>
      </c>
      <c r="AA894">
        <v>0</v>
      </c>
      <c r="AB894">
        <v>0</v>
      </c>
      <c r="AC894">
        <v>0</v>
      </c>
      <c r="AD894">
        <v>0</v>
      </c>
      <c r="AE894">
        <v>500</v>
      </c>
      <c r="AF894">
        <v>0</v>
      </c>
      <c r="AG894">
        <v>0</v>
      </c>
      <c r="AH894">
        <v>0</v>
      </c>
      <c r="AI894">
        <v>0</v>
      </c>
      <c r="AJ894">
        <v>0</v>
      </c>
      <c r="AK894">
        <v>0</v>
      </c>
      <c r="AL894">
        <v>0</v>
      </c>
      <c r="AM894">
        <v>0</v>
      </c>
      <c r="AN894">
        <v>0</v>
      </c>
      <c r="AO894">
        <v>0</v>
      </c>
      <c r="AP894">
        <v>0.826</v>
      </c>
      <c r="AQ894">
        <v>0.0279999999999999</v>
      </c>
      <c r="AR894">
        <v>0.055</v>
      </c>
      <c r="AS894" s="3">
        <v>46107.77538194445</v>
      </c>
    </row>
    <row r="895" ht="25.5" customHeight="1">
      <c r="A895" t="inlineStr">
        <is>
          <t>646593fa000000002901175a</t>
        </is>
      </c>
      <c r="B895" s="2" t="str">
        <f>=HYPERLINK("https://www.xiaohongshu.com/user/profile/646593fa000000002901175a", "https://www.xiaohongshu.com/user/profile/646593fa000000002901175a")</f>
        <v>https://www.xiaohongshu.com/user/profile/646593fa000000002901175a</v>
      </c>
      <c r="C895" s="2" t="str">
        <f>=HYPERLINK("https://pgy.xiaohongshu.com/solar/pre-trade/blogger-detail/646593fa000000002901175a", "https://pgy.xiaohongshu.com/solar/pre-trade/blogger-detail/646593fa000000002901175a")</f>
        <v>https://pgy.xiaohongshu.com/solar/pre-trade/blogger-detail/646593fa000000002901175a</v>
      </c>
      <c r="D895" t="inlineStr">
        <is>
          <t>男</t>
        </is>
      </c>
      <c r="E895" t="inlineStr">
        <is>
          <t>9741870372</t>
        </is>
      </c>
      <c r="F895" t="inlineStr">
        <is>
          <t>Joy留学英语笔记</t>
        </is>
      </c>
      <c r="G895" t="inlineStr">
        <is>
          <t>上海</t>
        </is>
      </c>
      <c r="H895" t="inlineStr">
        <is>
          <t>留学背景</t>
        </is>
      </c>
      <c r="I895" t="inlineStr">
        <is>
          <t>教育</t>
        </is>
      </c>
      <c r="J895">
        <v>1280</v>
      </c>
      <c r="K895" t="inlineStr">
        <is>
          <t>0.1</t>
        </is>
      </c>
      <c r="L895">
        <v>133397</v>
      </c>
      <c r="M895">
        <v>29558</v>
      </c>
      <c r="N895">
        <v>1219</v>
      </c>
      <c r="O895">
        <v>172</v>
      </c>
      <c r="P895">
        <v>0.308</v>
      </c>
      <c r="Q895">
        <v>0.692</v>
      </c>
      <c r="R895">
        <v>133397</v>
      </c>
      <c r="S895">
        <v>29558</v>
      </c>
      <c r="T895">
        <v>1158</v>
      </c>
      <c r="U895">
        <v>0.31</v>
      </c>
      <c r="V895">
        <v>172</v>
      </c>
      <c r="W895">
        <v>0.692</v>
      </c>
      <c r="X895">
        <v>0.308</v>
      </c>
      <c r="Y895">
        <v>1.29</v>
      </c>
      <c r="Z895">
        <v>0.14</v>
      </c>
      <c r="AA895">
        <v>0</v>
      </c>
      <c r="AB895">
        <v>0</v>
      </c>
      <c r="AC895">
        <v>0</v>
      </c>
      <c r="AD895">
        <v>0</v>
      </c>
      <c r="AE895">
        <v>228</v>
      </c>
      <c r="AF895">
        <v>0</v>
      </c>
      <c r="AG895">
        <v>0</v>
      </c>
      <c r="AH895">
        <v>0</v>
      </c>
      <c r="AI895">
        <v>0</v>
      </c>
      <c r="AJ895">
        <v>0</v>
      </c>
      <c r="AK895">
        <v>0</v>
      </c>
      <c r="AL895">
        <v>0</v>
      </c>
      <c r="AM895">
        <v>0</v>
      </c>
      <c r="AN895">
        <v>0</v>
      </c>
      <c r="AO895">
        <v>0</v>
      </c>
      <c r="AP895">
        <v>0.979</v>
      </c>
      <c r="AQ895">
        <v>0.173</v>
      </c>
      <c r="AR895">
        <v>0</v>
      </c>
      <c r="AS895" s="3">
        <v>46107.77538194445</v>
      </c>
    </row>
    <row r="896" ht="25.5" customHeight="1">
      <c r="A896" t="inlineStr">
        <is>
          <t>59af01ef5e87e719a40d5b7e</t>
        </is>
      </c>
      <c r="B896" s="2" t="str">
        <f>=HYPERLINK("https://www.xiaohongshu.com/user/profile/59af01ef5e87e719a40d5b7e", "https://www.xiaohongshu.com/user/profile/59af01ef5e87e719a40d5b7e")</f>
        <v>https://www.xiaohongshu.com/user/profile/59af01ef5e87e719a40d5b7e</v>
      </c>
      <c r="C896" s="2" t="str">
        <f>=HYPERLINK("https://pgy.xiaohongshu.com/solar/pre-trade/blogger-detail/59af01ef5e87e719a40d5b7e", "https://pgy.xiaohongshu.com/solar/pre-trade/blogger-detail/59af01ef5e87e719a40d5b7e")</f>
        <v>https://pgy.xiaohongshu.com/solar/pre-trade/blogger-detail/59af01ef5e87e719a40d5b7e</v>
      </c>
      <c r="D896" t="inlineStr">
        <is>
          <t>女</t>
        </is>
      </c>
      <c r="E896" t="inlineStr">
        <is>
          <t>salutfrlh</t>
        </is>
      </c>
      <c r="F896" t="inlineStr">
        <is>
          <t>法语启蒙Anaïs老师</t>
        </is>
      </c>
      <c r="G896" t="inlineStr">
        <is>
          <t>北京</t>
        </is>
      </c>
      <c r="H896"/>
      <c r="I896" t="inlineStr">
        <is>
          <t>教育</t>
        </is>
      </c>
      <c r="J896">
        <v>15624</v>
      </c>
      <c r="K896" t="inlineStr">
        <is>
          <t>1.6</t>
        </is>
      </c>
      <c r="L896">
        <v>19904</v>
      </c>
      <c r="M896">
        <v>16513</v>
      </c>
      <c r="N896">
        <v>2202</v>
      </c>
      <c r="O896">
        <v>300</v>
      </c>
      <c r="P896">
        <v>0.5</v>
      </c>
      <c r="Q896">
        <v>0.5</v>
      </c>
      <c r="R896">
        <v>0</v>
      </c>
      <c r="S896">
        <v>0</v>
      </c>
      <c r="T896">
        <v>0</v>
      </c>
      <c r="U896">
        <v>0</v>
      </c>
      <c r="V896">
        <v>300</v>
      </c>
      <c r="W896">
        <v>0</v>
      </c>
      <c r="X896">
        <v>0</v>
      </c>
      <c r="Y896">
        <v>0</v>
      </c>
      <c r="Z896">
        <v>0</v>
      </c>
      <c r="AA896">
        <v>19904</v>
      </c>
      <c r="AB896">
        <v>16513</v>
      </c>
      <c r="AC896">
        <v>1188</v>
      </c>
      <c r="AD896">
        <v>1.67</v>
      </c>
      <c r="AE896">
        <v>2888</v>
      </c>
      <c r="AF896">
        <v>0.5</v>
      </c>
      <c r="AG896">
        <v>0.5</v>
      </c>
      <c r="AH896">
        <v>0.223</v>
      </c>
      <c r="AI896">
        <v>145.1</v>
      </c>
      <c r="AJ896">
        <v>1.31</v>
      </c>
      <c r="AK896">
        <v>0</v>
      </c>
      <c r="AL896">
        <v>0</v>
      </c>
      <c r="AM896">
        <v>0</v>
      </c>
      <c r="AN896">
        <v>0</v>
      </c>
      <c r="AO896">
        <v>0</v>
      </c>
      <c r="AP896">
        <v>0.880999999999999</v>
      </c>
      <c r="AQ896">
        <v>0.042</v>
      </c>
      <c r="AR896">
        <v>0.147</v>
      </c>
      <c r="AS896" s="3">
        <v>46107.77538194445</v>
      </c>
    </row>
    <row r="897" ht="25.5" customHeight="1">
      <c r="A897" t="inlineStr">
        <is>
          <t>5e8e8e650000000001009007</t>
        </is>
      </c>
      <c r="B897" s="2" t="str">
        <f>=HYPERLINK("https://www.xiaohongshu.com/user/profile/5e8e8e650000000001009007", "https://www.xiaohongshu.com/user/profile/5e8e8e650000000001009007")</f>
        <v>https://www.xiaohongshu.com/user/profile/5e8e8e650000000001009007</v>
      </c>
      <c r="C897" s="2" t="str">
        <f>=HYPERLINK("https://pgy.xiaohongshu.com/solar/pre-trade/blogger-detail/5e8e8e650000000001009007", "https://pgy.xiaohongshu.com/solar/pre-trade/blogger-detail/5e8e8e650000000001009007")</f>
        <v>https://pgy.xiaohongshu.com/solar/pre-trade/blogger-detail/5e8e8e650000000001009007</v>
      </c>
      <c r="D897" t="inlineStr">
        <is>
          <t>女</t>
        </is>
      </c>
      <c r="E897" t="inlineStr">
        <is>
          <t>XiaoYa0901</t>
        </is>
      </c>
      <c r="F897" t="inlineStr">
        <is>
          <t>江语儿JXJZDYM</t>
        </is>
      </c>
      <c r="G897" t="inlineStr">
        <is>
          <t>江西 吉安 万安县</t>
        </is>
      </c>
      <c r="H897"/>
      <c r="I897" t="inlineStr">
        <is>
          <t>职场, 教育</t>
        </is>
      </c>
      <c r="J897">
        <v>8590</v>
      </c>
      <c r="K897" t="inlineStr">
        <is>
          <t>0.9</t>
        </is>
      </c>
      <c r="L897">
        <v>13368</v>
      </c>
      <c r="M897">
        <v>2544</v>
      </c>
      <c r="N897">
        <v>655</v>
      </c>
      <c r="O897">
        <v>270</v>
      </c>
      <c r="P897">
        <v>0</v>
      </c>
      <c r="Q897">
        <v>0.75</v>
      </c>
      <c r="R897">
        <v>13368</v>
      </c>
      <c r="S897">
        <v>2544</v>
      </c>
      <c r="T897">
        <v>564</v>
      </c>
      <c r="U897">
        <v>0.41</v>
      </c>
      <c r="V897">
        <v>270</v>
      </c>
      <c r="W897">
        <v>0.75</v>
      </c>
      <c r="X897">
        <v>0</v>
      </c>
      <c r="Y897">
        <v>20.2</v>
      </c>
      <c r="Z897">
        <v>0.41</v>
      </c>
      <c r="AA897">
        <v>0</v>
      </c>
      <c r="AB897">
        <v>0</v>
      </c>
      <c r="AC897">
        <v>0</v>
      </c>
      <c r="AD897">
        <v>0</v>
      </c>
      <c r="AE897">
        <v>850</v>
      </c>
      <c r="AF897">
        <v>0</v>
      </c>
      <c r="AG897">
        <v>0</v>
      </c>
      <c r="AH897">
        <v>0</v>
      </c>
      <c r="AI897">
        <v>0</v>
      </c>
      <c r="AJ897">
        <v>0</v>
      </c>
      <c r="AK897">
        <v>0</v>
      </c>
      <c r="AL897">
        <v>0</v>
      </c>
      <c r="AM897">
        <v>0</v>
      </c>
      <c r="AN897">
        <v>0</v>
      </c>
      <c r="AO897">
        <v>0</v>
      </c>
      <c r="AP897">
        <v>0.787</v>
      </c>
      <c r="AQ897">
        <v>0.027</v>
      </c>
      <c r="AR897">
        <v>0.037</v>
      </c>
      <c r="AS897" s="3">
        <v>46107.77538194445</v>
      </c>
    </row>
    <row r="898" ht="25.5" customHeight="1">
      <c r="A898" t="inlineStr">
        <is>
          <t>5b0953e76b58b73fd0983404</t>
        </is>
      </c>
      <c r="B898" s="2" t="str">
        <f>=HYPERLINK("https://www.xiaohongshu.com/user/profile/5b0953e76b58b73fd0983404", "https://www.xiaohongshu.com/user/profile/5b0953e76b58b73fd0983404")</f>
        <v>https://www.xiaohongshu.com/user/profile/5b0953e76b58b73fd0983404</v>
      </c>
      <c r="C898" s="2" t="str">
        <f>=HYPERLINK("https://pgy.xiaohongshu.com/solar/pre-trade/blogger-detail/5b0953e76b58b73fd0983404", "https://pgy.xiaohongshu.com/solar/pre-trade/blogger-detail/5b0953e76b58b73fd0983404")</f>
        <v>https://pgy.xiaohongshu.com/solar/pre-trade/blogger-detail/5b0953e76b58b73fd0983404</v>
      </c>
      <c r="D898" t="inlineStr">
        <is>
          <t>女</t>
        </is>
      </c>
      <c r="E898" t="inlineStr">
        <is>
          <t>490979479</t>
        </is>
      </c>
      <c r="F898" t="inlineStr">
        <is>
          <t>深紫色的梨</t>
        </is>
      </c>
      <c r="G898" t="inlineStr">
        <is>
          <t>广东 广州 白云区</t>
        </is>
      </c>
      <c r="H898" t="inlineStr">
        <is>
          <t>学生</t>
        </is>
      </c>
      <c r="I898" t="inlineStr">
        <is>
          <t>生活记录</t>
        </is>
      </c>
      <c r="J898">
        <v>2753</v>
      </c>
      <c r="K898" t="inlineStr">
        <is>
          <t>0.3</t>
        </is>
      </c>
      <c r="L898">
        <v>21664</v>
      </c>
      <c r="M898">
        <v>4901</v>
      </c>
      <c r="N898">
        <v>201</v>
      </c>
      <c r="O898">
        <v>450</v>
      </c>
      <c r="P898">
        <v>0</v>
      </c>
      <c r="Q898">
        <v>0.5</v>
      </c>
      <c r="R898">
        <v>21664</v>
      </c>
      <c r="S898">
        <v>4901</v>
      </c>
      <c r="T898">
        <v>147</v>
      </c>
      <c r="U898">
        <v>0.39</v>
      </c>
      <c r="V898">
        <v>450</v>
      </c>
      <c r="W898">
        <v>0.5</v>
      </c>
      <c r="X898">
        <v>0</v>
      </c>
      <c r="Y898">
        <v>20.77</v>
      </c>
      <c r="Z898">
        <v>2.23</v>
      </c>
      <c r="AA898">
        <v>0</v>
      </c>
      <c r="AB898">
        <v>0</v>
      </c>
      <c r="AC898">
        <v>0</v>
      </c>
      <c r="AD898">
        <v>0</v>
      </c>
      <c r="AE898">
        <v>600</v>
      </c>
      <c r="AF898">
        <v>0</v>
      </c>
      <c r="AG898">
        <v>0</v>
      </c>
      <c r="AH898">
        <v>0</v>
      </c>
      <c r="AI898">
        <v>0</v>
      </c>
      <c r="AJ898">
        <v>0</v>
      </c>
      <c r="AK898">
        <v>0</v>
      </c>
      <c r="AL898">
        <v>0</v>
      </c>
      <c r="AM898">
        <v>0</v>
      </c>
      <c r="AN898">
        <v>0</v>
      </c>
      <c r="AO898">
        <v>0</v>
      </c>
      <c r="AP898">
        <v>0.859</v>
      </c>
      <c r="AQ898">
        <v>0.033</v>
      </c>
      <c r="AR898">
        <v>0.035</v>
      </c>
      <c r="AS898" s="3">
        <v>46107.77538194445</v>
      </c>
    </row>
    <row r="899" ht="25.5" customHeight="1">
      <c r="A899" t="inlineStr">
        <is>
          <t>67db8922000000000a03d01e</t>
        </is>
      </c>
      <c r="B899" s="2" t="str">
        <f>=HYPERLINK("https://www.xiaohongshu.com/user/profile/67db8922000000000a03d01e", "https://www.xiaohongshu.com/user/profile/67db8922000000000a03d01e")</f>
        <v>https://www.xiaohongshu.com/user/profile/67db8922000000000a03d01e</v>
      </c>
      <c r="C899" s="2" t="str">
        <f>=HYPERLINK("https://pgy.xiaohongshu.com/solar/pre-trade/blogger-detail/67db8922000000000a03d01e", "https://pgy.xiaohongshu.com/solar/pre-trade/blogger-detail/67db8922000000000a03d01e")</f>
        <v>https://pgy.xiaohongshu.com/solar/pre-trade/blogger-detail/67db8922000000000a03d01e</v>
      </c>
      <c r="D899" t="inlineStr">
        <is>
          <t>男</t>
        </is>
      </c>
      <c r="E899" t="inlineStr">
        <is>
          <t>95349200802</t>
        </is>
      </c>
      <c r="F899" t="inlineStr">
        <is>
          <t>意大利语教研室</t>
        </is>
      </c>
      <c r="G899" t="inlineStr">
        <is>
          <t>四川 成都 温江区</t>
        </is>
      </c>
      <c r="H899"/>
      <c r="I899" t="inlineStr">
        <is>
          <t>美食, 教育</t>
        </is>
      </c>
      <c r="J899">
        <v>2049</v>
      </c>
      <c r="K899" t="inlineStr">
        <is>
          <t>0.2</t>
        </is>
      </c>
      <c r="L899">
        <v>7348</v>
      </c>
      <c r="M899">
        <v>2542</v>
      </c>
      <c r="N899">
        <v>271</v>
      </c>
      <c r="O899">
        <v>169</v>
      </c>
      <c r="P899">
        <v>0</v>
      </c>
      <c r="Q899">
        <v>0.6</v>
      </c>
      <c r="R899">
        <v>0</v>
      </c>
      <c r="S899">
        <v>0</v>
      </c>
      <c r="T899">
        <v>0</v>
      </c>
      <c r="U899">
        <v>0</v>
      </c>
      <c r="V899">
        <v>169</v>
      </c>
      <c r="W899">
        <v>0</v>
      </c>
      <c r="X899">
        <v>0</v>
      </c>
      <c r="Y899">
        <v>0</v>
      </c>
      <c r="Z899">
        <v>0</v>
      </c>
      <c r="AA899">
        <v>7348</v>
      </c>
      <c r="AB899">
        <v>2542</v>
      </c>
      <c r="AC899">
        <v>193</v>
      </c>
      <c r="AD899">
        <v>1.61</v>
      </c>
      <c r="AE899">
        <v>269</v>
      </c>
      <c r="AF899">
        <v>0.6</v>
      </c>
      <c r="AG899">
        <v>0</v>
      </c>
      <c r="AH899">
        <v>0.0409999999999999</v>
      </c>
      <c r="AI899">
        <v>36.61</v>
      </c>
      <c r="AJ899">
        <v>0.99</v>
      </c>
      <c r="AK899">
        <v>0</v>
      </c>
      <c r="AL899">
        <v>0</v>
      </c>
      <c r="AM899">
        <v>0</v>
      </c>
      <c r="AN899">
        <v>0</v>
      </c>
      <c r="AO899">
        <v>0</v>
      </c>
      <c r="AP899">
        <v>0.961</v>
      </c>
      <c r="AQ899">
        <v>0.168999999999999</v>
      </c>
      <c r="AR899">
        <v>0.444</v>
      </c>
      <c r="AS899" s="3">
        <v>46107.77538194445</v>
      </c>
    </row>
    <row r="900" ht="25.5" customHeight="1">
      <c r="A900" t="inlineStr">
        <is>
          <t>5fc86b6d000000000100298d</t>
        </is>
      </c>
      <c r="B900" s="2" t="str">
        <f>=HYPERLINK("https://www.xiaohongshu.com/user/profile/5fc86b6d000000000100298d", "https://www.xiaohongshu.com/user/profile/5fc86b6d000000000100298d")</f>
        <v>https://www.xiaohongshu.com/user/profile/5fc86b6d000000000100298d</v>
      </c>
      <c r="C900" s="2" t="str">
        <f>=HYPERLINK("https://pgy.xiaohongshu.com/solar/pre-trade/blogger-detail/5fc86b6d000000000100298d", "https://pgy.xiaohongshu.com/solar/pre-trade/blogger-detail/5fc86b6d000000000100298d")</f>
        <v>https://pgy.xiaohongshu.com/solar/pre-trade/blogger-detail/5fc86b6d000000000100298d</v>
      </c>
      <c r="D900" t="inlineStr">
        <is>
          <t>女</t>
        </is>
      </c>
      <c r="E900" t="inlineStr">
        <is>
          <t>Bokupaper</t>
        </is>
      </c>
      <c r="F900" t="inlineStr">
        <is>
          <t>秋雨学姐的知识讲读</t>
        </is>
      </c>
      <c r="G900" t="inlineStr">
        <is>
          <t>山东 青岛 黄岛区</t>
        </is>
      </c>
      <c r="H900"/>
      <c r="I900" t="inlineStr">
        <is>
          <t>教育</t>
        </is>
      </c>
      <c r="J900">
        <v>29905</v>
      </c>
      <c r="K900" t="inlineStr">
        <is>
          <t>3.0</t>
        </is>
      </c>
      <c r="L900">
        <v>5787</v>
      </c>
      <c r="M900">
        <v>1927</v>
      </c>
      <c r="N900">
        <v>184</v>
      </c>
      <c r="O900">
        <v>3800</v>
      </c>
      <c r="P900">
        <v>0</v>
      </c>
      <c r="Q900">
        <v>0</v>
      </c>
      <c r="R900">
        <v>0</v>
      </c>
      <c r="S900">
        <v>0</v>
      </c>
      <c r="T900">
        <v>0</v>
      </c>
      <c r="U900">
        <v>0</v>
      </c>
      <c r="V900">
        <v>3800</v>
      </c>
      <c r="W900">
        <v>0</v>
      </c>
      <c r="X900">
        <v>0</v>
      </c>
      <c r="Y900">
        <v>0</v>
      </c>
      <c r="Z900">
        <v>0</v>
      </c>
      <c r="AA900">
        <v>5787</v>
      </c>
      <c r="AB900">
        <v>1927</v>
      </c>
      <c r="AC900">
        <v>157</v>
      </c>
      <c r="AD900">
        <v>3.99</v>
      </c>
      <c r="AE900">
        <v>4800</v>
      </c>
      <c r="AF900">
        <v>0</v>
      </c>
      <c r="AG900">
        <v>0</v>
      </c>
      <c r="AH900">
        <v>0.0289999999999999</v>
      </c>
      <c r="AI900">
        <v>829.45</v>
      </c>
      <c r="AJ900">
        <v>26.09</v>
      </c>
      <c r="AK900">
        <v>0</v>
      </c>
      <c r="AL900">
        <v>0</v>
      </c>
      <c r="AM900">
        <v>0</v>
      </c>
      <c r="AN900">
        <v>0</v>
      </c>
      <c r="AO900">
        <v>0</v>
      </c>
      <c r="AP900">
        <v>0.878</v>
      </c>
      <c r="AQ900">
        <v>0.006</v>
      </c>
      <c r="AR900">
        <v>-0.004</v>
      </c>
      <c r="AS900" s="3">
        <v>46107.77538194445</v>
      </c>
    </row>
    <row r="901" ht="25.5" customHeight="1">
      <c r="A901" t="inlineStr">
        <is>
          <t>5d6df6580000000001018cd3</t>
        </is>
      </c>
      <c r="B901" s="2" t="str">
        <f>=HYPERLINK("https://www.xiaohongshu.com/user/profile/5d6df6580000000001018cd3", "https://www.xiaohongshu.com/user/profile/5d6df6580000000001018cd3")</f>
        <v>https://www.xiaohongshu.com/user/profile/5d6df6580000000001018cd3</v>
      </c>
      <c r="C901" s="2" t="str">
        <f>=HYPERLINK("https://pgy.xiaohongshu.com/solar/pre-trade/blogger-detail/5d6df6580000000001018cd3", "https://pgy.xiaohongshu.com/solar/pre-trade/blogger-detail/5d6df6580000000001018cd3")</f>
        <v>https://pgy.xiaohongshu.com/solar/pre-trade/blogger-detail/5d6df6580000000001018cd3</v>
      </c>
      <c r="D901" t="inlineStr">
        <is>
          <t>女</t>
        </is>
      </c>
      <c r="E901" t="inlineStr">
        <is>
          <t>451654321</t>
        </is>
      </c>
      <c r="F901" t="inlineStr">
        <is>
          <t>Lillian🐱</t>
        </is>
      </c>
      <c r="G901" t="inlineStr">
        <is>
          <t>江苏 盐城 盐都区</t>
        </is>
      </c>
      <c r="H901" t="inlineStr">
        <is>
          <t>妈妈, 留学背景, 家庭</t>
        </is>
      </c>
      <c r="I901" t="inlineStr">
        <is>
          <t>教育, 生活记录</t>
        </is>
      </c>
      <c r="J901">
        <v>647279</v>
      </c>
      <c r="K901" t="inlineStr">
        <is>
          <t>64.7</t>
        </is>
      </c>
      <c r="L901">
        <v>419573</v>
      </c>
      <c r="M901">
        <v>91933</v>
      </c>
      <c r="N901">
        <v>6253</v>
      </c>
      <c r="O901">
        <v>35000</v>
      </c>
      <c r="P901">
        <v>1</v>
      </c>
      <c r="Q901">
        <v>1</v>
      </c>
      <c r="R901">
        <v>0</v>
      </c>
      <c r="S901">
        <v>0</v>
      </c>
      <c r="T901">
        <v>0</v>
      </c>
      <c r="U901">
        <v>0</v>
      </c>
      <c r="V901">
        <v>35000</v>
      </c>
      <c r="W901">
        <v>0</v>
      </c>
      <c r="X901">
        <v>0</v>
      </c>
      <c r="Y901">
        <v>0</v>
      </c>
      <c r="Z901">
        <v>0</v>
      </c>
      <c r="AA901">
        <v>419573</v>
      </c>
      <c r="AB901">
        <v>91933</v>
      </c>
      <c r="AC901">
        <v>5650</v>
      </c>
      <c r="AD901">
        <v>2.06</v>
      </c>
      <c r="AE901">
        <v>50000</v>
      </c>
      <c r="AF901">
        <v>1</v>
      </c>
      <c r="AG901">
        <v>1</v>
      </c>
      <c r="AH901">
        <v>0.05</v>
      </c>
      <c r="AI901">
        <v>131.19</v>
      </c>
      <c r="AJ901">
        <v>9.86</v>
      </c>
      <c r="AK901">
        <v>337889</v>
      </c>
      <c r="AL901">
        <v>49980</v>
      </c>
      <c r="AM901">
        <v>1147</v>
      </c>
      <c r="AN901">
        <v>0</v>
      </c>
      <c r="AO901">
        <v>0</v>
      </c>
      <c r="AP901">
        <v>0.745</v>
      </c>
      <c r="AQ901">
        <v>0.026</v>
      </c>
      <c r="AR901">
        <v>0.001</v>
      </c>
      <c r="AS901" s="3">
        <v>46107.77560185185</v>
      </c>
    </row>
    <row r="902" ht="25.5" customHeight="1">
      <c r="A902" t="inlineStr">
        <is>
          <t>63a7961700000000270295a0</t>
        </is>
      </c>
      <c r="B902" s="2" t="str">
        <f>=HYPERLINK("https://www.xiaohongshu.com/user/profile/63a7961700000000270295a0", "https://www.xiaohongshu.com/user/profile/63a7961700000000270295a0")</f>
        <v>https://www.xiaohongshu.com/user/profile/63a7961700000000270295a0</v>
      </c>
      <c r="C902" s="2" t="str">
        <f>=HYPERLINK("https://pgy.xiaohongshu.com/solar/pre-trade/blogger-detail/63a7961700000000270295a0", "https://pgy.xiaohongshu.com/solar/pre-trade/blogger-detail/63a7961700000000270295a0")</f>
        <v>https://pgy.xiaohongshu.com/solar/pre-trade/blogger-detail/63a7961700000000270295a0</v>
      </c>
      <c r="D902" t="inlineStr">
        <is>
          <t>男</t>
        </is>
      </c>
      <c r="E902" t="inlineStr">
        <is>
          <t>3858535570</t>
        </is>
      </c>
      <c r="F902" t="inlineStr">
        <is>
          <t>馨香果粒程</t>
        </is>
      </c>
      <c r="G902" t="inlineStr">
        <is>
          <t>江苏 南通 崇川区</t>
        </is>
      </c>
      <c r="H902" t="inlineStr">
        <is>
          <t>学生</t>
        </is>
      </c>
      <c r="I902" t="inlineStr">
        <is>
          <t>情感, 生活记录</t>
        </is>
      </c>
      <c r="J902">
        <v>1898</v>
      </c>
      <c r="K902" t="inlineStr">
        <is>
          <t>0.2</t>
        </is>
      </c>
      <c r="L902">
        <v>2907</v>
      </c>
      <c r="M902">
        <v>1668</v>
      </c>
      <c r="N902">
        <v>314</v>
      </c>
      <c r="O902">
        <v>100</v>
      </c>
      <c r="P902">
        <v>0.067</v>
      </c>
      <c r="Q902">
        <v>0.867</v>
      </c>
      <c r="R902">
        <v>0</v>
      </c>
      <c r="S902">
        <v>0</v>
      </c>
      <c r="T902">
        <v>0</v>
      </c>
      <c r="U902">
        <v>0</v>
      </c>
      <c r="V902">
        <v>100</v>
      </c>
      <c r="W902">
        <v>0</v>
      </c>
      <c r="X902">
        <v>0</v>
      </c>
      <c r="Y902">
        <v>0</v>
      </c>
      <c r="Z902">
        <v>0</v>
      </c>
      <c r="AA902">
        <v>2907</v>
      </c>
      <c r="AB902">
        <v>1668</v>
      </c>
      <c r="AC902">
        <v>296</v>
      </c>
      <c r="AD902">
        <v>1.58</v>
      </c>
      <c r="AE902">
        <v>128</v>
      </c>
      <c r="AF902">
        <v>0.867</v>
      </c>
      <c r="AG902">
        <v>0.067</v>
      </c>
      <c r="AH902">
        <v>0.113</v>
      </c>
      <c r="AI902">
        <v>48.28</v>
      </c>
      <c r="AJ902">
        <v>0.43</v>
      </c>
      <c r="AK902">
        <v>2202</v>
      </c>
      <c r="AL902">
        <v>571</v>
      </c>
      <c r="AM902">
        <v>246</v>
      </c>
      <c r="AN902">
        <v>0</v>
      </c>
      <c r="AO902">
        <v>0</v>
      </c>
      <c r="AP902">
        <v>0.992</v>
      </c>
      <c r="AQ902">
        <v>0.442</v>
      </c>
      <c r="AR902">
        <v>0</v>
      </c>
      <c r="AS902" s="3">
        <v>46107.77560185185</v>
      </c>
    </row>
    <row r="903" ht="25.5" customHeight="1">
      <c r="A903" t="inlineStr">
        <is>
          <t>6253dd3200000000210296fd</t>
        </is>
      </c>
      <c r="B903" s="2" t="str">
        <f>=HYPERLINK("https://www.xiaohongshu.com/user/profile/6253dd3200000000210296fd", "https://www.xiaohongshu.com/user/profile/6253dd3200000000210296fd")</f>
        <v>https://www.xiaohongshu.com/user/profile/6253dd3200000000210296fd</v>
      </c>
      <c r="C903" s="2" t="str">
        <f>=HYPERLINK("https://pgy.xiaohongshu.com/solar/pre-trade/blogger-detail/6253dd3200000000210296fd", "https://pgy.xiaohongshu.com/solar/pre-trade/blogger-detail/6253dd3200000000210296fd")</f>
        <v>https://pgy.xiaohongshu.com/solar/pre-trade/blogger-detail/6253dd3200000000210296fd</v>
      </c>
      <c r="D903" t="inlineStr">
        <is>
          <t>女</t>
        </is>
      </c>
      <c r="E903" t="inlineStr">
        <is>
          <t>1391943537</t>
        </is>
      </c>
      <c r="F903" t="inlineStr">
        <is>
          <t>yulia英语日记</t>
        </is>
      </c>
      <c r="G903" t="inlineStr">
        <is>
          <t>四川 成都 锦江区</t>
        </is>
      </c>
      <c r="H903" t="inlineStr">
        <is>
          <t>学生, 翻译</t>
        </is>
      </c>
      <c r="I903" t="inlineStr">
        <is>
          <t>教育</t>
        </is>
      </c>
      <c r="J903">
        <v>5860</v>
      </c>
      <c r="K903" t="inlineStr">
        <is>
          <t>0.6</t>
        </is>
      </c>
      <c r="L903">
        <v>22556</v>
      </c>
      <c r="M903">
        <v>4156</v>
      </c>
      <c r="N903">
        <v>1112</v>
      </c>
      <c r="O903">
        <v>200</v>
      </c>
      <c r="P903">
        <v>0.25</v>
      </c>
      <c r="Q903">
        <v>1</v>
      </c>
      <c r="R903">
        <v>22556</v>
      </c>
      <c r="S903">
        <v>4156</v>
      </c>
      <c r="T903">
        <v>1026</v>
      </c>
      <c r="U903">
        <v>0.35</v>
      </c>
      <c r="V903">
        <v>200</v>
      </c>
      <c r="W903">
        <v>1</v>
      </c>
      <c r="X903">
        <v>0.25</v>
      </c>
      <c r="Y903">
        <v>8.87</v>
      </c>
      <c r="Z903">
        <v>0.18</v>
      </c>
      <c r="AA903">
        <v>0</v>
      </c>
      <c r="AB903">
        <v>0</v>
      </c>
      <c r="AC903">
        <v>0</v>
      </c>
      <c r="AD903">
        <v>0</v>
      </c>
      <c r="AE903">
        <v>0</v>
      </c>
      <c r="AF903">
        <v>0</v>
      </c>
      <c r="AG903">
        <v>0</v>
      </c>
      <c r="AH903">
        <v>0</v>
      </c>
      <c r="AI903">
        <v>0</v>
      </c>
      <c r="AJ903">
        <v>0</v>
      </c>
      <c r="AK903">
        <v>0</v>
      </c>
      <c r="AL903">
        <v>0</v>
      </c>
      <c r="AM903">
        <v>0</v>
      </c>
      <c r="AN903">
        <v>0</v>
      </c>
      <c r="AO903">
        <v>0</v>
      </c>
      <c r="AP903">
        <v>0.785</v>
      </c>
      <c r="AQ903">
        <v>0.021</v>
      </c>
      <c r="AR903">
        <v>0.009</v>
      </c>
      <c r="AS903" s="3">
        <v>46107.77560185185</v>
      </c>
    </row>
    <row r="904" ht="25.5" customHeight="1">
      <c r="A904" t="inlineStr">
        <is>
          <t>5a96c1c8db2e60775e3cca0e</t>
        </is>
      </c>
      <c r="B904" s="2" t="str">
        <f>=HYPERLINK("https://www.xiaohongshu.com/user/profile/5a96c1c8db2e60775e3cca0e", "https://www.xiaohongshu.com/user/profile/5a96c1c8db2e60775e3cca0e")</f>
        <v>https://www.xiaohongshu.com/user/profile/5a96c1c8db2e60775e3cca0e</v>
      </c>
      <c r="C904" s="2" t="str">
        <f>=HYPERLINK("https://pgy.xiaohongshu.com/solar/pre-trade/blogger-detail/5a96c1c8db2e60775e3cca0e", "https://pgy.xiaohongshu.com/solar/pre-trade/blogger-detail/5a96c1c8db2e60775e3cca0e")</f>
        <v>https://pgy.xiaohongshu.com/solar/pre-trade/blogger-detail/5a96c1c8db2e60775e3cca0e</v>
      </c>
      <c r="D904" t="inlineStr">
        <is>
          <t>女</t>
        </is>
      </c>
      <c r="E904" t="inlineStr">
        <is>
          <t>630426999</t>
        </is>
      </c>
      <c r="F904" t="inlineStr">
        <is>
          <t>dokiniki</t>
        </is>
      </c>
      <c r="G904" t="inlineStr">
        <is>
          <t>美国</t>
        </is>
      </c>
      <c r="H904" t="inlineStr">
        <is>
          <t>留学背景, 海外华人</t>
        </is>
      </c>
      <c r="I904" t="inlineStr">
        <is>
          <t>生活记录</t>
        </is>
      </c>
      <c r="J904">
        <v>2000</v>
      </c>
      <c r="K904" t="inlineStr">
        <is>
          <t>0.2</t>
        </is>
      </c>
      <c r="L904">
        <v>51286</v>
      </c>
      <c r="M904">
        <v>10207</v>
      </c>
      <c r="N904">
        <v>432</v>
      </c>
      <c r="O904">
        <v>800</v>
      </c>
      <c r="P904">
        <v>0</v>
      </c>
      <c r="Q904">
        <v>1</v>
      </c>
      <c r="R904">
        <v>51286</v>
      </c>
      <c r="S904">
        <v>10207</v>
      </c>
      <c r="T904">
        <v>367</v>
      </c>
      <c r="U904">
        <v>0.38</v>
      </c>
      <c r="V904">
        <v>800</v>
      </c>
      <c r="W904">
        <v>1</v>
      </c>
      <c r="X904">
        <v>0</v>
      </c>
      <c r="Y904">
        <v>15.6</v>
      </c>
      <c r="Z904">
        <v>1.85</v>
      </c>
      <c r="AA904">
        <v>0</v>
      </c>
      <c r="AB904">
        <v>0</v>
      </c>
      <c r="AC904">
        <v>0</v>
      </c>
      <c r="AD904">
        <v>0</v>
      </c>
      <c r="AE904">
        <v>1000</v>
      </c>
      <c r="AF904">
        <v>0</v>
      </c>
      <c r="AG904">
        <v>0</v>
      </c>
      <c r="AH904">
        <v>0</v>
      </c>
      <c r="AI904">
        <v>0</v>
      </c>
      <c r="AJ904">
        <v>0</v>
      </c>
      <c r="AK904">
        <v>0</v>
      </c>
      <c r="AL904">
        <v>0</v>
      </c>
      <c r="AM904">
        <v>0</v>
      </c>
      <c r="AN904">
        <v>0</v>
      </c>
      <c r="AO904">
        <v>0</v>
      </c>
      <c r="AP904">
        <v>0.82</v>
      </c>
      <c r="AQ904">
        <v>0.025</v>
      </c>
      <c r="AR904">
        <v>0.032</v>
      </c>
      <c r="AS904" s="3">
        <v>46107.77560185185</v>
      </c>
    </row>
    <row r="905" ht="25.5" customHeight="1">
      <c r="A905" t="inlineStr">
        <is>
          <t>5f9fab6e000000000101c15a</t>
        </is>
      </c>
      <c r="B905" s="2" t="str">
        <f>=HYPERLINK("https://www.xiaohongshu.com/user/profile/5f9fab6e000000000101c15a", "https://www.xiaohongshu.com/user/profile/5f9fab6e000000000101c15a")</f>
        <v>https://www.xiaohongshu.com/user/profile/5f9fab6e000000000101c15a</v>
      </c>
      <c r="C905" s="2" t="str">
        <f>=HYPERLINK("https://pgy.xiaohongshu.com/solar/pre-trade/blogger-detail/5f9fab6e000000000101c15a", "https://pgy.xiaohongshu.com/solar/pre-trade/blogger-detail/5f9fab6e000000000101c15a")</f>
        <v>https://pgy.xiaohongshu.com/solar/pre-trade/blogger-detail/5f9fab6e000000000101c15a</v>
      </c>
      <c r="D905" t="inlineStr">
        <is>
          <t>男</t>
        </is>
      </c>
      <c r="E905" t="inlineStr">
        <is>
          <t>1029940103</t>
        </is>
      </c>
      <c r="F905" t="inlineStr">
        <is>
          <t>小胖兔学英语</t>
        </is>
      </c>
      <c r="G905" t="inlineStr">
        <is>
          <t>广东 惠州 惠阳区</t>
        </is>
      </c>
      <c r="H905"/>
      <c r="I905" t="inlineStr">
        <is>
          <t>教育</t>
        </is>
      </c>
      <c r="J905">
        <v>1536</v>
      </c>
      <c r="K905" t="inlineStr">
        <is>
          <t>0.2</t>
        </is>
      </c>
      <c r="L905">
        <v>4902</v>
      </c>
      <c r="M905">
        <v>505</v>
      </c>
      <c r="N905">
        <v>127</v>
      </c>
      <c r="O905">
        <v>152</v>
      </c>
      <c r="P905">
        <v>0</v>
      </c>
      <c r="Q905">
        <v>0.25</v>
      </c>
      <c r="R905">
        <v>7292</v>
      </c>
      <c r="S905">
        <v>772</v>
      </c>
      <c r="T905">
        <v>124</v>
      </c>
      <c r="U905">
        <v>0.5</v>
      </c>
      <c r="V905">
        <v>152</v>
      </c>
      <c r="W905">
        <v>0.286</v>
      </c>
      <c r="X905">
        <v>0</v>
      </c>
      <c r="Y905">
        <v>20.84</v>
      </c>
      <c r="Z905">
        <v>0.82</v>
      </c>
      <c r="AA905">
        <v>1695</v>
      </c>
      <c r="AB905">
        <v>238</v>
      </c>
      <c r="AC905">
        <v>22</v>
      </c>
      <c r="AD905">
        <v>3.39</v>
      </c>
      <c r="AE905">
        <v>450</v>
      </c>
      <c r="AF905">
        <v>0</v>
      </c>
      <c r="AG905">
        <v>0</v>
      </c>
      <c r="AH905">
        <v>0.035</v>
      </c>
      <c r="AI905">
        <v>265.49</v>
      </c>
      <c r="AJ905">
        <v>15.52</v>
      </c>
      <c r="AK905">
        <v>0</v>
      </c>
      <c r="AL905">
        <v>0</v>
      </c>
      <c r="AM905">
        <v>0</v>
      </c>
      <c r="AN905">
        <v>0</v>
      </c>
      <c r="AO905">
        <v>0</v>
      </c>
      <c r="AP905">
        <v>0.993</v>
      </c>
      <c r="AQ905">
        <v>0.28</v>
      </c>
      <c r="AR905">
        <v>0</v>
      </c>
      <c r="AS905" s="3">
        <v>46107.77560185185</v>
      </c>
    </row>
    <row r="906" ht="25.5" customHeight="1">
      <c r="A906" t="inlineStr">
        <is>
          <t>5c274945000000000700d0ab</t>
        </is>
      </c>
      <c r="B906" s="2" t="str">
        <f>=HYPERLINK("https://www.xiaohongshu.com/user/profile/5c274945000000000700d0ab", "https://www.xiaohongshu.com/user/profile/5c274945000000000700d0ab")</f>
        <v>https://www.xiaohongshu.com/user/profile/5c274945000000000700d0ab</v>
      </c>
      <c r="C906" s="2" t="str">
        <f>=HYPERLINK("https://pgy.xiaohongshu.com/solar/pre-trade/blogger-detail/5c274945000000000700d0ab", "https://pgy.xiaohongshu.com/solar/pre-trade/blogger-detail/5c274945000000000700d0ab")</f>
        <v>https://pgy.xiaohongshu.com/solar/pre-trade/blogger-detail/5c274945000000000700d0ab</v>
      </c>
      <c r="D906" t="inlineStr">
        <is>
          <t>男</t>
        </is>
      </c>
      <c r="E906" t="inlineStr">
        <is>
          <t>676804256</t>
        </is>
      </c>
      <c r="F906" t="inlineStr">
        <is>
          <t>大头林</t>
        </is>
      </c>
      <c r="G906" t="inlineStr">
        <is>
          <t>新疆 克拉玛依 克拉玛依区</t>
        </is>
      </c>
      <c r="H906" t="inlineStr">
        <is>
          <t>考研过来人, 户外爱好者, 学生, 翻译</t>
        </is>
      </c>
      <c r="I906" t="inlineStr">
        <is>
          <t>教育, 出行旅游</t>
        </is>
      </c>
      <c r="J906">
        <v>1327</v>
      </c>
      <c r="K906" t="inlineStr">
        <is>
          <t>0.1</t>
        </is>
      </c>
      <c r="L906">
        <v>4902</v>
      </c>
      <c r="M906">
        <v>1898</v>
      </c>
      <c r="N906">
        <v>231</v>
      </c>
      <c r="O906">
        <v>299</v>
      </c>
      <c r="P906">
        <v>0.043</v>
      </c>
      <c r="Q906">
        <v>0.522</v>
      </c>
      <c r="R906">
        <v>3168</v>
      </c>
      <c r="S906">
        <v>243</v>
      </c>
      <c r="T906">
        <v>14</v>
      </c>
      <c r="U906">
        <v>1.53</v>
      </c>
      <c r="V906">
        <v>299</v>
      </c>
      <c r="W906">
        <v>0</v>
      </c>
      <c r="X906">
        <v>0</v>
      </c>
      <c r="Y906">
        <v>94.38</v>
      </c>
      <c r="Z906">
        <v>17.59</v>
      </c>
      <c r="AA906">
        <v>4915</v>
      </c>
      <c r="AB906">
        <v>2027</v>
      </c>
      <c r="AC906">
        <v>257</v>
      </c>
      <c r="AD906">
        <v>1.89</v>
      </c>
      <c r="AE906">
        <v>799</v>
      </c>
      <c r="AF906">
        <v>0.6</v>
      </c>
      <c r="AG906">
        <v>0.05</v>
      </c>
      <c r="AH906">
        <v>0.055</v>
      </c>
      <c r="AI906">
        <v>162.56</v>
      </c>
      <c r="AJ906">
        <v>2.83</v>
      </c>
      <c r="AK906">
        <v>0</v>
      </c>
      <c r="AL906">
        <v>0</v>
      </c>
      <c r="AM906">
        <v>0</v>
      </c>
      <c r="AN906">
        <v>0</v>
      </c>
      <c r="AO906">
        <v>0</v>
      </c>
      <c r="AP906">
        <v>0.968</v>
      </c>
      <c r="AQ906">
        <v>0.582</v>
      </c>
      <c r="AR906">
        <v>0</v>
      </c>
      <c r="AS906" s="3">
        <v>46107.77560185185</v>
      </c>
    </row>
    <row r="907" ht="25.5" customHeight="1">
      <c r="A907" t="inlineStr">
        <is>
          <t>5f7b1f02000000000100526b</t>
        </is>
      </c>
      <c r="B907" s="2" t="str">
        <f>=HYPERLINK("https://www.xiaohongshu.com/user/profile/5f7b1f02000000000100526b", "https://www.xiaohongshu.com/user/profile/5f7b1f02000000000100526b")</f>
        <v>https://www.xiaohongshu.com/user/profile/5f7b1f02000000000100526b</v>
      </c>
      <c r="C907" s="2" t="str">
        <f>=HYPERLINK("https://pgy.xiaohongshu.com/solar/pre-trade/blogger-detail/5f7b1f02000000000100526b", "https://pgy.xiaohongshu.com/solar/pre-trade/blogger-detail/5f7b1f02000000000100526b")</f>
        <v>https://pgy.xiaohongshu.com/solar/pre-trade/blogger-detail/5f7b1f02000000000100526b</v>
      </c>
      <c r="D907" t="inlineStr">
        <is>
          <t>女</t>
        </is>
      </c>
      <c r="E907" t="inlineStr">
        <is>
          <t>1001304811</t>
        </is>
      </c>
      <c r="F907" t="inlineStr">
        <is>
          <t>小猫背单词</t>
        </is>
      </c>
      <c r="G907" t="inlineStr">
        <is>
          <t>山东 青岛 崂山区</t>
        </is>
      </c>
      <c r="H907" t="inlineStr">
        <is>
          <t>学生</t>
        </is>
      </c>
      <c r="I907" t="inlineStr">
        <is>
          <t>教育</t>
        </is>
      </c>
      <c r="J907">
        <v>2014</v>
      </c>
      <c r="K907" t="inlineStr">
        <is>
          <t>0.2</t>
        </is>
      </c>
      <c r="L907">
        <v>34057</v>
      </c>
      <c r="M907">
        <v>5478</v>
      </c>
      <c r="N907">
        <v>100</v>
      </c>
      <c r="O907">
        <v>170</v>
      </c>
      <c r="P907">
        <v>0.121</v>
      </c>
      <c r="Q907">
        <v>0.393999999999999</v>
      </c>
      <c r="R907">
        <v>34057</v>
      </c>
      <c r="S907">
        <v>5478</v>
      </c>
      <c r="T907">
        <v>84</v>
      </c>
      <c r="U907">
        <v>0.33</v>
      </c>
      <c r="V907">
        <v>170</v>
      </c>
      <c r="W907">
        <v>0.393999999999999</v>
      </c>
      <c r="X907">
        <v>0.121</v>
      </c>
      <c r="Y907">
        <v>4.99</v>
      </c>
      <c r="Z907">
        <v>1.7</v>
      </c>
      <c r="AA907">
        <v>0</v>
      </c>
      <c r="AB907">
        <v>0</v>
      </c>
      <c r="AC907">
        <v>0</v>
      </c>
      <c r="AD907">
        <v>0</v>
      </c>
      <c r="AE907">
        <v>233</v>
      </c>
      <c r="AF907">
        <v>0</v>
      </c>
      <c r="AG907">
        <v>0</v>
      </c>
      <c r="AH907">
        <v>0</v>
      </c>
      <c r="AI907">
        <v>0</v>
      </c>
      <c r="AJ907">
        <v>0</v>
      </c>
      <c r="AK907">
        <v>0</v>
      </c>
      <c r="AL907">
        <v>0</v>
      </c>
      <c r="AM907">
        <v>0</v>
      </c>
      <c r="AN907">
        <v>0</v>
      </c>
      <c r="AO907">
        <v>0</v>
      </c>
      <c r="AP907">
        <v>0.995</v>
      </c>
      <c r="AQ907">
        <v>0.237</v>
      </c>
      <c r="AR907">
        <v>0</v>
      </c>
      <c r="AS907" s="3">
        <v>46107.77560185185</v>
      </c>
    </row>
    <row r="908" ht="25.5" customHeight="1">
      <c r="A908" t="inlineStr">
        <is>
          <t>55e275b767bc6534387b0c7e</t>
        </is>
      </c>
      <c r="B908" s="2" t="str">
        <f>=HYPERLINK("https://www.xiaohongshu.com/user/profile/55e275b767bc6534387b0c7e", "https://www.xiaohongshu.com/user/profile/55e275b767bc6534387b0c7e")</f>
        <v>https://www.xiaohongshu.com/user/profile/55e275b767bc6534387b0c7e</v>
      </c>
      <c r="C908" s="2" t="str">
        <f>=HYPERLINK("https://pgy.xiaohongshu.com/solar/pre-trade/blogger-detail/55e275b767bc6534387b0c7e", "https://pgy.xiaohongshu.com/solar/pre-trade/blogger-detail/55e275b767bc6534387b0c7e")</f>
        <v>https://pgy.xiaohongshu.com/solar/pre-trade/blogger-detail/55e275b767bc6534387b0c7e</v>
      </c>
      <c r="D908" t="inlineStr">
        <is>
          <t>女</t>
        </is>
      </c>
      <c r="E908" t="inlineStr">
        <is>
          <t>514521431</t>
        </is>
      </c>
      <c r="F908" t="inlineStr">
        <is>
          <t>Play&amp;Learn_科研频道</t>
        </is>
      </c>
      <c r="G908" t="inlineStr">
        <is>
          <t>美国</t>
        </is>
      </c>
      <c r="H908"/>
      <c r="I908" t="inlineStr">
        <is>
          <t>教育</t>
        </is>
      </c>
      <c r="J908">
        <v>23806</v>
      </c>
      <c r="K908" t="inlineStr">
        <is>
          <t>2.4</t>
        </is>
      </c>
      <c r="L908">
        <v>7738</v>
      </c>
      <c r="M908">
        <v>1456</v>
      </c>
      <c r="N908">
        <v>140</v>
      </c>
      <c r="O908">
        <v>1000</v>
      </c>
      <c r="P908">
        <v>0</v>
      </c>
      <c r="Q908">
        <v>0.364</v>
      </c>
      <c r="R908">
        <v>7738</v>
      </c>
      <c r="S908">
        <v>824</v>
      </c>
      <c r="T908">
        <v>72</v>
      </c>
      <c r="U908">
        <v>1.51</v>
      </c>
      <c r="V908">
        <v>1000</v>
      </c>
      <c r="W908">
        <v>0</v>
      </c>
      <c r="X908">
        <v>0</v>
      </c>
      <c r="Y908">
        <v>129.23</v>
      </c>
      <c r="Z908">
        <v>12.05</v>
      </c>
      <c r="AA908">
        <v>7902</v>
      </c>
      <c r="AB908">
        <v>1659</v>
      </c>
      <c r="AC908">
        <v>143</v>
      </c>
      <c r="AD908">
        <v>2.71</v>
      </c>
      <c r="AE908">
        <v>2000</v>
      </c>
      <c r="AF908">
        <v>0.4</v>
      </c>
      <c r="AG908">
        <v>0</v>
      </c>
      <c r="AH908">
        <v>0.042</v>
      </c>
      <c r="AI908">
        <v>253.08</v>
      </c>
      <c r="AJ908">
        <v>11.24</v>
      </c>
      <c r="AK908">
        <v>0</v>
      </c>
      <c r="AL908">
        <v>0</v>
      </c>
      <c r="AM908">
        <v>0</v>
      </c>
      <c r="AN908">
        <v>0</v>
      </c>
      <c r="AO908">
        <v>0</v>
      </c>
      <c r="AP908">
        <v>0.93</v>
      </c>
      <c r="AQ908">
        <v>0.032</v>
      </c>
      <c r="AR908">
        <v>0.008</v>
      </c>
      <c r="AS908" s="3">
        <v>46107.77560185185</v>
      </c>
    </row>
    <row r="909" ht="25.5" customHeight="1">
      <c r="A909" t="inlineStr">
        <is>
          <t>648c5270000000000f00739b</t>
        </is>
      </c>
      <c r="B909" s="2" t="str">
        <f>=HYPERLINK("https://www.xiaohongshu.com/user/profile/648c5270000000000f00739b", "https://www.xiaohongshu.com/user/profile/648c5270000000000f00739b")</f>
        <v>https://www.xiaohongshu.com/user/profile/648c5270000000000f00739b</v>
      </c>
      <c r="C909" s="2" t="str">
        <f>=HYPERLINK("https://pgy.xiaohongshu.com/solar/pre-trade/blogger-detail/648c5270000000000f00739b", "https://pgy.xiaohongshu.com/solar/pre-trade/blogger-detail/648c5270000000000f00739b")</f>
        <v>https://pgy.xiaohongshu.com/solar/pre-trade/blogger-detail/648c5270000000000f00739b</v>
      </c>
      <c r="D909" t="inlineStr">
        <is>
          <t>女</t>
        </is>
      </c>
      <c r="E909" t="inlineStr">
        <is>
          <t>5510320333</t>
        </is>
      </c>
      <c r="F909" t="inlineStr">
        <is>
          <t>兜兜大王（好运版）</t>
        </is>
      </c>
      <c r="G909" t="inlineStr">
        <is>
          <t>山东 泰安 岱岳区</t>
        </is>
      </c>
      <c r="H909" t="inlineStr">
        <is>
          <t>考研过来人, 学生</t>
        </is>
      </c>
      <c r="I909" t="inlineStr">
        <is>
          <t>教育</t>
        </is>
      </c>
      <c r="J909">
        <v>1351</v>
      </c>
      <c r="K909" t="inlineStr">
        <is>
          <t>0.1</t>
        </is>
      </c>
      <c r="L909">
        <v>19678</v>
      </c>
      <c r="M909">
        <v>4268</v>
      </c>
      <c r="N909">
        <v>375</v>
      </c>
      <c r="O909">
        <v>225</v>
      </c>
      <c r="P909">
        <v>0.25</v>
      </c>
      <c r="Q909">
        <v>0.5</v>
      </c>
      <c r="R909">
        <v>32845</v>
      </c>
      <c r="S909">
        <v>6916</v>
      </c>
      <c r="T909">
        <v>488</v>
      </c>
      <c r="U909">
        <v>0.33</v>
      </c>
      <c r="V909">
        <v>225</v>
      </c>
      <c r="W909">
        <v>0.571</v>
      </c>
      <c r="X909">
        <v>0.286</v>
      </c>
      <c r="Y909">
        <v>6.85</v>
      </c>
      <c r="Z909">
        <v>0.35</v>
      </c>
      <c r="AA909">
        <v>265</v>
      </c>
      <c r="AB909">
        <v>8</v>
      </c>
      <c r="AC909">
        <v>2</v>
      </c>
      <c r="AD909">
        <v>50.75</v>
      </c>
      <c r="AE909">
        <v>394</v>
      </c>
      <c r="AF909">
        <v>0</v>
      </c>
      <c r="AG909">
        <v>0</v>
      </c>
      <c r="AH909">
        <v>0.143</v>
      </c>
      <c r="AI909">
        <v>1486.79</v>
      </c>
      <c r="AJ909">
        <v>197</v>
      </c>
      <c r="AK909">
        <v>0</v>
      </c>
      <c r="AL909">
        <v>0</v>
      </c>
      <c r="AM909">
        <v>0</v>
      </c>
      <c r="AN909">
        <v>0</v>
      </c>
      <c r="AO909">
        <v>0</v>
      </c>
      <c r="AP909">
        <v>0.973</v>
      </c>
      <c r="AQ909">
        <v>0.551</v>
      </c>
      <c r="AR909">
        <v>0</v>
      </c>
      <c r="AS909" s="3">
        <v>46107.77560185185</v>
      </c>
    </row>
    <row r="910" ht="25.5" customHeight="1">
      <c r="A910" t="inlineStr">
        <is>
          <t>666da8b30000000003031684</t>
        </is>
      </c>
      <c r="B910" s="2" t="str">
        <f>=HYPERLINK("https://www.xiaohongshu.com/user/profile/666da8b30000000003031684", "https://www.xiaohongshu.com/user/profile/666da8b30000000003031684")</f>
        <v>https://www.xiaohongshu.com/user/profile/666da8b30000000003031684</v>
      </c>
      <c r="C910" s="2" t="str">
        <f>=HYPERLINK("https://pgy.xiaohongshu.com/solar/pre-trade/blogger-detail/666da8b30000000003031684", "https://pgy.xiaohongshu.com/solar/pre-trade/blogger-detail/666da8b30000000003031684")</f>
        <v>https://pgy.xiaohongshu.com/solar/pre-trade/blogger-detail/666da8b30000000003031684</v>
      </c>
      <c r="D910" t="inlineStr">
        <is>
          <t>男</t>
        </is>
      </c>
      <c r="E910" t="inlineStr">
        <is>
          <t>11610728571</t>
        </is>
      </c>
      <c r="F910" t="inlineStr">
        <is>
          <t>胆大鬼👻</t>
        </is>
      </c>
      <c r="G910" t="inlineStr">
        <is>
          <t>河南 焦作 山阳区</t>
        </is>
      </c>
      <c r="H910" t="inlineStr">
        <is>
          <t>学生</t>
        </is>
      </c>
      <c r="I910" t="inlineStr">
        <is>
          <t>兴趣爱好, 生活记录</t>
        </is>
      </c>
      <c r="J910">
        <v>8893</v>
      </c>
      <c r="K910" t="inlineStr">
        <is>
          <t>0.9</t>
        </is>
      </c>
      <c r="L910">
        <v>3571</v>
      </c>
      <c r="M910">
        <v>1223</v>
      </c>
      <c r="N910">
        <v>115</v>
      </c>
      <c r="O910">
        <v>237</v>
      </c>
      <c r="P910">
        <v>0</v>
      </c>
      <c r="Q910">
        <v>0.385</v>
      </c>
      <c r="R910">
        <v>4652</v>
      </c>
      <c r="S910">
        <v>823</v>
      </c>
      <c r="T910">
        <v>82</v>
      </c>
      <c r="U910">
        <v>0.59</v>
      </c>
      <c r="V910">
        <v>237</v>
      </c>
      <c r="W910">
        <v>0</v>
      </c>
      <c r="X910">
        <v>0</v>
      </c>
      <c r="Y910">
        <v>50.95</v>
      </c>
      <c r="Z910">
        <v>2.76</v>
      </c>
      <c r="AA910">
        <v>3308</v>
      </c>
      <c r="AB910">
        <v>1432</v>
      </c>
      <c r="AC910">
        <v>136</v>
      </c>
      <c r="AD910">
        <v>1.95</v>
      </c>
      <c r="AE910">
        <v>638</v>
      </c>
      <c r="AF910">
        <v>0.5</v>
      </c>
      <c r="AG910">
        <v>0</v>
      </c>
      <c r="AH910">
        <v>0.111</v>
      </c>
      <c r="AI910">
        <v>192.87</v>
      </c>
      <c r="AJ910">
        <v>3.64</v>
      </c>
      <c r="AK910">
        <v>0</v>
      </c>
      <c r="AL910">
        <v>0</v>
      </c>
      <c r="AM910">
        <v>0</v>
      </c>
      <c r="AN910">
        <v>0</v>
      </c>
      <c r="AO910">
        <v>0</v>
      </c>
      <c r="AP910">
        <v>0.917</v>
      </c>
      <c r="AQ910">
        <v>0.071</v>
      </c>
      <c r="AR910">
        <v>0.009</v>
      </c>
      <c r="AS910" s="3">
        <v>46107.77560185185</v>
      </c>
    </row>
    <row r="911" ht="25.5" customHeight="1">
      <c r="A911" t="inlineStr">
        <is>
          <t>688aed14000000002801a999</t>
        </is>
      </c>
      <c r="B911" s="2" t="str">
        <f>=HYPERLINK("https://www.xiaohongshu.com/user/profile/688aed14000000002801a999", "https://www.xiaohongshu.com/user/profile/688aed14000000002801a999")</f>
        <v>https://www.xiaohongshu.com/user/profile/688aed14000000002801a999</v>
      </c>
      <c r="C911" s="2" t="str">
        <f>=HYPERLINK("https://pgy.xiaohongshu.com/solar/pre-trade/blogger-detail/688aed14000000002801a999", "https://pgy.xiaohongshu.com/solar/pre-trade/blogger-detail/688aed14000000002801a999")</f>
        <v>https://pgy.xiaohongshu.com/solar/pre-trade/blogger-detail/688aed14000000002801a999</v>
      </c>
      <c r="D911" t="inlineStr">
        <is>
          <t>女</t>
        </is>
      </c>
      <c r="E911" t="inlineStr">
        <is>
          <t>95553609240</t>
        </is>
      </c>
      <c r="F911" t="inlineStr">
        <is>
          <t>煎蛋不放糖（学英语）</t>
        </is>
      </c>
      <c r="G911" t="inlineStr">
        <is>
          <t>贵州 毕节 威宁彝族回族苗族自治县</t>
        </is>
      </c>
      <c r="H911"/>
      <c r="I911" t="inlineStr">
        <is>
          <t>教育</t>
        </is>
      </c>
      <c r="J911">
        <v>38942</v>
      </c>
      <c r="K911" t="inlineStr">
        <is>
          <t>3.9</t>
        </is>
      </c>
      <c r="L911">
        <v>12736</v>
      </c>
      <c r="M911">
        <v>1389</v>
      </c>
      <c r="N911">
        <v>135</v>
      </c>
      <c r="O911">
        <v>328</v>
      </c>
      <c r="P911">
        <v>0.154</v>
      </c>
      <c r="Q911">
        <v>0.462</v>
      </c>
      <c r="R911">
        <v>12736</v>
      </c>
      <c r="S911">
        <v>934</v>
      </c>
      <c r="T911">
        <v>53</v>
      </c>
      <c r="U911">
        <v>0.65</v>
      </c>
      <c r="V911">
        <v>328</v>
      </c>
      <c r="W911">
        <v>0</v>
      </c>
      <c r="X911">
        <v>0</v>
      </c>
      <c r="Y911">
        <v>25.75</v>
      </c>
      <c r="Z911">
        <v>5.47</v>
      </c>
      <c r="AA911">
        <v>12982</v>
      </c>
      <c r="AB911">
        <v>3307</v>
      </c>
      <c r="AC911">
        <v>291</v>
      </c>
      <c r="AD911">
        <v>2.32</v>
      </c>
      <c r="AE911">
        <v>2703</v>
      </c>
      <c r="AF911">
        <v>0.6</v>
      </c>
      <c r="AG911">
        <v>0.2</v>
      </c>
      <c r="AH911">
        <v>0.178</v>
      </c>
      <c r="AI911">
        <v>208.2</v>
      </c>
      <c r="AJ911">
        <v>7.64</v>
      </c>
      <c r="AK911">
        <v>0</v>
      </c>
      <c r="AL911">
        <v>0</v>
      </c>
      <c r="AM911">
        <v>0</v>
      </c>
      <c r="AN911">
        <v>0</v>
      </c>
      <c r="AO911">
        <v>0</v>
      </c>
      <c r="AP911">
        <v>0.969</v>
      </c>
      <c r="AQ911">
        <v>0.0819999999999999</v>
      </c>
      <c r="AR911">
        <v>0.178</v>
      </c>
      <c r="AS911" s="3">
        <v>46107.77560185185</v>
      </c>
    </row>
    <row r="912" ht="25.5" customHeight="1">
      <c r="A912" t="inlineStr">
        <is>
          <t>61f2bf2f000000001000bc67</t>
        </is>
      </c>
      <c r="B912" s="2" t="str">
        <f>=HYPERLINK("https://www.xiaohongshu.com/user/profile/61f2bf2f000000001000bc67", "https://www.xiaohongshu.com/user/profile/61f2bf2f000000001000bc67")</f>
        <v>https://www.xiaohongshu.com/user/profile/61f2bf2f000000001000bc67</v>
      </c>
      <c r="C912" s="2" t="str">
        <f>=HYPERLINK("https://pgy.xiaohongshu.com/solar/pre-trade/blogger-detail/61f2bf2f000000001000bc67", "https://pgy.xiaohongshu.com/solar/pre-trade/blogger-detail/61f2bf2f000000001000bc67")</f>
        <v>https://pgy.xiaohongshu.com/solar/pre-trade/blogger-detail/61f2bf2f000000001000bc67</v>
      </c>
      <c r="D912" t="inlineStr">
        <is>
          <t>女</t>
        </is>
      </c>
      <c r="E912" t="inlineStr">
        <is>
          <t>1385541773</t>
        </is>
      </c>
      <c r="F912" t="inlineStr">
        <is>
          <t>須彌芥子</t>
        </is>
      </c>
      <c r="G912" t="inlineStr">
        <is>
          <t>北京</t>
        </is>
      </c>
      <c r="H912" t="inlineStr">
        <is>
          <t>考研过来人, 学生</t>
        </is>
      </c>
      <c r="I912" t="inlineStr">
        <is>
          <t>教育, 运动健身</t>
        </is>
      </c>
      <c r="J912">
        <v>5302</v>
      </c>
      <c r="K912" t="inlineStr">
        <is>
          <t>0.5</t>
        </is>
      </c>
      <c r="L912">
        <v>8563</v>
      </c>
      <c r="M912">
        <v>1450</v>
      </c>
      <c r="N912">
        <v>108</v>
      </c>
      <c r="O912">
        <v>442</v>
      </c>
      <c r="P912">
        <v>0</v>
      </c>
      <c r="Q912">
        <v>0.25</v>
      </c>
      <c r="R912">
        <v>12392</v>
      </c>
      <c r="S912">
        <v>2111</v>
      </c>
      <c r="T912">
        <v>108</v>
      </c>
      <c r="U912">
        <v>0.51</v>
      </c>
      <c r="V912">
        <v>442</v>
      </c>
      <c r="W912">
        <v>0.332999999999999</v>
      </c>
      <c r="X912">
        <v>0</v>
      </c>
      <c r="Y912">
        <v>35.67</v>
      </c>
      <c r="Z912">
        <v>3.45</v>
      </c>
      <c r="AA912">
        <v>4734</v>
      </c>
      <c r="AB912">
        <v>662</v>
      </c>
      <c r="AC912">
        <v>41</v>
      </c>
      <c r="AD912">
        <v>2.73</v>
      </c>
      <c r="AE912">
        <v>817</v>
      </c>
      <c r="AF912">
        <v>0</v>
      </c>
      <c r="AG912">
        <v>0</v>
      </c>
      <c r="AH912">
        <v>0.244</v>
      </c>
      <c r="AI912">
        <v>172.58</v>
      </c>
      <c r="AJ912">
        <v>18.16</v>
      </c>
      <c r="AK912">
        <v>0</v>
      </c>
      <c r="AL912">
        <v>0</v>
      </c>
      <c r="AM912">
        <v>0</v>
      </c>
      <c r="AN912">
        <v>0</v>
      </c>
      <c r="AO912">
        <v>0</v>
      </c>
      <c r="AP912">
        <v>0.867</v>
      </c>
      <c r="AQ912">
        <v>0.055</v>
      </c>
      <c r="AR912">
        <v>0.034</v>
      </c>
      <c r="AS912" s="3">
        <v>46107.77560185185</v>
      </c>
    </row>
    <row r="913" ht="25.5" customHeight="1">
      <c r="A913" t="inlineStr">
        <is>
          <t>63e77105000000002702bd9e</t>
        </is>
      </c>
      <c r="B913" s="2" t="str">
        <f>=HYPERLINK("https://www.xiaohongshu.com/user/profile/63e77105000000002702bd9e", "https://www.xiaohongshu.com/user/profile/63e77105000000002702bd9e")</f>
        <v>https://www.xiaohongshu.com/user/profile/63e77105000000002702bd9e</v>
      </c>
      <c r="C913" s="2" t="str">
        <f>=HYPERLINK("https://pgy.xiaohongshu.com/solar/pre-trade/blogger-detail/63e77105000000002702bd9e", "https://pgy.xiaohongshu.com/solar/pre-trade/blogger-detail/63e77105000000002702bd9e")</f>
        <v>https://pgy.xiaohongshu.com/solar/pre-trade/blogger-detail/63e77105000000002702bd9e</v>
      </c>
      <c r="D913" t="inlineStr">
        <is>
          <t>女</t>
        </is>
      </c>
      <c r="E913" t="inlineStr">
        <is>
          <t>6108098669</t>
        </is>
      </c>
      <c r="F913" t="inlineStr">
        <is>
          <t>又没什么大不了</t>
        </is>
      </c>
      <c r="G913" t="inlineStr">
        <is>
          <t>河南 郑州 二七区</t>
        </is>
      </c>
      <c r="H913"/>
      <c r="I913" t="inlineStr">
        <is>
          <t>教育</t>
        </is>
      </c>
      <c r="J913">
        <v>4375</v>
      </c>
      <c r="K913" t="inlineStr">
        <is>
          <t>0.4</t>
        </is>
      </c>
      <c r="L913">
        <v>18359</v>
      </c>
      <c r="M913">
        <v>4559</v>
      </c>
      <c r="N913">
        <v>215</v>
      </c>
      <c r="O913">
        <v>224</v>
      </c>
      <c r="P913">
        <v>0</v>
      </c>
      <c r="Q913">
        <v>0.332999999999999</v>
      </c>
      <c r="R913">
        <v>18359</v>
      </c>
      <c r="S913">
        <v>4559</v>
      </c>
      <c r="T913">
        <v>172</v>
      </c>
      <c r="U913">
        <v>0.35</v>
      </c>
      <c r="V913">
        <v>224</v>
      </c>
      <c r="W913">
        <v>0.332999999999999</v>
      </c>
      <c r="X913">
        <v>0</v>
      </c>
      <c r="Y913">
        <v>12.2</v>
      </c>
      <c r="Z913">
        <v>1.04</v>
      </c>
      <c r="AA913">
        <v>0</v>
      </c>
      <c r="AB913">
        <v>0</v>
      </c>
      <c r="AC913">
        <v>0</v>
      </c>
      <c r="AD913">
        <v>0</v>
      </c>
      <c r="AE913">
        <v>325</v>
      </c>
      <c r="AF913">
        <v>0</v>
      </c>
      <c r="AG913">
        <v>0</v>
      </c>
      <c r="AH913">
        <v>0</v>
      </c>
      <c r="AI913">
        <v>0</v>
      </c>
      <c r="AJ913">
        <v>0</v>
      </c>
      <c r="AK913">
        <v>0</v>
      </c>
      <c r="AL913">
        <v>0</v>
      </c>
      <c r="AM913">
        <v>0</v>
      </c>
      <c r="AN913">
        <v>0</v>
      </c>
      <c r="AO913">
        <v>0</v>
      </c>
      <c r="AP913">
        <v>0.849</v>
      </c>
      <c r="AQ913">
        <v>0.038</v>
      </c>
      <c r="AR913">
        <v>0.0559999999999999</v>
      </c>
      <c r="AS913" s="3">
        <v>46107.77560185185</v>
      </c>
    </row>
    <row r="914" ht="25.5" customHeight="1">
      <c r="A914" t="inlineStr">
        <is>
          <t>65080661000000001603bc20</t>
        </is>
      </c>
      <c r="B914" s="2" t="str">
        <f>=HYPERLINK("https://www.xiaohongshu.com/user/profile/65080661000000001603bc20", "https://www.xiaohongshu.com/user/profile/65080661000000001603bc20")</f>
        <v>https://www.xiaohongshu.com/user/profile/65080661000000001603bc20</v>
      </c>
      <c r="C914" s="2" t="str">
        <f>=HYPERLINK("https://pgy.xiaohongshu.com/solar/pre-trade/blogger-detail/65080661000000001603bc20", "https://pgy.xiaohongshu.com/solar/pre-trade/blogger-detail/65080661000000001603bc20")</f>
        <v>https://pgy.xiaohongshu.com/solar/pre-trade/blogger-detail/65080661000000001603bc20</v>
      </c>
      <c r="D914" t="inlineStr">
        <is>
          <t>女</t>
        </is>
      </c>
      <c r="E914" t="inlineStr">
        <is>
          <t>9919079701</t>
        </is>
      </c>
      <c r="F914" t="inlineStr">
        <is>
          <t>雪梨雪梨🍐</t>
        </is>
      </c>
      <c r="G914" t="inlineStr">
        <is>
          <t>英国</t>
        </is>
      </c>
      <c r="H914"/>
      <c r="I914" t="inlineStr">
        <is>
          <t>教育</t>
        </is>
      </c>
      <c r="J914">
        <v>9881</v>
      </c>
      <c r="K914" t="inlineStr">
        <is>
          <t>1.0</t>
        </is>
      </c>
      <c r="L914">
        <v>16768</v>
      </c>
      <c r="M914">
        <v>5194</v>
      </c>
      <c r="N914">
        <v>293</v>
      </c>
      <c r="O914">
        <v>1200</v>
      </c>
      <c r="P914">
        <v>0.332999999999999</v>
      </c>
      <c r="Q914">
        <v>0.778</v>
      </c>
      <c r="R914">
        <v>0</v>
      </c>
      <c r="S914">
        <v>0</v>
      </c>
      <c r="T914">
        <v>0</v>
      </c>
      <c r="U914">
        <v>0</v>
      </c>
      <c r="V914">
        <v>1200</v>
      </c>
      <c r="W914">
        <v>0</v>
      </c>
      <c r="X914">
        <v>0</v>
      </c>
      <c r="Y914">
        <v>0</v>
      </c>
      <c r="Z914">
        <v>0</v>
      </c>
      <c r="AA914">
        <v>16768</v>
      </c>
      <c r="AB914">
        <v>5194</v>
      </c>
      <c r="AC914">
        <v>282</v>
      </c>
      <c r="AD914">
        <v>1.89</v>
      </c>
      <c r="AE914">
        <v>2000</v>
      </c>
      <c r="AF914">
        <v>0.778</v>
      </c>
      <c r="AG914">
        <v>0.332999999999999</v>
      </c>
      <c r="AH914">
        <v>0.253</v>
      </c>
      <c r="AI914">
        <v>119.27</v>
      </c>
      <c r="AJ914">
        <v>6.83</v>
      </c>
      <c r="AK914">
        <v>0</v>
      </c>
      <c r="AL914">
        <v>0</v>
      </c>
      <c r="AM914">
        <v>0</v>
      </c>
      <c r="AN914">
        <v>0</v>
      </c>
      <c r="AO914">
        <v>0</v>
      </c>
      <c r="AP914">
        <v>0.938</v>
      </c>
      <c r="AQ914">
        <v>0.183</v>
      </c>
      <c r="AR914">
        <v>0.245</v>
      </c>
      <c r="AS914" s="3">
        <v>46107.77560185185</v>
      </c>
    </row>
    <row r="915" ht="25.5" customHeight="1">
      <c r="A915" t="inlineStr">
        <is>
          <t>6023ae530000000001003d47</t>
        </is>
      </c>
      <c r="B915" s="2" t="str">
        <f>=HYPERLINK("https://www.xiaohongshu.com/user/profile/6023ae530000000001003d47", "https://www.xiaohongshu.com/user/profile/6023ae530000000001003d47")</f>
        <v>https://www.xiaohongshu.com/user/profile/6023ae530000000001003d47</v>
      </c>
      <c r="C915" s="2" t="str">
        <f>=HYPERLINK("https://pgy.xiaohongshu.com/solar/pre-trade/blogger-detail/6023ae530000000001003d47", "https://pgy.xiaohongshu.com/solar/pre-trade/blogger-detail/6023ae530000000001003d47")</f>
        <v>https://pgy.xiaohongshu.com/solar/pre-trade/blogger-detail/6023ae530000000001003d47</v>
      </c>
      <c r="D915" t="inlineStr">
        <is>
          <t>女</t>
        </is>
      </c>
      <c r="E915" t="inlineStr">
        <is>
          <t>Spanishstudy</t>
        </is>
      </c>
      <c r="F915" t="inlineStr">
        <is>
          <t>Alba_Español</t>
        </is>
      </c>
      <c r="G915" t="inlineStr">
        <is>
          <t>天津</t>
        </is>
      </c>
      <c r="H915" t="inlineStr">
        <is>
          <t>留学背景, 学生, 翻译</t>
        </is>
      </c>
      <c r="I915" t="inlineStr">
        <is>
          <t>教育</t>
        </is>
      </c>
      <c r="J915">
        <v>2834</v>
      </c>
      <c r="K915" t="inlineStr">
        <is>
          <t>0.3</t>
        </is>
      </c>
      <c r="L915">
        <v>4377</v>
      </c>
      <c r="M915">
        <v>2039</v>
      </c>
      <c r="N915">
        <v>216</v>
      </c>
      <c r="O915">
        <v>160</v>
      </c>
      <c r="P915">
        <v>0.2</v>
      </c>
      <c r="Q915">
        <v>0.6</v>
      </c>
      <c r="R915">
        <v>0</v>
      </c>
      <c r="S915">
        <v>0</v>
      </c>
      <c r="T915">
        <v>0</v>
      </c>
      <c r="U915">
        <v>0</v>
      </c>
      <c r="V915">
        <v>160</v>
      </c>
      <c r="W915">
        <v>0</v>
      </c>
      <c r="X915">
        <v>0</v>
      </c>
      <c r="Y915">
        <v>0</v>
      </c>
      <c r="Z915">
        <v>0</v>
      </c>
      <c r="AA915">
        <v>4377</v>
      </c>
      <c r="AB915">
        <v>2039</v>
      </c>
      <c r="AC915">
        <v>155</v>
      </c>
      <c r="AD915">
        <v>1.59</v>
      </c>
      <c r="AE915">
        <v>191</v>
      </c>
      <c r="AF915">
        <v>0.6</v>
      </c>
      <c r="AG915">
        <v>0.2</v>
      </c>
      <c r="AH915">
        <v>0.048</v>
      </c>
      <c r="AI915">
        <v>43.64</v>
      </c>
      <c r="AJ915">
        <v>0.88</v>
      </c>
      <c r="AK915">
        <v>0</v>
      </c>
      <c r="AL915">
        <v>0</v>
      </c>
      <c r="AM915">
        <v>0</v>
      </c>
      <c r="AN915">
        <v>0</v>
      </c>
      <c r="AO915">
        <v>0</v>
      </c>
      <c r="AP915">
        <v>0.977</v>
      </c>
      <c r="AQ915">
        <v>0.201999999999999</v>
      </c>
      <c r="AR915">
        <v>0.884</v>
      </c>
      <c r="AS915" s="3">
        <v>46107.77560185185</v>
      </c>
    </row>
    <row r="916" ht="25.5" customHeight="1">
      <c r="A916" t="inlineStr">
        <is>
          <t>68a97de8000000001a027ab5</t>
        </is>
      </c>
      <c r="B916" s="2" t="str">
        <f>=HYPERLINK("https://www.xiaohongshu.com/user/profile/68a97de8000000001a027ab5", "https://www.xiaohongshu.com/user/profile/68a97de8000000001a027ab5")</f>
        <v>https://www.xiaohongshu.com/user/profile/68a97de8000000001a027ab5</v>
      </c>
      <c r="C916" s="2" t="str">
        <f>=HYPERLINK("https://pgy.xiaohongshu.com/solar/pre-trade/blogger-detail/68a97de8000000001a027ab5", "https://pgy.xiaohongshu.com/solar/pre-trade/blogger-detail/68a97de8000000001a027ab5")</f>
        <v>https://pgy.xiaohongshu.com/solar/pre-trade/blogger-detail/68a97de8000000001a027ab5</v>
      </c>
      <c r="D916" t="inlineStr">
        <is>
          <t>男</t>
        </is>
      </c>
      <c r="E916" t="inlineStr">
        <is>
          <t>18937298896</t>
        </is>
      </c>
      <c r="F916" t="inlineStr">
        <is>
          <t>小九不睡觉（种草版）</t>
        </is>
      </c>
      <c r="G916" t="inlineStr">
        <is>
          <t>山东 东营 东营区</t>
        </is>
      </c>
      <c r="H916"/>
      <c r="I916" t="inlineStr">
        <is>
          <t>教育</t>
        </is>
      </c>
      <c r="J916">
        <v>77176</v>
      </c>
      <c r="K916" t="inlineStr">
        <is>
          <t>7.7</t>
        </is>
      </c>
      <c r="L916">
        <v>111074</v>
      </c>
      <c r="M916">
        <v>7155</v>
      </c>
      <c r="N916">
        <v>1723</v>
      </c>
      <c r="O916">
        <v>500</v>
      </c>
      <c r="P916">
        <v>0.5</v>
      </c>
      <c r="Q916">
        <v>0.875</v>
      </c>
      <c r="R916">
        <v>111074</v>
      </c>
      <c r="S916">
        <v>7155</v>
      </c>
      <c r="T916">
        <v>1439</v>
      </c>
      <c r="U916">
        <v>0.37</v>
      </c>
      <c r="V916">
        <v>500</v>
      </c>
      <c r="W916">
        <v>0.875</v>
      </c>
      <c r="X916">
        <v>0.5</v>
      </c>
      <c r="Y916">
        <v>4.5</v>
      </c>
      <c r="Z916">
        <v>0.29</v>
      </c>
      <c r="AA916">
        <v>0</v>
      </c>
      <c r="AB916">
        <v>0</v>
      </c>
      <c r="AC916">
        <v>0</v>
      </c>
      <c r="AD916">
        <v>0</v>
      </c>
      <c r="AE916">
        <v>0</v>
      </c>
      <c r="AF916">
        <v>0</v>
      </c>
      <c r="AG916">
        <v>0</v>
      </c>
      <c r="AH916">
        <v>0</v>
      </c>
      <c r="AI916">
        <v>0</v>
      </c>
      <c r="AJ916">
        <v>0</v>
      </c>
      <c r="AK916">
        <v>0</v>
      </c>
      <c r="AL916">
        <v>0</v>
      </c>
      <c r="AM916">
        <v>0</v>
      </c>
      <c r="AN916">
        <v>0</v>
      </c>
      <c r="AO916">
        <v>0</v>
      </c>
      <c r="AP916">
        <v>0.973</v>
      </c>
      <c r="AQ916">
        <v>0.125</v>
      </c>
      <c r="AR916">
        <v>0.091</v>
      </c>
      <c r="AS916" s="3">
        <v>46107.77560185185</v>
      </c>
    </row>
    <row r="917" ht="25.5" customHeight="1">
      <c r="A917" t="inlineStr">
        <is>
          <t>68dce6f50000000037002537</t>
        </is>
      </c>
      <c r="B917" s="2" t="str">
        <f>=HYPERLINK("https://www.xiaohongshu.com/user/profile/68dce6f50000000037002537", "https://www.xiaohongshu.com/user/profile/68dce6f50000000037002537")</f>
        <v>https://www.xiaohongshu.com/user/profile/68dce6f50000000037002537</v>
      </c>
      <c r="C917" s="2" t="str">
        <f>=HYPERLINK("https://pgy.xiaohongshu.com/solar/pre-trade/blogger-detail/68dce6f50000000037002537", "https://pgy.xiaohongshu.com/solar/pre-trade/blogger-detail/68dce6f50000000037002537")</f>
        <v>https://pgy.xiaohongshu.com/solar/pre-trade/blogger-detail/68dce6f50000000037002537</v>
      </c>
      <c r="D917" t="inlineStr">
        <is>
          <t>女</t>
        </is>
      </c>
      <c r="E917" t="inlineStr">
        <is>
          <t>95576184961</t>
        </is>
      </c>
      <c r="F917" t="inlineStr">
        <is>
          <t>周一用英语</t>
        </is>
      </c>
      <c r="G917" t="inlineStr">
        <is>
          <t>浙江 嘉兴 南湖区</t>
        </is>
      </c>
      <c r="H917"/>
      <c r="I917" t="inlineStr">
        <is>
          <t>职场, 教育</t>
        </is>
      </c>
      <c r="J917">
        <v>4690</v>
      </c>
      <c r="K917" t="inlineStr">
        <is>
          <t>0.5</t>
        </is>
      </c>
      <c r="L917">
        <v>8312</v>
      </c>
      <c r="M917">
        <v>645</v>
      </c>
      <c r="N917">
        <v>111</v>
      </c>
      <c r="O917">
        <v>200</v>
      </c>
      <c r="P917">
        <v>0.048</v>
      </c>
      <c r="Q917">
        <v>0.31</v>
      </c>
      <c r="R917">
        <v>8514</v>
      </c>
      <c r="S917">
        <v>746</v>
      </c>
      <c r="T917">
        <v>113</v>
      </c>
      <c r="U917">
        <v>0.57</v>
      </c>
      <c r="V917">
        <v>200</v>
      </c>
      <c r="W917">
        <v>0.325</v>
      </c>
      <c r="X917">
        <v>0.05</v>
      </c>
      <c r="Y917">
        <v>23.49</v>
      </c>
      <c r="Z917">
        <v>1.53</v>
      </c>
      <c r="AA917">
        <v>2899</v>
      </c>
      <c r="AB917">
        <v>412</v>
      </c>
      <c r="AC917">
        <v>31</v>
      </c>
      <c r="AD917">
        <v>2.35</v>
      </c>
      <c r="AE917">
        <v>350</v>
      </c>
      <c r="AF917">
        <v>0</v>
      </c>
      <c r="AG917">
        <v>0</v>
      </c>
      <c r="AH917">
        <v>0.146</v>
      </c>
      <c r="AI917">
        <v>120.71</v>
      </c>
      <c r="AJ917">
        <v>8.75</v>
      </c>
      <c r="AK917">
        <v>0</v>
      </c>
      <c r="AL917">
        <v>0</v>
      </c>
      <c r="AM917">
        <v>0</v>
      </c>
      <c r="AN917">
        <v>0</v>
      </c>
      <c r="AO917">
        <v>0</v>
      </c>
      <c r="AP917">
        <v>0.999</v>
      </c>
      <c r="AQ917">
        <v>0.342999999999999</v>
      </c>
      <c r="AR917">
        <v>0</v>
      </c>
      <c r="AS917" s="3">
        <v>46107.77560185185</v>
      </c>
    </row>
    <row r="918" ht="25.5" customHeight="1">
      <c r="A918" t="inlineStr">
        <is>
          <t>5e2994560000000001009155</t>
        </is>
      </c>
      <c r="B918" s="2" t="str">
        <f>=HYPERLINK("https://www.xiaohongshu.com/user/profile/5e2994560000000001009155", "https://www.xiaohongshu.com/user/profile/5e2994560000000001009155")</f>
        <v>https://www.xiaohongshu.com/user/profile/5e2994560000000001009155</v>
      </c>
      <c r="C918" s="2" t="str">
        <f>=HYPERLINK("https://pgy.xiaohongshu.com/solar/pre-trade/blogger-detail/5e2994560000000001009155", "https://pgy.xiaohongshu.com/solar/pre-trade/blogger-detail/5e2994560000000001009155")</f>
        <v>https://pgy.xiaohongshu.com/solar/pre-trade/blogger-detail/5e2994560000000001009155</v>
      </c>
      <c r="D918" t="inlineStr">
        <is>
          <t>女</t>
        </is>
      </c>
      <c r="E918" t="inlineStr">
        <is>
          <t>sube1221</t>
        </is>
      </c>
      <c r="F918" t="inlineStr">
        <is>
          <t>安逸的棉花</t>
        </is>
      </c>
      <c r="G918" t="inlineStr">
        <is>
          <t>新疆 阿克苏地区 库车市</t>
        </is>
      </c>
      <c r="H918"/>
      <c r="I918" t="inlineStr">
        <is>
          <t>教育</t>
        </is>
      </c>
      <c r="J918">
        <v>1741</v>
      </c>
      <c r="K918" t="inlineStr">
        <is>
          <t>0.2</t>
        </is>
      </c>
      <c r="L918">
        <v>3781</v>
      </c>
      <c r="M918">
        <v>1251</v>
      </c>
      <c r="N918">
        <v>134</v>
      </c>
      <c r="O918">
        <v>111</v>
      </c>
      <c r="P918">
        <v>0</v>
      </c>
      <c r="Q918">
        <v>0.087</v>
      </c>
      <c r="R918">
        <v>0</v>
      </c>
      <c r="S918">
        <v>0</v>
      </c>
      <c r="T918">
        <v>0</v>
      </c>
      <c r="U918">
        <v>0</v>
      </c>
      <c r="V918">
        <v>111</v>
      </c>
      <c r="W918">
        <v>0</v>
      </c>
      <c r="X918">
        <v>0</v>
      </c>
      <c r="Y918">
        <v>0</v>
      </c>
      <c r="Z918">
        <v>0</v>
      </c>
      <c r="AA918">
        <v>3781</v>
      </c>
      <c r="AB918">
        <v>1251</v>
      </c>
      <c r="AC918">
        <v>94</v>
      </c>
      <c r="AD918">
        <v>1.68</v>
      </c>
      <c r="AE918">
        <v>222</v>
      </c>
      <c r="AF918">
        <v>0.087</v>
      </c>
      <c r="AG918">
        <v>0</v>
      </c>
      <c r="AH918">
        <v>0.011</v>
      </c>
      <c r="AI918">
        <v>58.71</v>
      </c>
      <c r="AJ918">
        <v>1.66</v>
      </c>
      <c r="AK918">
        <v>0</v>
      </c>
      <c r="AL918">
        <v>0</v>
      </c>
      <c r="AM918">
        <v>0</v>
      </c>
      <c r="AN918">
        <v>0</v>
      </c>
      <c r="AO918">
        <v>0</v>
      </c>
      <c r="AP918">
        <v>0.98</v>
      </c>
      <c r="AQ918">
        <v>0.276</v>
      </c>
      <c r="AR918">
        <v>0</v>
      </c>
      <c r="AS918" s="3">
        <v>46107.77560185185</v>
      </c>
    </row>
    <row r="919" ht="25.5" customHeight="1">
      <c r="A919" t="inlineStr">
        <is>
          <t>5f3f73b2000000000100b5c1</t>
        </is>
      </c>
      <c r="B919" s="2" t="str">
        <f>=HYPERLINK("https://www.xiaohongshu.com/user/profile/5f3f73b2000000000100b5c1", "https://www.xiaohongshu.com/user/profile/5f3f73b2000000000100b5c1")</f>
        <v>https://www.xiaohongshu.com/user/profile/5f3f73b2000000000100b5c1</v>
      </c>
      <c r="C919" s="2" t="str">
        <f>=HYPERLINK("https://pgy.xiaohongshu.com/solar/pre-trade/blogger-detail/5f3f73b2000000000100b5c1", "https://pgy.xiaohongshu.com/solar/pre-trade/blogger-detail/5f3f73b2000000000100b5c1")</f>
        <v>https://pgy.xiaohongshu.com/solar/pre-trade/blogger-detail/5f3f73b2000000000100b5c1</v>
      </c>
      <c r="D919" t="inlineStr">
        <is>
          <t>女</t>
        </is>
      </c>
      <c r="E919" t="inlineStr">
        <is>
          <t>sspwdynp</t>
        </is>
      </c>
      <c r="F919" t="inlineStr">
        <is>
          <t>修狗爱文博</t>
        </is>
      </c>
      <c r="G919" t="inlineStr">
        <is>
          <t>河北 保定 莲池区</t>
        </is>
      </c>
      <c r="H919"/>
      <c r="I919" t="inlineStr">
        <is>
          <t>教育</t>
        </is>
      </c>
      <c r="J919">
        <v>1571</v>
      </c>
      <c r="K919" t="inlineStr">
        <is>
          <t>0.2</t>
        </is>
      </c>
      <c r="L919">
        <v>4593</v>
      </c>
      <c r="M919">
        <v>711</v>
      </c>
      <c r="N919">
        <v>126</v>
      </c>
      <c r="O919">
        <v>150</v>
      </c>
      <c r="P919">
        <v>0</v>
      </c>
      <c r="Q919">
        <v>0.25</v>
      </c>
      <c r="R919">
        <v>3955</v>
      </c>
      <c r="S919">
        <v>839</v>
      </c>
      <c r="T919">
        <v>89</v>
      </c>
      <c r="U919">
        <v>0.48</v>
      </c>
      <c r="V919">
        <v>150</v>
      </c>
      <c r="W919">
        <v>0</v>
      </c>
      <c r="X919">
        <v>0</v>
      </c>
      <c r="Y919">
        <v>37.92</v>
      </c>
      <c r="Z919">
        <v>1.4</v>
      </c>
      <c r="AA919">
        <v>4593</v>
      </c>
      <c r="AB919">
        <v>711</v>
      </c>
      <c r="AC919">
        <v>113</v>
      </c>
      <c r="AD919">
        <v>1.99</v>
      </c>
      <c r="AE919">
        <v>350</v>
      </c>
      <c r="AF919">
        <v>0.332999999999999</v>
      </c>
      <c r="AG919">
        <v>0</v>
      </c>
      <c r="AH919">
        <v>0.052</v>
      </c>
      <c r="AI919">
        <v>76.2</v>
      </c>
      <c r="AJ919">
        <v>2.78</v>
      </c>
      <c r="AK919">
        <v>0</v>
      </c>
      <c r="AL919">
        <v>0</v>
      </c>
      <c r="AM919">
        <v>0</v>
      </c>
      <c r="AN919">
        <v>0</v>
      </c>
      <c r="AO919">
        <v>0</v>
      </c>
      <c r="AP919">
        <v>0.941</v>
      </c>
      <c r="AQ919">
        <v>0.208</v>
      </c>
      <c r="AR919">
        <v>0</v>
      </c>
      <c r="AS919" s="3">
        <v>46107.77560185185</v>
      </c>
    </row>
    <row r="920" ht="25.5" customHeight="1">
      <c r="A920" t="inlineStr">
        <is>
          <t>5e8c58720000000001006237</t>
        </is>
      </c>
      <c r="B920" s="2" t="str">
        <f>=HYPERLINK("https://www.xiaohongshu.com/user/profile/5e8c58720000000001006237", "https://www.xiaohongshu.com/user/profile/5e8c58720000000001006237")</f>
        <v>https://www.xiaohongshu.com/user/profile/5e8c58720000000001006237</v>
      </c>
      <c r="C920" s="2" t="str">
        <f>=HYPERLINK("https://pgy.xiaohongshu.com/solar/pre-trade/blogger-detail/5e8c58720000000001006237", "https://pgy.xiaohongshu.com/solar/pre-trade/blogger-detail/5e8c58720000000001006237")</f>
        <v>https://pgy.xiaohongshu.com/solar/pre-trade/blogger-detail/5e8c58720000000001006237</v>
      </c>
      <c r="D920" t="inlineStr">
        <is>
          <t>女</t>
        </is>
      </c>
      <c r="E920" t="inlineStr">
        <is>
          <t>711746447</t>
        </is>
      </c>
      <c r="F920" t="inlineStr">
        <is>
          <t>旋秃背词王</t>
        </is>
      </c>
      <c r="G920" t="inlineStr">
        <is>
          <t>福建 厦门 集美区</t>
        </is>
      </c>
      <c r="H920"/>
      <c r="I920" t="inlineStr">
        <is>
          <t>教育</t>
        </is>
      </c>
      <c r="J920">
        <v>4741</v>
      </c>
      <c r="K920" t="inlineStr">
        <is>
          <t>0.5</t>
        </is>
      </c>
      <c r="L920">
        <v>46678</v>
      </c>
      <c r="M920">
        <v>8237</v>
      </c>
      <c r="N920">
        <v>569</v>
      </c>
      <c r="O920">
        <v>175</v>
      </c>
      <c r="P920">
        <v>0</v>
      </c>
      <c r="Q920">
        <v>0.714</v>
      </c>
      <c r="R920">
        <v>49485</v>
      </c>
      <c r="S920">
        <v>8465</v>
      </c>
      <c r="T920">
        <v>549</v>
      </c>
      <c r="U920">
        <v>0.32</v>
      </c>
      <c r="V920">
        <v>175</v>
      </c>
      <c r="W920">
        <v>0.833</v>
      </c>
      <c r="X920">
        <v>0</v>
      </c>
      <c r="Y920">
        <v>3.54</v>
      </c>
      <c r="Z920">
        <v>0.3</v>
      </c>
      <c r="AA920">
        <v>580</v>
      </c>
      <c r="AB920">
        <v>181</v>
      </c>
      <c r="AC920">
        <v>35</v>
      </c>
      <c r="AD920">
        <v>2.68</v>
      </c>
      <c r="AE920">
        <v>213</v>
      </c>
      <c r="AF920">
        <v>0</v>
      </c>
      <c r="AG920">
        <v>0</v>
      </c>
      <c r="AH920">
        <v>0.165</v>
      </c>
      <c r="AI920">
        <v>367.24</v>
      </c>
      <c r="AJ920">
        <v>5.92</v>
      </c>
      <c r="AK920">
        <v>0</v>
      </c>
      <c r="AL920">
        <v>0</v>
      </c>
      <c r="AM920">
        <v>0</v>
      </c>
      <c r="AN920">
        <v>0</v>
      </c>
      <c r="AO920">
        <v>0</v>
      </c>
      <c r="AP920">
        <v>0.909</v>
      </c>
      <c r="AQ920">
        <v>0.047</v>
      </c>
      <c r="AR920">
        <v>0.0969999999999999</v>
      </c>
      <c r="AS920" s="3">
        <v>46107.77560185185</v>
      </c>
    </row>
    <row r="921" ht="25.5" customHeight="1">
      <c r="A921" t="inlineStr">
        <is>
          <t>5ce3aea30000000018036e2e</t>
        </is>
      </c>
      <c r="B921" s="2" t="str">
        <f>=HYPERLINK("https://www.xiaohongshu.com/user/profile/5ce3aea30000000018036e2e", "https://www.xiaohongshu.com/user/profile/5ce3aea30000000018036e2e")</f>
        <v>https://www.xiaohongshu.com/user/profile/5ce3aea30000000018036e2e</v>
      </c>
      <c r="C921" s="2" t="str">
        <f>=HYPERLINK("https://pgy.xiaohongshu.com/solar/pre-trade/blogger-detail/5ce3aea30000000018036e2e", "https://pgy.xiaohongshu.com/solar/pre-trade/blogger-detail/5ce3aea30000000018036e2e")</f>
        <v>https://pgy.xiaohongshu.com/solar/pre-trade/blogger-detail/5ce3aea30000000018036e2e</v>
      </c>
      <c r="D921" t="inlineStr">
        <is>
          <t>男</t>
        </is>
      </c>
      <c r="E921" t="inlineStr">
        <is>
          <t>938944482</t>
        </is>
      </c>
      <c r="F921" t="inlineStr">
        <is>
          <t>灭世者的神帽</t>
        </is>
      </c>
      <c r="G921" t="inlineStr">
        <is>
          <t>安徽 合肥 蜀山区</t>
        </is>
      </c>
      <c r="H921" t="inlineStr">
        <is>
          <t>考研过来人</t>
        </is>
      </c>
      <c r="I921" t="inlineStr">
        <is>
          <t>教育</t>
        </is>
      </c>
      <c r="J921">
        <v>11527</v>
      </c>
      <c r="K921" t="inlineStr">
        <is>
          <t>1.2</t>
        </is>
      </c>
      <c r="L921">
        <v>13890</v>
      </c>
      <c r="M921">
        <v>2783</v>
      </c>
      <c r="N921">
        <v>113</v>
      </c>
      <c r="O921">
        <v>500</v>
      </c>
      <c r="P921">
        <v>0.332999999999999</v>
      </c>
      <c r="Q921">
        <v>0.332999999999999</v>
      </c>
      <c r="R921">
        <v>13890</v>
      </c>
      <c r="S921">
        <v>2783</v>
      </c>
      <c r="T921">
        <v>112</v>
      </c>
      <c r="U921">
        <v>0.48</v>
      </c>
      <c r="V921">
        <v>500</v>
      </c>
      <c r="W921">
        <v>0.332999999999999</v>
      </c>
      <c r="X921">
        <v>0.332999999999999</v>
      </c>
      <c r="Y921">
        <v>36</v>
      </c>
      <c r="Z921">
        <v>4.42</v>
      </c>
      <c r="AA921">
        <v>0</v>
      </c>
      <c r="AB921">
        <v>0</v>
      </c>
      <c r="AC921">
        <v>0</v>
      </c>
      <c r="AD921">
        <v>0</v>
      </c>
      <c r="AE921">
        <v>0</v>
      </c>
      <c r="AF921">
        <v>0</v>
      </c>
      <c r="AG921">
        <v>0</v>
      </c>
      <c r="AH921">
        <v>0</v>
      </c>
      <c r="AI921">
        <v>0</v>
      </c>
      <c r="AJ921">
        <v>0</v>
      </c>
      <c r="AK921">
        <v>0</v>
      </c>
      <c r="AL921">
        <v>0</v>
      </c>
      <c r="AM921">
        <v>0</v>
      </c>
      <c r="AN921">
        <v>0</v>
      </c>
      <c r="AO921">
        <v>0</v>
      </c>
      <c r="AP921">
        <v>0.88</v>
      </c>
      <c r="AQ921">
        <v>0.027</v>
      </c>
      <c r="AR921">
        <v>-0.001</v>
      </c>
      <c r="AS921" s="3">
        <v>46107.77579861111</v>
      </c>
    </row>
    <row r="922" ht="25.5" customHeight="1">
      <c r="A922" t="inlineStr">
        <is>
          <t>54dd8e01e779894703c50868</t>
        </is>
      </c>
      <c r="B922" s="2" t="str">
        <f>=HYPERLINK("https://www.xiaohongshu.com/user/profile/54dd8e01e779894703c50868", "https://www.xiaohongshu.com/user/profile/54dd8e01e779894703c50868")</f>
        <v>https://www.xiaohongshu.com/user/profile/54dd8e01e779894703c50868</v>
      </c>
      <c r="C922" s="2" t="str">
        <f>=HYPERLINK("https://pgy.xiaohongshu.com/solar/pre-trade/blogger-detail/54dd8e01e779894703c50868", "https://pgy.xiaohongshu.com/solar/pre-trade/blogger-detail/54dd8e01e779894703c50868")</f>
        <v>https://pgy.xiaohongshu.com/solar/pre-trade/blogger-detail/54dd8e01e779894703c50868</v>
      </c>
      <c r="D922" t="inlineStr">
        <is>
          <t>女</t>
        </is>
      </c>
      <c r="E922" t="inlineStr">
        <is>
          <t>629010068</t>
        </is>
      </c>
      <c r="F922" t="inlineStr">
        <is>
          <t>可可酱今天上班吗</t>
        </is>
      </c>
      <c r="G922" t="inlineStr">
        <is>
          <t>美国</t>
        </is>
      </c>
      <c r="H922" t="inlineStr">
        <is>
          <t>留学背景</t>
        </is>
      </c>
      <c r="I922" t="inlineStr">
        <is>
          <t>职场</t>
        </is>
      </c>
      <c r="J922">
        <v>13946</v>
      </c>
      <c r="K922" t="inlineStr">
        <is>
          <t>1.4</t>
        </is>
      </c>
      <c r="L922">
        <v>12220</v>
      </c>
      <c r="M922">
        <v>996</v>
      </c>
      <c r="N922">
        <v>218</v>
      </c>
      <c r="O922">
        <v>1929</v>
      </c>
      <c r="P922">
        <v>0.091</v>
      </c>
      <c r="Q922">
        <v>0.364</v>
      </c>
      <c r="R922">
        <v>12159</v>
      </c>
      <c r="S922">
        <v>951</v>
      </c>
      <c r="T922">
        <v>163</v>
      </c>
      <c r="U922">
        <v>2.33</v>
      </c>
      <c r="V922">
        <v>1929</v>
      </c>
      <c r="W922">
        <v>0.375</v>
      </c>
      <c r="X922">
        <v>0.125</v>
      </c>
      <c r="Y922">
        <v>158.65</v>
      </c>
      <c r="Z922">
        <v>10.72</v>
      </c>
      <c r="AA922">
        <v>16059</v>
      </c>
      <c r="AB922">
        <v>1694</v>
      </c>
      <c r="AC922">
        <v>195</v>
      </c>
      <c r="AD922">
        <v>3.4</v>
      </c>
      <c r="AE922">
        <v>3216</v>
      </c>
      <c r="AF922">
        <v>0.332999999999999</v>
      </c>
      <c r="AG922">
        <v>0</v>
      </c>
      <c r="AH922">
        <v>0.119</v>
      </c>
      <c r="AI922">
        <v>200.26</v>
      </c>
      <c r="AJ922">
        <v>13.57</v>
      </c>
      <c r="AK922">
        <v>0</v>
      </c>
      <c r="AL922">
        <v>0</v>
      </c>
      <c r="AM922">
        <v>0</v>
      </c>
      <c r="AN922">
        <v>0</v>
      </c>
      <c r="AO922">
        <v>0</v>
      </c>
      <c r="AP922">
        <v>0.86</v>
      </c>
      <c r="AQ922">
        <v>0.059</v>
      </c>
      <c r="AR922">
        <v>0.0819999999999999</v>
      </c>
      <c r="AS922" s="3">
        <v>46107.77579861111</v>
      </c>
    </row>
    <row r="923" ht="25.5" customHeight="1">
      <c r="A923" t="inlineStr">
        <is>
          <t>622070e9000000001000c9d0</t>
        </is>
      </c>
      <c r="B923" s="2" t="str">
        <f>=HYPERLINK("https://www.xiaohongshu.com/user/profile/622070e9000000001000c9d0", "https://www.xiaohongshu.com/user/profile/622070e9000000001000c9d0")</f>
        <v>https://www.xiaohongshu.com/user/profile/622070e9000000001000c9d0</v>
      </c>
      <c r="C923" s="2" t="str">
        <f>=HYPERLINK("https://pgy.xiaohongshu.com/solar/pre-trade/blogger-detail/622070e9000000001000c9d0", "https://pgy.xiaohongshu.com/solar/pre-trade/blogger-detail/622070e9000000001000c9d0")</f>
        <v>https://pgy.xiaohongshu.com/solar/pre-trade/blogger-detail/622070e9000000001000c9d0</v>
      </c>
      <c r="D923" t="inlineStr">
        <is>
          <t>男</t>
        </is>
      </c>
      <c r="E923" t="inlineStr">
        <is>
          <t>2879525845</t>
        </is>
      </c>
      <c r="F923" t="inlineStr">
        <is>
          <t>爱吃烧烤的三十三</t>
        </is>
      </c>
      <c r="G923" t="inlineStr">
        <is>
          <t>江西 赣州 赣县区</t>
        </is>
      </c>
      <c r="H923" t="inlineStr">
        <is>
          <t>考研过来人, 学生</t>
        </is>
      </c>
      <c r="I923" t="inlineStr">
        <is>
          <t>教育</t>
        </is>
      </c>
      <c r="J923">
        <v>3399</v>
      </c>
      <c r="K923" t="inlineStr">
        <is>
          <t>0.3</t>
        </is>
      </c>
      <c r="L923">
        <v>5625</v>
      </c>
      <c r="M923">
        <v>768</v>
      </c>
      <c r="N923">
        <v>113</v>
      </c>
      <c r="O923">
        <v>200</v>
      </c>
      <c r="P923">
        <v>0</v>
      </c>
      <c r="Q923">
        <v>0.231</v>
      </c>
      <c r="R923">
        <v>5625</v>
      </c>
      <c r="S923">
        <v>768</v>
      </c>
      <c r="T923">
        <v>93</v>
      </c>
      <c r="U923">
        <v>0.56</v>
      </c>
      <c r="V923">
        <v>200</v>
      </c>
      <c r="W923">
        <v>0.231</v>
      </c>
      <c r="X923">
        <v>0</v>
      </c>
      <c r="Y923">
        <v>35.56</v>
      </c>
      <c r="Z923">
        <v>1.77</v>
      </c>
      <c r="AA923">
        <v>0</v>
      </c>
      <c r="AB923">
        <v>0</v>
      </c>
      <c r="AC923">
        <v>0</v>
      </c>
      <c r="AD923">
        <v>0</v>
      </c>
      <c r="AE923">
        <v>999</v>
      </c>
      <c r="AF923">
        <v>0</v>
      </c>
      <c r="AG923">
        <v>0</v>
      </c>
      <c r="AH923">
        <v>0</v>
      </c>
      <c r="AI923">
        <v>0</v>
      </c>
      <c r="AJ923">
        <v>0</v>
      </c>
      <c r="AK923">
        <v>0</v>
      </c>
      <c r="AL923">
        <v>0</v>
      </c>
      <c r="AM923">
        <v>0</v>
      </c>
      <c r="AN923">
        <v>0</v>
      </c>
      <c r="AO923">
        <v>0</v>
      </c>
      <c r="AP923">
        <v>0.805</v>
      </c>
      <c r="AQ923">
        <v>0.063</v>
      </c>
      <c r="AR923">
        <v>0.037</v>
      </c>
      <c r="AS923" s="3">
        <v>46107.77579861111</v>
      </c>
    </row>
    <row r="924" ht="25.5" customHeight="1">
      <c r="A924" t="inlineStr">
        <is>
          <t>5eacf4bf0000000001003975</t>
        </is>
      </c>
      <c r="B924" s="2" t="str">
        <f>=HYPERLINK("https://www.xiaohongshu.com/user/profile/5eacf4bf0000000001003975", "https://www.xiaohongshu.com/user/profile/5eacf4bf0000000001003975")</f>
        <v>https://www.xiaohongshu.com/user/profile/5eacf4bf0000000001003975</v>
      </c>
      <c r="C924" s="2" t="str">
        <f>=HYPERLINK("https://pgy.xiaohongshu.com/solar/pre-trade/blogger-detail/5eacf4bf0000000001003975", "https://pgy.xiaohongshu.com/solar/pre-trade/blogger-detail/5eacf4bf0000000001003975")</f>
        <v>https://pgy.xiaohongshu.com/solar/pre-trade/blogger-detail/5eacf4bf0000000001003975</v>
      </c>
      <c r="D924" t="inlineStr">
        <is>
          <t>男</t>
        </is>
      </c>
      <c r="E924" t="inlineStr">
        <is>
          <t>253243556</t>
        </is>
      </c>
      <c r="F924" t="inlineStr">
        <is>
          <t>猫猫法师</t>
        </is>
      </c>
      <c r="G924" t="inlineStr">
        <is>
          <t>山东 青岛 崂山区</t>
        </is>
      </c>
      <c r="H924"/>
      <c r="I924" t="inlineStr">
        <is>
          <t>教育, 文化艺术</t>
        </is>
      </c>
      <c r="J924">
        <v>13424</v>
      </c>
      <c r="K924" t="inlineStr">
        <is>
          <t>1.3</t>
        </is>
      </c>
      <c r="L924">
        <v>10190</v>
      </c>
      <c r="M924">
        <v>1595</v>
      </c>
      <c r="N924">
        <v>316</v>
      </c>
      <c r="O924">
        <v>563</v>
      </c>
      <c r="P924">
        <v>0</v>
      </c>
      <c r="Q924">
        <v>0.778</v>
      </c>
      <c r="R924">
        <v>10231</v>
      </c>
      <c r="S924">
        <v>1635</v>
      </c>
      <c r="T924">
        <v>262</v>
      </c>
      <c r="U924">
        <v>0.64</v>
      </c>
      <c r="V924">
        <v>563</v>
      </c>
      <c r="W924">
        <v>0.778</v>
      </c>
      <c r="X924">
        <v>0</v>
      </c>
      <c r="Y924">
        <v>55.03</v>
      </c>
      <c r="Z924">
        <v>1.72</v>
      </c>
      <c r="AA924">
        <v>0</v>
      </c>
      <c r="AB924">
        <v>0</v>
      </c>
      <c r="AC924">
        <v>0</v>
      </c>
      <c r="AD924">
        <v>0</v>
      </c>
      <c r="AE924">
        <v>1126</v>
      </c>
      <c r="AF924">
        <v>0</v>
      </c>
      <c r="AG924">
        <v>0</v>
      </c>
      <c r="AH924">
        <v>0</v>
      </c>
      <c r="AI924">
        <v>0</v>
      </c>
      <c r="AJ924">
        <v>0</v>
      </c>
      <c r="AK924">
        <v>0</v>
      </c>
      <c r="AL924">
        <v>0</v>
      </c>
      <c r="AM924">
        <v>0</v>
      </c>
      <c r="AN924">
        <v>0</v>
      </c>
      <c r="AO924">
        <v>0</v>
      </c>
      <c r="AP924">
        <v>0.914</v>
      </c>
      <c r="AQ924">
        <v>0.091</v>
      </c>
      <c r="AR924">
        <v>0.11</v>
      </c>
      <c r="AS924" s="3">
        <v>46107.77579861111</v>
      </c>
    </row>
    <row r="925" ht="25.5" customHeight="1">
      <c r="A925" t="inlineStr">
        <is>
          <t>67228c440000000001002098</t>
        </is>
      </c>
      <c r="B925" s="2" t="str">
        <f>=HYPERLINK("https://www.xiaohongshu.com/user/profile/67228c440000000001002098", "https://www.xiaohongshu.com/user/profile/67228c440000000001002098")</f>
        <v>https://www.xiaohongshu.com/user/profile/67228c440000000001002098</v>
      </c>
      <c r="C925" s="2" t="str">
        <f>=HYPERLINK("https://pgy.xiaohongshu.com/solar/pre-trade/blogger-detail/67228c440000000001002098", "https://pgy.xiaohongshu.com/solar/pre-trade/blogger-detail/67228c440000000001002098")</f>
        <v>https://pgy.xiaohongshu.com/solar/pre-trade/blogger-detail/67228c440000000001002098</v>
      </c>
      <c r="D925" t="inlineStr">
        <is>
          <t>男</t>
        </is>
      </c>
      <c r="E925" t="inlineStr">
        <is>
          <t>94145674394</t>
        </is>
      </c>
      <c r="F925" t="inlineStr">
        <is>
          <t>醉花溪</t>
        </is>
      </c>
      <c r="G925" t="inlineStr">
        <is>
          <t>福建 泉州 石狮市</t>
        </is>
      </c>
      <c r="H925"/>
      <c r="I925" t="inlineStr">
        <is>
          <t>教育</t>
        </is>
      </c>
      <c r="J925">
        <v>3768</v>
      </c>
      <c r="K925" t="inlineStr">
        <is>
          <t>0.4</t>
        </is>
      </c>
      <c r="L925">
        <v>1286</v>
      </c>
      <c r="M925">
        <v>892</v>
      </c>
      <c r="N925">
        <v>243</v>
      </c>
      <c r="O925">
        <v>150</v>
      </c>
      <c r="P925">
        <v>0</v>
      </c>
      <c r="Q925">
        <v>0.5</v>
      </c>
      <c r="R925">
        <v>0</v>
      </c>
      <c r="S925">
        <v>0</v>
      </c>
      <c r="T925">
        <v>0</v>
      </c>
      <c r="U925">
        <v>0.42</v>
      </c>
      <c r="V925">
        <v>150</v>
      </c>
      <c r="W925">
        <v>0</v>
      </c>
      <c r="X925">
        <v>0</v>
      </c>
      <c r="Y925">
        <v>15.23</v>
      </c>
      <c r="Z925">
        <v>0.72</v>
      </c>
      <c r="AA925">
        <v>1286</v>
      </c>
      <c r="AB925">
        <v>892</v>
      </c>
      <c r="AC925">
        <v>228</v>
      </c>
      <c r="AD925">
        <v>1.67</v>
      </c>
      <c r="AE925">
        <v>150</v>
      </c>
      <c r="AF925">
        <v>0.5</v>
      </c>
      <c r="AG925">
        <v>0</v>
      </c>
      <c r="AH925">
        <v>0.206</v>
      </c>
      <c r="AI925">
        <v>116.6</v>
      </c>
      <c r="AJ925">
        <v>0.62</v>
      </c>
      <c r="AK925">
        <v>10291</v>
      </c>
      <c r="AL925">
        <v>1292</v>
      </c>
      <c r="AM925">
        <v>190</v>
      </c>
      <c r="AN925">
        <v>0</v>
      </c>
      <c r="AO925">
        <v>9</v>
      </c>
      <c r="AP925">
        <v>0.639</v>
      </c>
      <c r="AQ925">
        <v>0.054</v>
      </c>
      <c r="AR925">
        <v>0.084</v>
      </c>
      <c r="AS925" s="3">
        <v>46107.77579861111</v>
      </c>
    </row>
    <row r="926" ht="25.5" customHeight="1">
      <c r="A926" t="inlineStr">
        <is>
          <t>67fc734e000000000601f577</t>
        </is>
      </c>
      <c r="B926" s="2" t="str">
        <f>=HYPERLINK("https://www.xiaohongshu.com/user/profile/67fc734e000000000601f577", "https://www.xiaohongshu.com/user/profile/67fc734e000000000601f577")</f>
        <v>https://www.xiaohongshu.com/user/profile/67fc734e000000000601f577</v>
      </c>
      <c r="C926" s="2" t="str">
        <f>=HYPERLINK("https://pgy.xiaohongshu.com/solar/pre-trade/blogger-detail/67fc734e000000000601f577", "https://pgy.xiaohongshu.com/solar/pre-trade/blogger-detail/67fc734e000000000601f577")</f>
        <v>https://pgy.xiaohongshu.com/solar/pre-trade/blogger-detail/67fc734e000000000601f577</v>
      </c>
      <c r="D926" t="inlineStr">
        <is>
          <t>女</t>
        </is>
      </c>
      <c r="E926" t="inlineStr">
        <is>
          <t>95392740256</t>
        </is>
      </c>
      <c r="F926" t="inlineStr">
        <is>
          <t>科研小白在努力</t>
        </is>
      </c>
      <c r="G926" t="inlineStr">
        <is>
          <t>江西 南昌 红谷滩区</t>
        </is>
      </c>
      <c r="H926" t="inlineStr">
        <is>
          <t>学生</t>
        </is>
      </c>
      <c r="I926" t="inlineStr">
        <is>
          <t>教育</t>
        </is>
      </c>
      <c r="J926">
        <v>1614</v>
      </c>
      <c r="K926" t="inlineStr">
        <is>
          <t>0.2</t>
        </is>
      </c>
      <c r="L926">
        <v>11734</v>
      </c>
      <c r="M926">
        <v>1553</v>
      </c>
      <c r="N926">
        <v>141</v>
      </c>
      <c r="O926">
        <v>100</v>
      </c>
      <c r="P926">
        <v>0</v>
      </c>
      <c r="Q926">
        <v>0.25</v>
      </c>
      <c r="R926">
        <v>0</v>
      </c>
      <c r="S926">
        <v>0</v>
      </c>
      <c r="T926">
        <v>0</v>
      </c>
      <c r="U926">
        <v>0.98</v>
      </c>
      <c r="V926">
        <v>100</v>
      </c>
      <c r="W926">
        <v>0</v>
      </c>
      <c r="X926">
        <v>0</v>
      </c>
      <c r="Y926">
        <v>17.04</v>
      </c>
      <c r="Z926">
        <v>2.94</v>
      </c>
      <c r="AA926">
        <v>11734</v>
      </c>
      <c r="AB926">
        <v>1553</v>
      </c>
      <c r="AC926">
        <v>125</v>
      </c>
      <c r="AD926">
        <v>1.67</v>
      </c>
      <c r="AE926">
        <v>260</v>
      </c>
      <c r="AF926">
        <v>0.25</v>
      </c>
      <c r="AG926">
        <v>0</v>
      </c>
      <c r="AH926">
        <v>0.024</v>
      </c>
      <c r="AI926">
        <v>22.16</v>
      </c>
      <c r="AJ926">
        <v>1.84</v>
      </c>
      <c r="AK926">
        <v>5867</v>
      </c>
      <c r="AL926">
        <v>146</v>
      </c>
      <c r="AM926">
        <v>25</v>
      </c>
      <c r="AN926">
        <v>0</v>
      </c>
      <c r="AO926">
        <v>0</v>
      </c>
      <c r="AP926">
        <v>0.994</v>
      </c>
      <c r="AQ926">
        <v>0.214</v>
      </c>
      <c r="AR926">
        <v>0</v>
      </c>
      <c r="AS926" s="3">
        <v>46107.77579861111</v>
      </c>
    </row>
    <row r="927" ht="25.5" customHeight="1">
      <c r="A927" t="inlineStr">
        <is>
          <t>678f124a0000000006011acd</t>
        </is>
      </c>
      <c r="B927" s="2" t="str">
        <f>=HYPERLINK("https://www.xiaohongshu.com/user/profile/678f124a0000000006011acd", "https://www.xiaohongshu.com/user/profile/678f124a0000000006011acd")</f>
        <v>https://www.xiaohongshu.com/user/profile/678f124a0000000006011acd</v>
      </c>
      <c r="C927" s="2" t="str">
        <f>=HYPERLINK("https://pgy.xiaohongshu.com/solar/pre-trade/blogger-detail/678f124a0000000006011acd", "https://pgy.xiaohongshu.com/solar/pre-trade/blogger-detail/678f124a0000000006011acd")</f>
        <v>https://pgy.xiaohongshu.com/solar/pre-trade/blogger-detail/678f124a0000000006011acd</v>
      </c>
      <c r="D927" t="inlineStr">
        <is>
          <t>女</t>
        </is>
      </c>
      <c r="E927" t="inlineStr">
        <is>
          <t>42934396083</t>
        </is>
      </c>
      <c r="F927" t="inlineStr">
        <is>
          <t>西瓜喜欢吃西瓜</t>
        </is>
      </c>
      <c r="G927" t="inlineStr">
        <is>
          <t>河南 安阳 文峰区</t>
        </is>
      </c>
      <c r="H927" t="inlineStr">
        <is>
          <t>学生</t>
        </is>
      </c>
      <c r="I927" t="inlineStr">
        <is>
          <t>生活记录</t>
        </is>
      </c>
      <c r="J927">
        <v>1730</v>
      </c>
      <c r="K927" t="inlineStr">
        <is>
          <t>0.2</t>
        </is>
      </c>
      <c r="L927">
        <v>765</v>
      </c>
      <c r="M927">
        <v>159</v>
      </c>
      <c r="N927">
        <v>121</v>
      </c>
      <c r="O927">
        <v>260</v>
      </c>
      <c r="P927">
        <v>0</v>
      </c>
      <c r="Q927">
        <v>0</v>
      </c>
      <c r="R927">
        <v>773</v>
      </c>
      <c r="S927">
        <v>154</v>
      </c>
      <c r="T927">
        <v>125</v>
      </c>
      <c r="U927">
        <v>1.98</v>
      </c>
      <c r="V927">
        <v>260</v>
      </c>
      <c r="W927">
        <v>0</v>
      </c>
      <c r="X927">
        <v>0</v>
      </c>
      <c r="Y927">
        <v>336.13</v>
      </c>
      <c r="Z927">
        <v>2.07</v>
      </c>
      <c r="AA927">
        <v>634</v>
      </c>
      <c r="AB927">
        <v>171</v>
      </c>
      <c r="AC927">
        <v>74</v>
      </c>
      <c r="AD927">
        <v>3.72</v>
      </c>
      <c r="AE927">
        <v>380</v>
      </c>
      <c r="AF927">
        <v>0</v>
      </c>
      <c r="AG927">
        <v>0</v>
      </c>
      <c r="AH927">
        <v>0.156</v>
      </c>
      <c r="AI927">
        <v>599.37</v>
      </c>
      <c r="AJ927">
        <v>4.94</v>
      </c>
      <c r="AK927">
        <v>0</v>
      </c>
      <c r="AL927">
        <v>0</v>
      </c>
      <c r="AM927">
        <v>0</v>
      </c>
      <c r="AN927">
        <v>0</v>
      </c>
      <c r="AO927">
        <v>0</v>
      </c>
      <c r="AP927">
        <v>0.757</v>
      </c>
      <c r="AQ927">
        <v>0.091</v>
      </c>
      <c r="AR927">
        <v>0.08</v>
      </c>
      <c r="AS927" s="3">
        <v>46107.77579861111</v>
      </c>
    </row>
    <row r="928" ht="25.5" customHeight="1">
      <c r="A928" t="inlineStr">
        <is>
          <t>67f9de0c000000000e0121bd</t>
        </is>
      </c>
      <c r="B928" s="2" t="str">
        <f>=HYPERLINK("https://www.xiaohongshu.com/user/profile/67f9de0c000000000e0121bd", "https://www.xiaohongshu.com/user/profile/67f9de0c000000000e0121bd")</f>
        <v>https://www.xiaohongshu.com/user/profile/67f9de0c000000000e0121bd</v>
      </c>
      <c r="C928" s="2" t="str">
        <f>=HYPERLINK("https://pgy.xiaohongshu.com/solar/pre-trade/blogger-detail/67f9de0c000000000e0121bd", "https://pgy.xiaohongshu.com/solar/pre-trade/blogger-detail/67f9de0c000000000e0121bd")</f>
        <v>https://pgy.xiaohongshu.com/solar/pre-trade/blogger-detail/67f9de0c000000000e0121bd</v>
      </c>
      <c r="D928" t="inlineStr">
        <is>
          <t>女</t>
        </is>
      </c>
      <c r="E928" t="inlineStr">
        <is>
          <t>95374462470</t>
        </is>
      </c>
      <c r="F928" t="inlineStr">
        <is>
          <t>Mukam</t>
        </is>
      </c>
      <c r="G928" t="inlineStr">
        <is>
          <t>北京</t>
        </is>
      </c>
      <c r="H928"/>
      <c r="I928" t="inlineStr">
        <is>
          <t>教育</t>
        </is>
      </c>
      <c r="J928">
        <v>4392</v>
      </c>
      <c r="K928" t="inlineStr">
        <is>
          <t>0.4</t>
        </is>
      </c>
      <c r="L928">
        <v>13895</v>
      </c>
      <c r="M928">
        <v>3685</v>
      </c>
      <c r="N928">
        <v>113</v>
      </c>
      <c r="O928">
        <v>150</v>
      </c>
      <c r="P928">
        <v>0.071</v>
      </c>
      <c r="Q928">
        <v>0.429</v>
      </c>
      <c r="R928">
        <v>0</v>
      </c>
      <c r="S928">
        <v>0</v>
      </c>
      <c r="T928">
        <v>0</v>
      </c>
      <c r="U928">
        <v>0</v>
      </c>
      <c r="V928">
        <v>150</v>
      </c>
      <c r="W928">
        <v>0</v>
      </c>
      <c r="X928">
        <v>0</v>
      </c>
      <c r="Y928">
        <v>0</v>
      </c>
      <c r="Z928">
        <v>0</v>
      </c>
      <c r="AA928">
        <v>13895</v>
      </c>
      <c r="AB928">
        <v>3685</v>
      </c>
      <c r="AC928">
        <v>113</v>
      </c>
      <c r="AD928">
        <v>1.61</v>
      </c>
      <c r="AE928">
        <v>400</v>
      </c>
      <c r="AF928">
        <v>0.429</v>
      </c>
      <c r="AG928">
        <v>0.071</v>
      </c>
      <c r="AH928">
        <v>0.253</v>
      </c>
      <c r="AI928">
        <v>28.79</v>
      </c>
      <c r="AJ928">
        <v>3.54</v>
      </c>
      <c r="AK928">
        <v>0</v>
      </c>
      <c r="AL928">
        <v>0</v>
      </c>
      <c r="AM928">
        <v>0</v>
      </c>
      <c r="AN928">
        <v>0</v>
      </c>
      <c r="AO928">
        <v>0</v>
      </c>
      <c r="AP928">
        <v>0.982</v>
      </c>
      <c r="AQ928">
        <v>0.106</v>
      </c>
      <c r="AR928">
        <v>0.946</v>
      </c>
      <c r="AS928" s="3">
        <v>46107.77579861111</v>
      </c>
    </row>
    <row r="929" ht="25.5" customHeight="1">
      <c r="A929" t="inlineStr">
        <is>
          <t>607b95b6000000000101e361</t>
        </is>
      </c>
      <c r="B929" s="2" t="str">
        <f>=HYPERLINK("https://www.xiaohongshu.com/user/profile/607b95b6000000000101e361", "https://www.xiaohongshu.com/user/profile/607b95b6000000000101e361")</f>
        <v>https://www.xiaohongshu.com/user/profile/607b95b6000000000101e361</v>
      </c>
      <c r="C929" s="2" t="str">
        <f>=HYPERLINK("https://pgy.xiaohongshu.com/solar/pre-trade/blogger-detail/607b95b6000000000101e361", "https://pgy.xiaohongshu.com/solar/pre-trade/blogger-detail/607b95b6000000000101e361")</f>
        <v>https://pgy.xiaohongshu.com/solar/pre-trade/blogger-detail/607b95b6000000000101e361</v>
      </c>
      <c r="D929" t="inlineStr">
        <is>
          <t>男</t>
        </is>
      </c>
      <c r="E929" t="inlineStr">
        <is>
          <t>4284157194</t>
        </is>
      </c>
      <c r="F929" t="inlineStr">
        <is>
          <t>外国语White</t>
        </is>
      </c>
      <c r="G929" t="inlineStr">
        <is>
          <t>江苏 金湖县</t>
        </is>
      </c>
      <c r="H929"/>
      <c r="I929" t="inlineStr">
        <is>
          <t>教育, 生活记录</t>
        </is>
      </c>
      <c r="J929">
        <v>11072</v>
      </c>
      <c r="K929" t="inlineStr">
        <is>
          <t>1.1</t>
        </is>
      </c>
      <c r="L929">
        <v>15470</v>
      </c>
      <c r="M929">
        <v>7928</v>
      </c>
      <c r="N929">
        <v>139</v>
      </c>
      <c r="O929">
        <v>231</v>
      </c>
      <c r="P929">
        <v>0.0559999999999999</v>
      </c>
      <c r="Q929">
        <v>0.5</v>
      </c>
      <c r="R929">
        <v>0</v>
      </c>
      <c r="S929">
        <v>0</v>
      </c>
      <c r="T929">
        <v>0</v>
      </c>
      <c r="U929">
        <v>0</v>
      </c>
      <c r="V929">
        <v>231</v>
      </c>
      <c r="W929">
        <v>0</v>
      </c>
      <c r="X929">
        <v>0</v>
      </c>
      <c r="Y929">
        <v>0</v>
      </c>
      <c r="Z929">
        <v>0</v>
      </c>
      <c r="AA929">
        <v>15470</v>
      </c>
      <c r="AB929">
        <v>7928</v>
      </c>
      <c r="AC929">
        <v>126</v>
      </c>
      <c r="AD929">
        <v>1.56</v>
      </c>
      <c r="AE929">
        <v>500</v>
      </c>
      <c r="AF929">
        <v>0.5</v>
      </c>
      <c r="AG929">
        <v>0.0559999999999999</v>
      </c>
      <c r="AH929">
        <v>0.0969999999999999</v>
      </c>
      <c r="AI929">
        <v>32.32</v>
      </c>
      <c r="AJ929">
        <v>3.6</v>
      </c>
      <c r="AK929">
        <v>0</v>
      </c>
      <c r="AL929">
        <v>0</v>
      </c>
      <c r="AM929">
        <v>0</v>
      </c>
      <c r="AN929">
        <v>0</v>
      </c>
      <c r="AO929">
        <v>0</v>
      </c>
      <c r="AP929">
        <v>0.863</v>
      </c>
      <c r="AQ929">
        <v>0.1</v>
      </c>
      <c r="AR929">
        <v>0.361</v>
      </c>
      <c r="AS929" s="3">
        <v>46107.77579861111</v>
      </c>
    </row>
    <row r="930" ht="25.5" customHeight="1">
      <c r="A930" t="inlineStr">
        <is>
          <t>5b6680b60663c400013c479f</t>
        </is>
      </c>
      <c r="B930" s="2" t="str">
        <f>=HYPERLINK("https://www.xiaohongshu.com/user/profile/5b6680b60663c400013c479f", "https://www.xiaohongshu.com/user/profile/5b6680b60663c400013c479f")</f>
        <v>https://www.xiaohongshu.com/user/profile/5b6680b60663c400013c479f</v>
      </c>
      <c r="C930" s="2" t="str">
        <f>=HYPERLINK("https://pgy.xiaohongshu.com/solar/pre-trade/blogger-detail/5b6680b60663c400013c479f", "https://pgy.xiaohongshu.com/solar/pre-trade/blogger-detail/5b6680b60663c400013c479f")</f>
        <v>https://pgy.xiaohongshu.com/solar/pre-trade/blogger-detail/5b6680b60663c400013c479f</v>
      </c>
      <c r="D930" t="inlineStr">
        <is>
          <t>男</t>
        </is>
      </c>
      <c r="E930" t="inlineStr">
        <is>
          <t>sokachii</t>
        </is>
      </c>
      <c r="F930" t="inlineStr">
        <is>
          <t>冰摇美式</t>
        </is>
      </c>
      <c r="G930" t="inlineStr">
        <is>
          <t>北京</t>
        </is>
      </c>
      <c r="H930" t="inlineStr">
        <is>
          <t>法律从业者, 法考过来人, 考研过来人, 学生</t>
        </is>
      </c>
      <c r="I930" t="inlineStr">
        <is>
          <t>教育</t>
        </is>
      </c>
      <c r="J930">
        <v>23220</v>
      </c>
      <c r="K930" t="inlineStr">
        <is>
          <t>2.3</t>
        </is>
      </c>
      <c r="L930">
        <v>10599</v>
      </c>
      <c r="M930">
        <v>1911</v>
      </c>
      <c r="N930">
        <v>282</v>
      </c>
      <c r="O930">
        <v>3500</v>
      </c>
      <c r="P930">
        <v>0</v>
      </c>
      <c r="Q930">
        <v>0.75</v>
      </c>
      <c r="R930">
        <v>10806</v>
      </c>
      <c r="S930">
        <v>2267</v>
      </c>
      <c r="T930">
        <v>276</v>
      </c>
      <c r="U930">
        <v>1.84</v>
      </c>
      <c r="V930">
        <v>3500</v>
      </c>
      <c r="W930">
        <v>1</v>
      </c>
      <c r="X930">
        <v>0</v>
      </c>
      <c r="Y930">
        <v>323.89</v>
      </c>
      <c r="Z930">
        <v>10.67</v>
      </c>
      <c r="AA930">
        <v>4851</v>
      </c>
      <c r="AB930">
        <v>1055</v>
      </c>
      <c r="AC930">
        <v>154</v>
      </c>
      <c r="AD930">
        <v>6.81</v>
      </c>
      <c r="AE930">
        <v>5600</v>
      </c>
      <c r="AF930">
        <v>0</v>
      </c>
      <c r="AG930">
        <v>0</v>
      </c>
      <c r="AH930">
        <v>0.387</v>
      </c>
      <c r="AI930">
        <v>1154.4</v>
      </c>
      <c r="AJ930">
        <v>30.43</v>
      </c>
      <c r="AK930">
        <v>122207</v>
      </c>
      <c r="AL930">
        <v>15660</v>
      </c>
      <c r="AM930">
        <v>969</v>
      </c>
      <c r="AN930">
        <v>0</v>
      </c>
      <c r="AO930">
        <v>0</v>
      </c>
      <c r="AP930">
        <v>0.809</v>
      </c>
      <c r="AQ930">
        <v>0.038</v>
      </c>
      <c r="AR930">
        <v>0.011</v>
      </c>
      <c r="AS930" s="3">
        <v>46107.77579861111</v>
      </c>
    </row>
    <row r="931" ht="25.5" customHeight="1">
      <c r="A931" t="inlineStr">
        <is>
          <t>5e314186000000000100ad5e</t>
        </is>
      </c>
      <c r="B931" s="2" t="str">
        <f>=HYPERLINK("https://www.xiaohongshu.com/user/profile/5e314186000000000100ad5e", "https://www.xiaohongshu.com/user/profile/5e314186000000000100ad5e")</f>
        <v>https://www.xiaohongshu.com/user/profile/5e314186000000000100ad5e</v>
      </c>
      <c r="C931" s="2" t="str">
        <f>=HYPERLINK("https://pgy.xiaohongshu.com/solar/pre-trade/blogger-detail/5e314186000000000100ad5e", "https://pgy.xiaohongshu.com/solar/pre-trade/blogger-detail/5e314186000000000100ad5e")</f>
        <v>https://pgy.xiaohongshu.com/solar/pre-trade/blogger-detail/5e314186000000000100ad5e</v>
      </c>
      <c r="D931" t="inlineStr">
        <is>
          <t>女</t>
        </is>
      </c>
      <c r="E931" t="inlineStr">
        <is>
          <t>759668107</t>
        </is>
      </c>
      <c r="F931" t="inlineStr">
        <is>
          <t>安然若风Auro</t>
        </is>
      </c>
      <c r="G931" t="inlineStr">
        <is>
          <t>广东 广州 天河区</t>
        </is>
      </c>
      <c r="H931" t="inlineStr">
        <is>
          <t>学生</t>
        </is>
      </c>
      <c r="I931" t="inlineStr">
        <is>
          <t>教育</t>
        </is>
      </c>
      <c r="J931">
        <v>9703</v>
      </c>
      <c r="K931" t="inlineStr">
        <is>
          <t>1.0</t>
        </is>
      </c>
      <c r="L931">
        <v>5438</v>
      </c>
      <c r="M931">
        <v>645</v>
      </c>
      <c r="N931">
        <v>214</v>
      </c>
      <c r="O931">
        <v>396</v>
      </c>
      <c r="P931">
        <v>0</v>
      </c>
      <c r="Q931">
        <v>0.332999999999999</v>
      </c>
      <c r="R931">
        <v>5438</v>
      </c>
      <c r="S931">
        <v>645</v>
      </c>
      <c r="T931">
        <v>194</v>
      </c>
      <c r="U931">
        <v>0.91</v>
      </c>
      <c r="V931">
        <v>396</v>
      </c>
      <c r="W931">
        <v>0.332999999999999</v>
      </c>
      <c r="X931">
        <v>0</v>
      </c>
      <c r="Y931">
        <v>72.82</v>
      </c>
      <c r="Z931">
        <v>1.85</v>
      </c>
      <c r="AA931">
        <v>0</v>
      </c>
      <c r="AB931">
        <v>0</v>
      </c>
      <c r="AC931">
        <v>0</v>
      </c>
      <c r="AD931">
        <v>0</v>
      </c>
      <c r="AE931">
        <v>708</v>
      </c>
      <c r="AF931">
        <v>0</v>
      </c>
      <c r="AG931">
        <v>0</v>
      </c>
      <c r="AH931">
        <v>0</v>
      </c>
      <c r="AI931">
        <v>0</v>
      </c>
      <c r="AJ931">
        <v>0</v>
      </c>
      <c r="AK931">
        <v>0</v>
      </c>
      <c r="AL931">
        <v>0</v>
      </c>
      <c r="AM931">
        <v>0</v>
      </c>
      <c r="AN931">
        <v>0</v>
      </c>
      <c r="AO931">
        <v>0</v>
      </c>
      <c r="AP931">
        <v>0.795</v>
      </c>
      <c r="AQ931">
        <v>0.013</v>
      </c>
      <c r="AR931">
        <v>-0.003</v>
      </c>
      <c r="AS931" s="3">
        <v>46107.77579861111</v>
      </c>
    </row>
    <row r="932" ht="25.5" customHeight="1">
      <c r="A932" t="inlineStr">
        <is>
          <t>5e8f0f140000000001004e88</t>
        </is>
      </c>
      <c r="B932" s="2" t="str">
        <f>=HYPERLINK("https://www.xiaohongshu.com/user/profile/5e8f0f140000000001004e88", "https://www.xiaohongshu.com/user/profile/5e8f0f140000000001004e88")</f>
        <v>https://www.xiaohongshu.com/user/profile/5e8f0f140000000001004e88</v>
      </c>
      <c r="C932" s="2" t="str">
        <f>=HYPERLINK("https://pgy.xiaohongshu.com/solar/pre-trade/blogger-detail/5e8f0f140000000001004e88", "https://pgy.xiaohongshu.com/solar/pre-trade/blogger-detail/5e8f0f140000000001004e88")</f>
        <v>https://pgy.xiaohongshu.com/solar/pre-trade/blogger-detail/5e8f0f140000000001004e88</v>
      </c>
      <c r="D932" t="inlineStr">
        <is>
          <t>女</t>
        </is>
      </c>
      <c r="E932" t="inlineStr">
        <is>
          <t>780084448</t>
        </is>
      </c>
      <c r="F932" t="inlineStr">
        <is>
          <t>Dan👑～</t>
        </is>
      </c>
      <c r="G932" t="inlineStr">
        <is>
          <t>广东 东莞</t>
        </is>
      </c>
      <c r="H932"/>
      <c r="I932" t="inlineStr">
        <is>
          <t>教育</t>
        </is>
      </c>
      <c r="J932">
        <v>2080</v>
      </c>
      <c r="K932" t="inlineStr">
        <is>
          <t>0.2</t>
        </is>
      </c>
      <c r="L932">
        <v>3284</v>
      </c>
      <c r="M932">
        <v>1454</v>
      </c>
      <c r="N932">
        <v>152</v>
      </c>
      <c r="O932">
        <v>200</v>
      </c>
      <c r="P932">
        <v>0</v>
      </c>
      <c r="Q932">
        <v>0.087</v>
      </c>
      <c r="R932">
        <v>0</v>
      </c>
      <c r="S932">
        <v>0</v>
      </c>
      <c r="T932">
        <v>0</v>
      </c>
      <c r="U932">
        <v>0</v>
      </c>
      <c r="V932">
        <v>200</v>
      </c>
      <c r="W932">
        <v>0</v>
      </c>
      <c r="X932">
        <v>0</v>
      </c>
      <c r="Y932">
        <v>0</v>
      </c>
      <c r="Z932">
        <v>0</v>
      </c>
      <c r="AA932">
        <v>3284</v>
      </c>
      <c r="AB932">
        <v>1454</v>
      </c>
      <c r="AC932">
        <v>112</v>
      </c>
      <c r="AD932">
        <v>1.84</v>
      </c>
      <c r="AE932">
        <v>500</v>
      </c>
      <c r="AF932">
        <v>0.087</v>
      </c>
      <c r="AG932">
        <v>0</v>
      </c>
      <c r="AH932">
        <v>0.358</v>
      </c>
      <c r="AI932">
        <v>152.25</v>
      </c>
      <c r="AJ932">
        <v>3.29</v>
      </c>
      <c r="AK932">
        <v>0</v>
      </c>
      <c r="AL932">
        <v>0</v>
      </c>
      <c r="AM932">
        <v>0</v>
      </c>
      <c r="AN932">
        <v>0</v>
      </c>
      <c r="AO932">
        <v>0</v>
      </c>
      <c r="AP932">
        <v>0.919</v>
      </c>
      <c r="AQ932">
        <v>0.149</v>
      </c>
      <c r="AR932">
        <v>0</v>
      </c>
      <c r="AS932" s="3">
        <v>46107.77579861111</v>
      </c>
    </row>
    <row r="933" ht="25.5" customHeight="1">
      <c r="A933" t="inlineStr">
        <is>
          <t>62d1c9a2000000000200239c</t>
        </is>
      </c>
      <c r="B933" s="2" t="str">
        <f>=HYPERLINK("https://www.xiaohongshu.com/user/profile/62d1c9a2000000000200239c", "https://www.xiaohongshu.com/user/profile/62d1c9a2000000000200239c")</f>
        <v>https://www.xiaohongshu.com/user/profile/62d1c9a2000000000200239c</v>
      </c>
      <c r="C933" s="2" t="str">
        <f>=HYPERLINK("https://pgy.xiaohongshu.com/solar/pre-trade/blogger-detail/62d1c9a2000000000200239c", "https://pgy.xiaohongshu.com/solar/pre-trade/blogger-detail/62d1c9a2000000000200239c")</f>
        <v>https://pgy.xiaohongshu.com/solar/pre-trade/blogger-detail/62d1c9a2000000000200239c</v>
      </c>
      <c r="D933" t="inlineStr">
        <is>
          <t>女</t>
        </is>
      </c>
      <c r="E933" t="inlineStr">
        <is>
          <t>5430266153</t>
        </is>
      </c>
      <c r="F933" t="inlineStr">
        <is>
          <t>Teresa中美TCK</t>
        </is>
      </c>
      <c r="G933" t="inlineStr">
        <is>
          <t>美国</t>
        </is>
      </c>
      <c r="H933"/>
      <c r="I933" t="inlineStr">
        <is>
          <t>教育, 生活记录</t>
        </is>
      </c>
      <c r="J933">
        <v>36990</v>
      </c>
      <c r="K933" t="inlineStr">
        <is>
          <t>3.7</t>
        </is>
      </c>
      <c r="L933">
        <v>76155</v>
      </c>
      <c r="M933">
        <v>16097</v>
      </c>
      <c r="N933">
        <v>588</v>
      </c>
      <c r="O933">
        <v>2000</v>
      </c>
      <c r="P933">
        <v>0.111</v>
      </c>
      <c r="Q933">
        <v>0.778</v>
      </c>
      <c r="R933">
        <v>0</v>
      </c>
      <c r="S933">
        <v>0</v>
      </c>
      <c r="T933">
        <v>0</v>
      </c>
      <c r="U933">
        <v>0</v>
      </c>
      <c r="V933">
        <v>2000</v>
      </c>
      <c r="W933">
        <v>0</v>
      </c>
      <c r="X933">
        <v>0</v>
      </c>
      <c r="Y933">
        <v>0</v>
      </c>
      <c r="Z933">
        <v>0</v>
      </c>
      <c r="AA933">
        <v>76155</v>
      </c>
      <c r="AB933">
        <v>16097</v>
      </c>
      <c r="AC933">
        <v>412</v>
      </c>
      <c r="AD933">
        <v>1.78</v>
      </c>
      <c r="AE933">
        <v>4500</v>
      </c>
      <c r="AF933">
        <v>0.778</v>
      </c>
      <c r="AG933">
        <v>0.111</v>
      </c>
      <c r="AH933">
        <v>0.14</v>
      </c>
      <c r="AI933">
        <v>59.09</v>
      </c>
      <c r="AJ933">
        <v>7.65</v>
      </c>
      <c r="AK933">
        <v>0</v>
      </c>
      <c r="AL933">
        <v>0</v>
      </c>
      <c r="AM933">
        <v>0</v>
      </c>
      <c r="AN933">
        <v>0</v>
      </c>
      <c r="AO933">
        <v>0</v>
      </c>
      <c r="AP933">
        <v>0.971</v>
      </c>
      <c r="AQ933">
        <v>0.077</v>
      </c>
      <c r="AR933">
        <v>0.36</v>
      </c>
      <c r="AS933" s="3">
        <v>46107.77579861111</v>
      </c>
    </row>
    <row r="934" ht="25.5" customHeight="1">
      <c r="A934" t="inlineStr">
        <is>
          <t>5f98c83b000000000101d794</t>
        </is>
      </c>
      <c r="B934" s="2" t="str">
        <f>=HYPERLINK("https://www.xiaohongshu.com/user/profile/5f98c83b000000000101d794", "https://www.xiaohongshu.com/user/profile/5f98c83b000000000101d794")</f>
        <v>https://www.xiaohongshu.com/user/profile/5f98c83b000000000101d794</v>
      </c>
      <c r="C934" s="2" t="str">
        <f>=HYPERLINK("https://pgy.xiaohongshu.com/solar/pre-trade/blogger-detail/5f98c83b000000000101d794", "https://pgy.xiaohongshu.com/solar/pre-trade/blogger-detail/5f98c83b000000000101d794")</f>
        <v>https://pgy.xiaohongshu.com/solar/pre-trade/blogger-detail/5f98c83b000000000101d794</v>
      </c>
      <c r="D934" t="inlineStr">
        <is>
          <t>女</t>
        </is>
      </c>
      <c r="E934" t="inlineStr">
        <is>
          <t>itslilohere</t>
        </is>
      </c>
      <c r="F934" t="inlineStr">
        <is>
          <t>Lilo</t>
        </is>
      </c>
      <c r="G934" t="inlineStr">
        <is>
          <t>浙江 杭州 滨江区</t>
        </is>
      </c>
      <c r="H934" t="inlineStr">
        <is>
          <t>考研过来人, 翻译</t>
        </is>
      </c>
      <c r="I934" t="inlineStr">
        <is>
          <t>教育</t>
        </is>
      </c>
      <c r="J934">
        <v>4240</v>
      </c>
      <c r="K934" t="inlineStr">
        <is>
          <t>0.4</t>
        </is>
      </c>
      <c r="L934">
        <v>49827</v>
      </c>
      <c r="M934">
        <v>8007</v>
      </c>
      <c r="N934">
        <v>2899</v>
      </c>
      <c r="O934">
        <v>300</v>
      </c>
      <c r="P934">
        <v>0.5</v>
      </c>
      <c r="Q934">
        <v>0.5</v>
      </c>
      <c r="R934">
        <v>97406</v>
      </c>
      <c r="S934">
        <v>15581</v>
      </c>
      <c r="T934">
        <v>4776</v>
      </c>
      <c r="U934">
        <v>0.32</v>
      </c>
      <c r="V934">
        <v>300</v>
      </c>
      <c r="W934">
        <v>1</v>
      </c>
      <c r="X934">
        <v>1</v>
      </c>
      <c r="Y934">
        <v>3.08</v>
      </c>
      <c r="Z934">
        <v>0.05</v>
      </c>
      <c r="AA934">
        <v>2249</v>
      </c>
      <c r="AB934">
        <v>434</v>
      </c>
      <c r="AC934">
        <v>26</v>
      </c>
      <c r="AD934">
        <v>2.42</v>
      </c>
      <c r="AE934">
        <v>400</v>
      </c>
      <c r="AF934">
        <v>0</v>
      </c>
      <c r="AG934">
        <v>0</v>
      </c>
      <c r="AH934">
        <v>0.024</v>
      </c>
      <c r="AI934">
        <v>177.86</v>
      </c>
      <c r="AJ934">
        <v>9.76</v>
      </c>
      <c r="AK934">
        <v>0</v>
      </c>
      <c r="AL934">
        <v>0</v>
      </c>
      <c r="AM934">
        <v>0</v>
      </c>
      <c r="AN934">
        <v>0</v>
      </c>
      <c r="AO934">
        <v>0</v>
      </c>
      <c r="AP934">
        <v>0.904</v>
      </c>
      <c r="AQ934">
        <v>0.142</v>
      </c>
      <c r="AR934">
        <v>0.267</v>
      </c>
      <c r="AS934" s="3">
        <v>46107.77579861111</v>
      </c>
    </row>
    <row r="935" ht="25.5" customHeight="1">
      <c r="A935" t="inlineStr">
        <is>
          <t>63744d2c000000001f0170ee</t>
        </is>
      </c>
      <c r="B935" s="2" t="str">
        <f>=HYPERLINK("https://www.xiaohongshu.com/user/profile/63744d2c000000001f0170ee", "https://www.xiaohongshu.com/user/profile/63744d2c000000001f0170ee")</f>
        <v>https://www.xiaohongshu.com/user/profile/63744d2c000000001f0170ee</v>
      </c>
      <c r="C935" s="2" t="str">
        <f>=HYPERLINK("https://pgy.xiaohongshu.com/solar/pre-trade/blogger-detail/63744d2c000000001f0170ee", "https://pgy.xiaohongshu.com/solar/pre-trade/blogger-detail/63744d2c000000001f0170ee")</f>
        <v>https://pgy.xiaohongshu.com/solar/pre-trade/blogger-detail/63744d2c000000001f0170ee</v>
      </c>
      <c r="D935" t="inlineStr">
        <is>
          <t>女</t>
        </is>
      </c>
      <c r="E935" t="inlineStr">
        <is>
          <t>5402254360</t>
        </is>
      </c>
      <c r="F935" t="inlineStr">
        <is>
          <t>努力去够月亮的小伍</t>
        </is>
      </c>
      <c r="G935" t="inlineStr">
        <is>
          <t>四川 成都 双流区</t>
        </is>
      </c>
      <c r="H935"/>
      <c r="I935" t="inlineStr">
        <is>
          <t>教育</t>
        </is>
      </c>
      <c r="J935">
        <v>8319</v>
      </c>
      <c r="K935" t="inlineStr">
        <is>
          <t>0.8</t>
        </is>
      </c>
      <c r="L935">
        <v>12770</v>
      </c>
      <c r="M935">
        <v>1351</v>
      </c>
      <c r="N935">
        <v>349</v>
      </c>
      <c r="O935">
        <v>168</v>
      </c>
      <c r="P935">
        <v>0</v>
      </c>
      <c r="Q935">
        <v>1</v>
      </c>
      <c r="R935">
        <v>12770</v>
      </c>
      <c r="S935">
        <v>1351</v>
      </c>
      <c r="T935">
        <v>247</v>
      </c>
      <c r="U935">
        <v>0.42</v>
      </c>
      <c r="V935">
        <v>168</v>
      </c>
      <c r="W935">
        <v>1</v>
      </c>
      <c r="X935">
        <v>0</v>
      </c>
      <c r="Y935">
        <v>13.16</v>
      </c>
      <c r="Z935">
        <v>0.48</v>
      </c>
      <c r="AA935">
        <v>0</v>
      </c>
      <c r="AB935">
        <v>0</v>
      </c>
      <c r="AC935">
        <v>0</v>
      </c>
      <c r="AD935">
        <v>0</v>
      </c>
      <c r="AE935">
        <v>703</v>
      </c>
      <c r="AF935">
        <v>0</v>
      </c>
      <c r="AG935">
        <v>0</v>
      </c>
      <c r="AH935">
        <v>0</v>
      </c>
      <c r="AI935">
        <v>0</v>
      </c>
      <c r="AJ935">
        <v>0</v>
      </c>
      <c r="AK935">
        <v>0</v>
      </c>
      <c r="AL935">
        <v>0</v>
      </c>
      <c r="AM935">
        <v>0</v>
      </c>
      <c r="AN935">
        <v>0</v>
      </c>
      <c r="AO935">
        <v>0</v>
      </c>
      <c r="AP935">
        <v>0.927999999999999</v>
      </c>
      <c r="AQ935">
        <v>0.022</v>
      </c>
      <c r="AR935">
        <v>0.025</v>
      </c>
      <c r="AS935" s="3">
        <v>46107.77579861111</v>
      </c>
    </row>
    <row r="936" ht="25.5" customHeight="1">
      <c r="A936" t="inlineStr">
        <is>
          <t>583ea4bc82ec3963b6bd96a9</t>
        </is>
      </c>
      <c r="B936" s="2" t="str">
        <f>=HYPERLINK("https://www.xiaohongshu.com/user/profile/583ea4bc82ec3963b6bd96a9", "https://www.xiaohongshu.com/user/profile/583ea4bc82ec3963b6bd96a9")</f>
        <v>https://www.xiaohongshu.com/user/profile/583ea4bc82ec3963b6bd96a9</v>
      </c>
      <c r="C936" s="2" t="str">
        <f>=HYPERLINK("https://pgy.xiaohongshu.com/solar/pre-trade/blogger-detail/583ea4bc82ec3963b6bd96a9", "https://pgy.xiaohongshu.com/solar/pre-trade/blogger-detail/583ea4bc82ec3963b6bd96a9")</f>
        <v>https://pgy.xiaohongshu.com/solar/pre-trade/blogger-detail/583ea4bc82ec3963b6bd96a9</v>
      </c>
      <c r="D936" t="inlineStr">
        <is>
          <t>男</t>
        </is>
      </c>
      <c r="E936" t="inlineStr">
        <is>
          <t>wenkesheng66</t>
        </is>
      </c>
      <c r="F936" t="inlineStr">
        <is>
          <t>文科生没出路</t>
        </is>
      </c>
      <c r="G936" t="inlineStr">
        <is>
          <t>江苏 南京 浦口区</t>
        </is>
      </c>
      <c r="H936" t="inlineStr">
        <is>
          <t>创业者, HR</t>
        </is>
      </c>
      <c r="I936" t="inlineStr">
        <is>
          <t>职场, 教育</t>
        </is>
      </c>
      <c r="J936">
        <v>211096</v>
      </c>
      <c r="K936" t="inlineStr">
        <is>
          <t>21.1</t>
        </is>
      </c>
      <c r="L936">
        <v>132767</v>
      </c>
      <c r="M936">
        <v>15536</v>
      </c>
      <c r="N936">
        <v>1251</v>
      </c>
      <c r="O936">
        <v>8000</v>
      </c>
      <c r="P936">
        <v>0.118</v>
      </c>
      <c r="Q936">
        <v>0.765</v>
      </c>
      <c r="R936">
        <v>132767</v>
      </c>
      <c r="S936">
        <v>15536</v>
      </c>
      <c r="T936">
        <v>1077</v>
      </c>
      <c r="U936">
        <v>0.81</v>
      </c>
      <c r="V936">
        <v>8000</v>
      </c>
      <c r="W936">
        <v>0.765</v>
      </c>
      <c r="X936">
        <v>0.118</v>
      </c>
      <c r="Y936">
        <v>60.26</v>
      </c>
      <c r="Z936">
        <v>6.39</v>
      </c>
      <c r="AA936">
        <v>0</v>
      </c>
      <c r="AB936">
        <v>0</v>
      </c>
      <c r="AC936">
        <v>0</v>
      </c>
      <c r="AD936">
        <v>0</v>
      </c>
      <c r="AE936">
        <v>15000</v>
      </c>
      <c r="AF936">
        <v>0</v>
      </c>
      <c r="AG936">
        <v>0</v>
      </c>
      <c r="AH936">
        <v>0</v>
      </c>
      <c r="AI936">
        <v>0</v>
      </c>
      <c r="AJ936">
        <v>0</v>
      </c>
      <c r="AK936">
        <v>0</v>
      </c>
      <c r="AL936">
        <v>0</v>
      </c>
      <c r="AM936">
        <v>0</v>
      </c>
      <c r="AN936">
        <v>0</v>
      </c>
      <c r="AO936">
        <v>0</v>
      </c>
      <c r="AP936">
        <v>0.758</v>
      </c>
      <c r="AQ936">
        <v>0.027</v>
      </c>
      <c r="AR936">
        <v>0.005</v>
      </c>
      <c r="AS936" s="3">
        <v>46107.77579861111</v>
      </c>
    </row>
    <row r="937" ht="25.5" customHeight="1">
      <c r="A937" t="inlineStr">
        <is>
          <t>5fae4fe8000000000100a7a2</t>
        </is>
      </c>
      <c r="B937" s="2" t="str">
        <f>=HYPERLINK("https://www.xiaohongshu.com/user/profile/5fae4fe8000000000100a7a2", "https://www.xiaohongshu.com/user/profile/5fae4fe8000000000100a7a2")</f>
        <v>https://www.xiaohongshu.com/user/profile/5fae4fe8000000000100a7a2</v>
      </c>
      <c r="C937" s="2" t="str">
        <f>=HYPERLINK("https://pgy.xiaohongshu.com/solar/pre-trade/blogger-detail/5fae4fe8000000000100a7a2", "https://pgy.xiaohongshu.com/solar/pre-trade/blogger-detail/5fae4fe8000000000100a7a2")</f>
        <v>https://pgy.xiaohongshu.com/solar/pre-trade/blogger-detail/5fae4fe8000000000100a7a2</v>
      </c>
      <c r="D937" t="inlineStr">
        <is>
          <t>女</t>
        </is>
      </c>
      <c r="E937" t="inlineStr">
        <is>
          <t>Charlotte_Yang</t>
        </is>
      </c>
      <c r="F937" t="inlineStr">
        <is>
          <t>Charlotte杨杨</t>
        </is>
      </c>
      <c r="G937" t="inlineStr">
        <is>
          <t>湖北 宜昌 西陵区</t>
        </is>
      </c>
      <c r="H937" t="inlineStr">
        <is>
          <t>留学背景, 学生</t>
        </is>
      </c>
      <c r="I937" t="inlineStr">
        <is>
          <t>职场</t>
        </is>
      </c>
      <c r="J937">
        <v>1027</v>
      </c>
      <c r="K937" t="inlineStr">
        <is>
          <t>0.1</t>
        </is>
      </c>
      <c r="L937">
        <v>9607</v>
      </c>
      <c r="M937">
        <v>1869</v>
      </c>
      <c r="N937">
        <v>113</v>
      </c>
      <c r="O937">
        <v>500</v>
      </c>
      <c r="P937">
        <v>0</v>
      </c>
      <c r="Q937">
        <v>0.25</v>
      </c>
      <c r="R937">
        <v>10569</v>
      </c>
      <c r="S937">
        <v>2036</v>
      </c>
      <c r="T937">
        <v>105</v>
      </c>
      <c r="U937">
        <v>0.55</v>
      </c>
      <c r="V937">
        <v>500</v>
      </c>
      <c r="W937">
        <v>0.332999999999999</v>
      </c>
      <c r="X937">
        <v>0</v>
      </c>
      <c r="Y937">
        <v>47.31</v>
      </c>
      <c r="Z937">
        <v>4.24</v>
      </c>
      <c r="AA937">
        <v>1443</v>
      </c>
      <c r="AB937">
        <v>279</v>
      </c>
      <c r="AC937">
        <v>27</v>
      </c>
      <c r="AD937">
        <v>5.08</v>
      </c>
      <c r="AE937">
        <v>1000</v>
      </c>
      <c r="AF937">
        <v>0</v>
      </c>
      <c r="AG937">
        <v>0</v>
      </c>
      <c r="AH937">
        <v>0.031</v>
      </c>
      <c r="AI937">
        <v>693</v>
      </c>
      <c r="AJ937">
        <v>34.48</v>
      </c>
      <c r="AK937">
        <v>0</v>
      </c>
      <c r="AL937">
        <v>0</v>
      </c>
      <c r="AM937">
        <v>0</v>
      </c>
      <c r="AN937">
        <v>0</v>
      </c>
      <c r="AO937">
        <v>0</v>
      </c>
      <c r="AP937">
        <v>0.83</v>
      </c>
      <c r="AQ937">
        <v>0.059</v>
      </c>
      <c r="AR937">
        <v>0</v>
      </c>
      <c r="AS937" s="3">
        <v>46107.77579861111</v>
      </c>
    </row>
    <row r="938" ht="25.5" customHeight="1">
      <c r="A938" t="inlineStr">
        <is>
          <t>5789c4b982ec39168bb2ba7a</t>
        </is>
      </c>
      <c r="B938" s="2" t="str">
        <f>=HYPERLINK("https://www.xiaohongshu.com/user/profile/5789c4b982ec39168bb2ba7a", "https://www.xiaohongshu.com/user/profile/5789c4b982ec39168bb2ba7a")</f>
        <v>https://www.xiaohongshu.com/user/profile/5789c4b982ec39168bb2ba7a</v>
      </c>
      <c r="C938" s="2" t="str">
        <f>=HYPERLINK("https://pgy.xiaohongshu.com/solar/pre-trade/blogger-detail/5789c4b982ec39168bb2ba7a", "https://pgy.xiaohongshu.com/solar/pre-trade/blogger-detail/5789c4b982ec39168bb2ba7a")</f>
        <v>https://pgy.xiaohongshu.com/solar/pre-trade/blogger-detail/5789c4b982ec39168bb2ba7a</v>
      </c>
      <c r="D938" t="inlineStr">
        <is>
          <t>女</t>
        </is>
      </c>
      <c r="E938" t="inlineStr">
        <is>
          <t>107229345</t>
        </is>
      </c>
      <c r="F938" t="inlineStr">
        <is>
          <t>阿加特棒</t>
        </is>
      </c>
      <c r="G938" t="inlineStr">
        <is>
          <t>福建 泉州 南安市</t>
        </is>
      </c>
      <c r="H938"/>
      <c r="I938" t="inlineStr">
        <is>
          <t>教育</t>
        </is>
      </c>
      <c r="J938">
        <v>2331</v>
      </c>
      <c r="K938" t="inlineStr">
        <is>
          <t>0.2</t>
        </is>
      </c>
      <c r="L938">
        <v>7068</v>
      </c>
      <c r="M938">
        <v>1854</v>
      </c>
      <c r="N938">
        <v>296</v>
      </c>
      <c r="O938">
        <v>200</v>
      </c>
      <c r="P938">
        <v>0.1</v>
      </c>
      <c r="Q938">
        <v>0.7</v>
      </c>
      <c r="R938">
        <v>0</v>
      </c>
      <c r="S938">
        <v>0</v>
      </c>
      <c r="T938">
        <v>0</v>
      </c>
      <c r="U938">
        <v>0</v>
      </c>
      <c r="V938">
        <v>200</v>
      </c>
      <c r="W938">
        <v>0</v>
      </c>
      <c r="X938">
        <v>0</v>
      </c>
      <c r="Y938">
        <v>0</v>
      </c>
      <c r="Z938">
        <v>0</v>
      </c>
      <c r="AA938">
        <v>7068</v>
      </c>
      <c r="AB938">
        <v>1854</v>
      </c>
      <c r="AC938">
        <v>240</v>
      </c>
      <c r="AD938">
        <v>1.77</v>
      </c>
      <c r="AE938">
        <v>500</v>
      </c>
      <c r="AF938">
        <v>0.7</v>
      </c>
      <c r="AG938">
        <v>0.1</v>
      </c>
      <c r="AH938">
        <v>0.091</v>
      </c>
      <c r="AI938">
        <v>70.74</v>
      </c>
      <c r="AJ938">
        <v>1.69</v>
      </c>
      <c r="AK938">
        <v>0</v>
      </c>
      <c r="AL938">
        <v>0</v>
      </c>
      <c r="AM938">
        <v>0</v>
      </c>
      <c r="AN938">
        <v>0</v>
      </c>
      <c r="AO938">
        <v>0</v>
      </c>
      <c r="AP938">
        <v>0.935999999999999</v>
      </c>
      <c r="AQ938">
        <v>0.332999999999999</v>
      </c>
      <c r="AR938">
        <v>0</v>
      </c>
      <c r="AS938" s="3">
        <v>46107.77579861111</v>
      </c>
    </row>
    <row r="939" ht="25.5" customHeight="1">
      <c r="A939" t="inlineStr">
        <is>
          <t>6791f9d9000000000d00a7a1</t>
        </is>
      </c>
      <c r="B939" s="2" t="str">
        <f>=HYPERLINK("https://www.xiaohongshu.com/user/profile/6791f9d9000000000d00a7a1", "https://www.xiaohongshu.com/user/profile/6791f9d9000000000d00a7a1")</f>
        <v>https://www.xiaohongshu.com/user/profile/6791f9d9000000000d00a7a1</v>
      </c>
      <c r="C939" s="2" t="str">
        <f>=HYPERLINK("https://pgy.xiaohongshu.com/solar/pre-trade/blogger-detail/6791f9d9000000000d00a7a1", "https://pgy.xiaohongshu.com/solar/pre-trade/blogger-detail/6791f9d9000000000d00a7a1")</f>
        <v>https://pgy.xiaohongshu.com/solar/pre-trade/blogger-detail/6791f9d9000000000d00a7a1</v>
      </c>
      <c r="D939" t="inlineStr">
        <is>
          <t>女</t>
        </is>
      </c>
      <c r="E939" t="inlineStr">
        <is>
          <t>42934835411</t>
        </is>
      </c>
      <c r="F939" t="inlineStr">
        <is>
          <t>momo(学英语版</t>
        </is>
      </c>
      <c r="G939" t="inlineStr">
        <is>
          <t>广东 佛山 南海区</t>
        </is>
      </c>
      <c r="H939" t="inlineStr">
        <is>
          <t>运营, 翻译</t>
        </is>
      </c>
      <c r="I939" t="inlineStr">
        <is>
          <t>教育</t>
        </is>
      </c>
      <c r="J939">
        <v>8986</v>
      </c>
      <c r="K939" t="inlineStr">
        <is>
          <t>0.9</t>
        </is>
      </c>
      <c r="L939">
        <v>9838</v>
      </c>
      <c r="M939">
        <v>1548</v>
      </c>
      <c r="N939">
        <v>195</v>
      </c>
      <c r="O939">
        <v>315</v>
      </c>
      <c r="P939">
        <v>0.125</v>
      </c>
      <c r="Q939">
        <v>0.5</v>
      </c>
      <c r="R939">
        <v>9838</v>
      </c>
      <c r="S939">
        <v>1548</v>
      </c>
      <c r="T939">
        <v>169</v>
      </c>
      <c r="U939">
        <v>0.5</v>
      </c>
      <c r="V939">
        <v>315</v>
      </c>
      <c r="W939">
        <v>0.5</v>
      </c>
      <c r="X939">
        <v>0.125</v>
      </c>
      <c r="Y939">
        <v>32.02</v>
      </c>
      <c r="Z939">
        <v>1.61</v>
      </c>
      <c r="AA939">
        <v>0</v>
      </c>
      <c r="AB939">
        <v>0</v>
      </c>
      <c r="AC939">
        <v>0</v>
      </c>
      <c r="AD939">
        <v>0</v>
      </c>
      <c r="AE939">
        <v>725</v>
      </c>
      <c r="AF939">
        <v>0</v>
      </c>
      <c r="AG939">
        <v>0</v>
      </c>
      <c r="AH939">
        <v>0</v>
      </c>
      <c r="AI939">
        <v>0</v>
      </c>
      <c r="AJ939">
        <v>0</v>
      </c>
      <c r="AK939">
        <v>0</v>
      </c>
      <c r="AL939">
        <v>0</v>
      </c>
      <c r="AM939">
        <v>0</v>
      </c>
      <c r="AN939">
        <v>0</v>
      </c>
      <c r="AO939">
        <v>0</v>
      </c>
      <c r="AP939">
        <v>0.968</v>
      </c>
      <c r="AQ939">
        <v>0.052</v>
      </c>
      <c r="AR939">
        <v>0.0279999999999999</v>
      </c>
      <c r="AS939" s="3">
        <v>46107.77579861111</v>
      </c>
    </row>
    <row r="940" ht="25.5" customHeight="1">
      <c r="A940" t="inlineStr">
        <is>
          <t>5c7ebf5100000000110271c4</t>
        </is>
      </c>
      <c r="B940" s="2" t="str">
        <f>=HYPERLINK("https://www.xiaohongshu.com/user/profile/5c7ebf5100000000110271c4", "https://www.xiaohongshu.com/user/profile/5c7ebf5100000000110271c4")</f>
        <v>https://www.xiaohongshu.com/user/profile/5c7ebf5100000000110271c4</v>
      </c>
      <c r="C940" s="2" t="str">
        <f>=HYPERLINK("https://pgy.xiaohongshu.com/solar/pre-trade/blogger-detail/5c7ebf5100000000110271c4", "https://pgy.xiaohongshu.com/solar/pre-trade/blogger-detail/5c7ebf5100000000110271c4")</f>
        <v>https://pgy.xiaohongshu.com/solar/pre-trade/blogger-detail/5c7ebf5100000000110271c4</v>
      </c>
      <c r="D940" t="inlineStr">
        <is>
          <t>男</t>
        </is>
      </c>
      <c r="E940" t="inlineStr">
        <is>
          <t>430197436</t>
        </is>
      </c>
      <c r="F940" t="inlineStr">
        <is>
          <t>啊池</t>
        </is>
      </c>
      <c r="G940" t="inlineStr">
        <is>
          <t>法国</t>
        </is>
      </c>
      <c r="H940"/>
      <c r="I940" t="inlineStr">
        <is>
          <t>美食, 出行旅游, 教育</t>
        </is>
      </c>
      <c r="J940">
        <v>1731</v>
      </c>
      <c r="K940" t="inlineStr">
        <is>
          <t>0.2</t>
        </is>
      </c>
      <c r="L940">
        <v>38893</v>
      </c>
      <c r="M940">
        <v>11274</v>
      </c>
      <c r="N940">
        <v>308</v>
      </c>
      <c r="O940">
        <v>1400</v>
      </c>
      <c r="P940">
        <v>0.143</v>
      </c>
      <c r="Q940">
        <v>0.857</v>
      </c>
      <c r="R940">
        <v>0</v>
      </c>
      <c r="S940">
        <v>0</v>
      </c>
      <c r="T940">
        <v>0</v>
      </c>
      <c r="U940">
        <v>0</v>
      </c>
      <c r="V940">
        <v>500</v>
      </c>
      <c r="W940">
        <v>0</v>
      </c>
      <c r="X940">
        <v>0</v>
      </c>
      <c r="Y940">
        <v>0</v>
      </c>
      <c r="Z940">
        <v>0</v>
      </c>
      <c r="AA940">
        <v>38893</v>
      </c>
      <c r="AB940">
        <v>11274</v>
      </c>
      <c r="AC940">
        <v>234</v>
      </c>
      <c r="AD940">
        <v>1.62</v>
      </c>
      <c r="AE940">
        <v>1400</v>
      </c>
      <c r="AF940">
        <v>0.857</v>
      </c>
      <c r="AG940">
        <v>0.143</v>
      </c>
      <c r="AH940">
        <v>0.127</v>
      </c>
      <c r="AI940">
        <v>36</v>
      </c>
      <c r="AJ940">
        <v>4.55</v>
      </c>
      <c r="AK940">
        <v>0</v>
      </c>
      <c r="AL940">
        <v>0</v>
      </c>
      <c r="AM940">
        <v>0</v>
      </c>
      <c r="AN940">
        <v>0</v>
      </c>
      <c r="AO940">
        <v>0</v>
      </c>
      <c r="AP940">
        <v>0.989</v>
      </c>
      <c r="AQ940">
        <v>0.27</v>
      </c>
      <c r="AR940">
        <v>0</v>
      </c>
      <c r="AS940" s="3">
        <v>46107.77579861111</v>
      </c>
    </row>
    <row r="941" ht="25.5" customHeight="1">
      <c r="A941" t="inlineStr">
        <is>
          <t>610f447700000000010057b8</t>
        </is>
      </c>
      <c r="B941" s="2" t="str">
        <f>=HYPERLINK("https://www.xiaohongshu.com/user/profile/610f447700000000010057b8", "https://www.xiaohongshu.com/user/profile/610f447700000000010057b8")</f>
        <v>https://www.xiaohongshu.com/user/profile/610f447700000000010057b8</v>
      </c>
      <c r="C941" s="2" t="str">
        <f>=HYPERLINK("https://pgy.xiaohongshu.com/solar/pre-trade/blogger-detail/610f447700000000010057b8", "https://pgy.xiaohongshu.com/solar/pre-trade/blogger-detail/610f447700000000010057b8")</f>
        <v>https://pgy.xiaohongshu.com/solar/pre-trade/blogger-detail/610f447700000000010057b8</v>
      </c>
      <c r="D941" t="inlineStr">
        <is>
          <t>男</t>
        </is>
      </c>
      <c r="E941" t="inlineStr">
        <is>
          <t>4968954101</t>
        </is>
      </c>
      <c r="F941" t="inlineStr">
        <is>
          <t>一只自律</t>
        </is>
      </c>
      <c r="G941" t="inlineStr">
        <is>
          <t>河南 郑州 二七区</t>
        </is>
      </c>
      <c r="H941" t="inlineStr">
        <is>
          <t>学生</t>
        </is>
      </c>
      <c r="I941"/>
      <c r="J941">
        <v>3957</v>
      </c>
      <c r="K941" t="inlineStr">
        <is>
          <t>0.4</t>
        </is>
      </c>
      <c r="L941">
        <v>36043</v>
      </c>
      <c r="M941">
        <v>12799</v>
      </c>
      <c r="N941">
        <v>292</v>
      </c>
      <c r="O941">
        <v>350</v>
      </c>
      <c r="P941">
        <v>0</v>
      </c>
      <c r="Q941">
        <v>1</v>
      </c>
      <c r="R941">
        <v>36043</v>
      </c>
      <c r="S941">
        <v>12799</v>
      </c>
      <c r="T941">
        <v>259</v>
      </c>
      <c r="U941">
        <v>0.33</v>
      </c>
      <c r="V941">
        <v>350</v>
      </c>
      <c r="W941">
        <v>1</v>
      </c>
      <c r="X941">
        <v>0</v>
      </c>
      <c r="Y941">
        <v>9.71</v>
      </c>
      <c r="Z941">
        <v>1.2</v>
      </c>
      <c r="AA941">
        <v>0</v>
      </c>
      <c r="AB941">
        <v>0</v>
      </c>
      <c r="AC941">
        <v>0</v>
      </c>
      <c r="AD941">
        <v>0</v>
      </c>
      <c r="AE941">
        <v>400</v>
      </c>
      <c r="AF941">
        <v>0</v>
      </c>
      <c r="AG941">
        <v>0</v>
      </c>
      <c r="AH941">
        <v>0</v>
      </c>
      <c r="AI941">
        <v>0</v>
      </c>
      <c r="AJ941">
        <v>0</v>
      </c>
      <c r="AK941">
        <v>0</v>
      </c>
      <c r="AL941">
        <v>0</v>
      </c>
      <c r="AM941">
        <v>0</v>
      </c>
      <c r="AN941">
        <v>0</v>
      </c>
      <c r="AO941">
        <v>0</v>
      </c>
      <c r="AP941">
        <v>0.718</v>
      </c>
      <c r="AQ941">
        <v>0.018</v>
      </c>
      <c r="AR941">
        <v>0</v>
      </c>
      <c r="AS941" s="3">
        <v>46107.77601851852</v>
      </c>
    </row>
    <row r="942" ht="25.5" customHeight="1">
      <c r="A942" t="inlineStr">
        <is>
          <t>62a8026d000000001b024a1d</t>
        </is>
      </c>
      <c r="B942" s="2" t="str">
        <f>=HYPERLINK("https://www.xiaohongshu.com/user/profile/62a8026d000000001b024a1d", "https://www.xiaohongshu.com/user/profile/62a8026d000000001b024a1d")</f>
        <v>https://www.xiaohongshu.com/user/profile/62a8026d000000001b024a1d</v>
      </c>
      <c r="C942" s="2" t="str">
        <f>=HYPERLINK("https://pgy.xiaohongshu.com/solar/pre-trade/blogger-detail/62a8026d000000001b024a1d", "https://pgy.xiaohongshu.com/solar/pre-trade/blogger-detail/62a8026d000000001b024a1d")</f>
        <v>https://pgy.xiaohongshu.com/solar/pre-trade/blogger-detail/62a8026d000000001b024a1d</v>
      </c>
      <c r="D942" t="inlineStr">
        <is>
          <t>女</t>
        </is>
      </c>
      <c r="E942" t="inlineStr">
        <is>
          <t>hu15909h</t>
        </is>
      </c>
      <c r="F942" t="inlineStr">
        <is>
          <t>胡朋在呢狗友没有</t>
        </is>
      </c>
      <c r="G942" t="inlineStr">
        <is>
          <t>河北 石家庄 长安区</t>
        </is>
      </c>
      <c r="H942" t="inlineStr">
        <is>
          <t>留学背景, 铲屎官, 学生</t>
        </is>
      </c>
      <c r="I942" t="inlineStr">
        <is>
          <t>生活记录</t>
        </is>
      </c>
      <c r="J942">
        <v>3338</v>
      </c>
      <c r="K942" t="inlineStr">
        <is>
          <t>0.3</t>
        </is>
      </c>
      <c r="L942">
        <v>5318</v>
      </c>
      <c r="M942">
        <v>1399</v>
      </c>
      <c r="N942">
        <v>107</v>
      </c>
      <c r="O942">
        <v>299</v>
      </c>
      <c r="P942">
        <v>0.133</v>
      </c>
      <c r="Q942">
        <v>0.4</v>
      </c>
      <c r="R942">
        <v>48669</v>
      </c>
      <c r="S942">
        <v>11677</v>
      </c>
      <c r="T942">
        <v>244</v>
      </c>
      <c r="U942">
        <v>0.33</v>
      </c>
      <c r="V942">
        <v>299</v>
      </c>
      <c r="W942">
        <v>0.667</v>
      </c>
      <c r="X942">
        <v>0.332999999999999</v>
      </c>
      <c r="Y942">
        <v>6.14</v>
      </c>
      <c r="Z942">
        <v>0.81</v>
      </c>
      <c r="AA942">
        <v>5248</v>
      </c>
      <c r="AB942">
        <v>1101</v>
      </c>
      <c r="AC942">
        <v>66</v>
      </c>
      <c r="AD942">
        <v>1.86</v>
      </c>
      <c r="AE942">
        <v>399</v>
      </c>
      <c r="AF942">
        <v>0.332999999999999</v>
      </c>
      <c r="AG942">
        <v>0.083</v>
      </c>
      <c r="AH942">
        <v>0.357</v>
      </c>
      <c r="AI942">
        <v>76.03</v>
      </c>
      <c r="AJ942">
        <v>5.36</v>
      </c>
      <c r="AK942">
        <v>0</v>
      </c>
      <c r="AL942">
        <v>0</v>
      </c>
      <c r="AM942">
        <v>0</v>
      </c>
      <c r="AN942">
        <v>0</v>
      </c>
      <c r="AO942">
        <v>0</v>
      </c>
      <c r="AP942">
        <v>0.875</v>
      </c>
      <c r="AQ942">
        <v>0.075</v>
      </c>
      <c r="AR942">
        <v>0.088</v>
      </c>
      <c r="AS942" s="3">
        <v>46107.77601851852</v>
      </c>
    </row>
    <row r="943" ht="25.5" customHeight="1">
      <c r="A943" t="inlineStr">
        <is>
          <t>60ed4a8f0000000001014bd4</t>
        </is>
      </c>
      <c r="B943" s="2" t="str">
        <f>=HYPERLINK("https://www.xiaohongshu.com/user/profile/60ed4a8f0000000001014bd4", "https://www.xiaohongshu.com/user/profile/60ed4a8f0000000001014bd4")</f>
        <v>https://www.xiaohongshu.com/user/profile/60ed4a8f0000000001014bd4</v>
      </c>
      <c r="C943" s="2" t="str">
        <f>=HYPERLINK("https://pgy.xiaohongshu.com/solar/pre-trade/blogger-detail/60ed4a8f0000000001014bd4", "https://pgy.xiaohongshu.com/solar/pre-trade/blogger-detail/60ed4a8f0000000001014bd4")</f>
        <v>https://pgy.xiaohongshu.com/solar/pre-trade/blogger-detail/60ed4a8f0000000001014bd4</v>
      </c>
      <c r="D943" t="inlineStr">
        <is>
          <t>女</t>
        </is>
      </c>
      <c r="E943" t="inlineStr">
        <is>
          <t>2671717085</t>
        </is>
      </c>
      <c r="F943" t="inlineStr">
        <is>
          <t>元气少女睡不醒</t>
        </is>
      </c>
      <c r="G943" t="inlineStr">
        <is>
          <t>浙江 杭州 西湖区</t>
        </is>
      </c>
      <c r="H943"/>
      <c r="I943" t="inlineStr">
        <is>
          <t>教育, 健康养生</t>
        </is>
      </c>
      <c r="J943">
        <v>1856</v>
      </c>
      <c r="K943" t="inlineStr">
        <is>
          <t>0.2</t>
        </is>
      </c>
      <c r="L943">
        <v>8834</v>
      </c>
      <c r="M943">
        <v>2312</v>
      </c>
      <c r="N943">
        <v>251</v>
      </c>
      <c r="O943">
        <v>180</v>
      </c>
      <c r="P943">
        <v>0</v>
      </c>
      <c r="Q943">
        <v>0.5</v>
      </c>
      <c r="R943">
        <v>13127</v>
      </c>
      <c r="S943">
        <v>2855</v>
      </c>
      <c r="T943">
        <v>358</v>
      </c>
      <c r="U943">
        <v>0.36</v>
      </c>
      <c r="V943">
        <v>180</v>
      </c>
      <c r="W943">
        <v>1</v>
      </c>
      <c r="X943">
        <v>0</v>
      </c>
      <c r="Y943">
        <v>13.71</v>
      </c>
      <c r="Z943">
        <v>0.43</v>
      </c>
      <c r="AA943">
        <v>4541</v>
      </c>
      <c r="AB943">
        <v>1770</v>
      </c>
      <c r="AC943">
        <v>76</v>
      </c>
      <c r="AD943">
        <v>1.67</v>
      </c>
      <c r="AE943">
        <v>300</v>
      </c>
      <c r="AF943">
        <v>0</v>
      </c>
      <c r="AG943">
        <v>0</v>
      </c>
      <c r="AH943">
        <v>0.251</v>
      </c>
      <c r="AI943">
        <v>66.06</v>
      </c>
      <c r="AJ943">
        <v>3.7</v>
      </c>
      <c r="AK943">
        <v>0</v>
      </c>
      <c r="AL943">
        <v>0</v>
      </c>
      <c r="AM943">
        <v>0</v>
      </c>
      <c r="AN943">
        <v>0</v>
      </c>
      <c r="AO943">
        <v>0</v>
      </c>
      <c r="AP943">
        <v>0.907999999999999</v>
      </c>
      <c r="AQ943">
        <v>0.094</v>
      </c>
      <c r="AR943">
        <v>0.039</v>
      </c>
      <c r="AS943" s="3">
        <v>46107.77601851852</v>
      </c>
    </row>
    <row r="944" ht="25.5" customHeight="1">
      <c r="A944" t="inlineStr">
        <is>
          <t>631d553e00000000230268d9</t>
        </is>
      </c>
      <c r="B944" s="2" t="str">
        <f>=HYPERLINK("https://www.xiaohongshu.com/user/profile/631d553e00000000230268d9", "https://www.xiaohongshu.com/user/profile/631d553e00000000230268d9")</f>
        <v>https://www.xiaohongshu.com/user/profile/631d553e00000000230268d9</v>
      </c>
      <c r="C944" s="2" t="str">
        <f>=HYPERLINK("https://pgy.xiaohongshu.com/solar/pre-trade/blogger-detail/631d553e00000000230268d9", "https://pgy.xiaohongshu.com/solar/pre-trade/blogger-detail/631d553e00000000230268d9")</f>
        <v>https://pgy.xiaohongshu.com/solar/pre-trade/blogger-detail/631d553e00000000230268d9</v>
      </c>
      <c r="D944" t="inlineStr">
        <is>
          <t>男</t>
        </is>
      </c>
      <c r="E944" t="inlineStr">
        <is>
          <t>6239924524</t>
        </is>
      </c>
      <c r="F944" t="inlineStr">
        <is>
          <t>一只高数菜狗</t>
        </is>
      </c>
      <c r="G944" t="inlineStr">
        <is>
          <t>广西 南宁 西乡塘区</t>
        </is>
      </c>
      <c r="H944"/>
      <c r="I944" t="inlineStr">
        <is>
          <t>教育</t>
        </is>
      </c>
      <c r="J944">
        <v>3534</v>
      </c>
      <c r="K944" t="inlineStr">
        <is>
          <t>0.4</t>
        </is>
      </c>
      <c r="L944">
        <v>9164</v>
      </c>
      <c r="M944">
        <v>1711</v>
      </c>
      <c r="N944">
        <v>188</v>
      </c>
      <c r="O944">
        <v>300</v>
      </c>
      <c r="P944">
        <v>0</v>
      </c>
      <c r="Q944">
        <v>0.5</v>
      </c>
      <c r="R944">
        <v>9164</v>
      </c>
      <c r="S944">
        <v>1711</v>
      </c>
      <c r="T944">
        <v>141</v>
      </c>
      <c r="U944">
        <v>0.48</v>
      </c>
      <c r="V944">
        <v>300</v>
      </c>
      <c r="W944">
        <v>0.5</v>
      </c>
      <c r="X944">
        <v>0</v>
      </c>
      <c r="Y944">
        <v>32.74</v>
      </c>
      <c r="Z944">
        <v>1.59</v>
      </c>
      <c r="AA944">
        <v>0</v>
      </c>
      <c r="AB944">
        <v>0</v>
      </c>
      <c r="AC944">
        <v>0</v>
      </c>
      <c r="AD944">
        <v>0</v>
      </c>
      <c r="AE944">
        <v>400</v>
      </c>
      <c r="AF944">
        <v>0</v>
      </c>
      <c r="AG944">
        <v>0</v>
      </c>
      <c r="AH944">
        <v>0</v>
      </c>
      <c r="AI944">
        <v>0</v>
      </c>
      <c r="AJ944">
        <v>0</v>
      </c>
      <c r="AK944">
        <v>0</v>
      </c>
      <c r="AL944">
        <v>0</v>
      </c>
      <c r="AM944">
        <v>0</v>
      </c>
      <c r="AN944">
        <v>0</v>
      </c>
      <c r="AO944">
        <v>0</v>
      </c>
      <c r="AP944">
        <v>0.902</v>
      </c>
      <c r="AQ944">
        <v>0.129</v>
      </c>
      <c r="AR944">
        <v>0.237</v>
      </c>
      <c r="AS944" s="3">
        <v>46107.77601851852</v>
      </c>
    </row>
    <row r="945" ht="25.5" customHeight="1">
      <c r="A945" t="inlineStr">
        <is>
          <t>646f76ed000000002b0088ba</t>
        </is>
      </c>
      <c r="B945" s="2" t="str">
        <f>=HYPERLINK("https://www.xiaohongshu.com/user/profile/646f76ed000000002b0088ba", "https://www.xiaohongshu.com/user/profile/646f76ed000000002b0088ba")</f>
        <v>https://www.xiaohongshu.com/user/profile/646f76ed000000002b0088ba</v>
      </c>
      <c r="C945" s="2" t="str">
        <f>=HYPERLINK("https://pgy.xiaohongshu.com/solar/pre-trade/blogger-detail/646f76ed000000002b0088ba", "https://pgy.xiaohongshu.com/solar/pre-trade/blogger-detail/646f76ed000000002b0088ba")</f>
        <v>https://pgy.xiaohongshu.com/solar/pre-trade/blogger-detail/646f76ed000000002b0088ba</v>
      </c>
      <c r="D945" t="inlineStr">
        <is>
          <t>女</t>
        </is>
      </c>
      <c r="E945" t="inlineStr">
        <is>
          <t>8972295760</t>
        </is>
      </c>
      <c r="F945" t="inlineStr">
        <is>
          <t>英语Linda老师</t>
        </is>
      </c>
      <c r="G945" t="inlineStr">
        <is>
          <t>河南 郑州 中原区</t>
        </is>
      </c>
      <c r="H945"/>
      <c r="I945" t="inlineStr">
        <is>
          <t>教育</t>
        </is>
      </c>
      <c r="J945">
        <v>1661</v>
      </c>
      <c r="K945" t="inlineStr">
        <is>
          <t>0.2</t>
        </is>
      </c>
      <c r="L945">
        <v>14730</v>
      </c>
      <c r="M945">
        <v>3225</v>
      </c>
      <c r="N945">
        <v>551</v>
      </c>
      <c r="O945">
        <v>200</v>
      </c>
      <c r="P945">
        <v>0</v>
      </c>
      <c r="Q945">
        <v>1</v>
      </c>
      <c r="R945">
        <v>14730</v>
      </c>
      <c r="S945">
        <v>3225</v>
      </c>
      <c r="T945">
        <v>446</v>
      </c>
      <c r="U945">
        <v>0.36</v>
      </c>
      <c r="V945">
        <v>200</v>
      </c>
      <c r="W945">
        <v>1</v>
      </c>
      <c r="X945">
        <v>0</v>
      </c>
      <c r="Y945">
        <v>13.58</v>
      </c>
      <c r="Z945">
        <v>0.36</v>
      </c>
      <c r="AA945">
        <v>0</v>
      </c>
      <c r="AB945">
        <v>0</v>
      </c>
      <c r="AC945">
        <v>0</v>
      </c>
      <c r="AD945">
        <v>0</v>
      </c>
      <c r="AE945">
        <v>300</v>
      </c>
      <c r="AF945">
        <v>0</v>
      </c>
      <c r="AG945">
        <v>0</v>
      </c>
      <c r="AH945">
        <v>0</v>
      </c>
      <c r="AI945">
        <v>0</v>
      </c>
      <c r="AJ945">
        <v>0</v>
      </c>
      <c r="AK945">
        <v>0</v>
      </c>
      <c r="AL945">
        <v>0</v>
      </c>
      <c r="AM945">
        <v>0</v>
      </c>
      <c r="AN945">
        <v>0</v>
      </c>
      <c r="AO945">
        <v>0</v>
      </c>
      <c r="AP945">
        <v>0.898</v>
      </c>
      <c r="AQ945">
        <v>0.067</v>
      </c>
      <c r="AR945">
        <v>0.018</v>
      </c>
      <c r="AS945" s="3">
        <v>46107.77601851852</v>
      </c>
    </row>
    <row r="946" ht="25.5" customHeight="1">
      <c r="A946" t="inlineStr">
        <is>
          <t>5957448582ec391a38ef3976</t>
        </is>
      </c>
      <c r="B946" s="2" t="str">
        <f>=HYPERLINK("https://www.xiaohongshu.com/user/profile/5957448582ec391a38ef3976", "https://www.xiaohongshu.com/user/profile/5957448582ec391a38ef3976")</f>
        <v>https://www.xiaohongshu.com/user/profile/5957448582ec391a38ef3976</v>
      </c>
      <c r="C946" s="2" t="str">
        <f>=HYPERLINK("https://pgy.xiaohongshu.com/solar/pre-trade/blogger-detail/5957448582ec391a38ef3976", "https://pgy.xiaohongshu.com/solar/pre-trade/blogger-detail/5957448582ec391a38ef3976")</f>
        <v>https://pgy.xiaohongshu.com/solar/pre-trade/blogger-detail/5957448582ec391a38ef3976</v>
      </c>
      <c r="D946" t="inlineStr">
        <is>
          <t>女</t>
        </is>
      </c>
      <c r="E946" t="inlineStr">
        <is>
          <t>428390911</t>
        </is>
      </c>
      <c r="F946" t="inlineStr">
        <is>
          <t>Joan</t>
        </is>
      </c>
      <c r="G946" t="inlineStr">
        <is>
          <t>甘肃 兰州 安宁区</t>
        </is>
      </c>
      <c r="H946" t="inlineStr">
        <is>
          <t>考研过来人, 学生</t>
        </is>
      </c>
      <c r="I946" t="inlineStr">
        <is>
          <t>教育</t>
        </is>
      </c>
      <c r="J946">
        <v>1759</v>
      </c>
      <c r="K946" t="inlineStr">
        <is>
          <t>0.2</t>
        </is>
      </c>
      <c r="L946">
        <v>2886</v>
      </c>
      <c r="M946">
        <v>1821</v>
      </c>
      <c r="N946">
        <v>164</v>
      </c>
      <c r="O946">
        <v>150</v>
      </c>
      <c r="P946">
        <v>0</v>
      </c>
      <c r="Q946">
        <v>0</v>
      </c>
      <c r="R946">
        <v>0</v>
      </c>
      <c r="S946">
        <v>0</v>
      </c>
      <c r="T946">
        <v>0</v>
      </c>
      <c r="U946">
        <v>0</v>
      </c>
      <c r="V946">
        <v>150</v>
      </c>
      <c r="W946">
        <v>0</v>
      </c>
      <c r="X946">
        <v>0</v>
      </c>
      <c r="Y946">
        <v>0</v>
      </c>
      <c r="Z946">
        <v>0</v>
      </c>
      <c r="AA946">
        <v>2886</v>
      </c>
      <c r="AB946">
        <v>1821</v>
      </c>
      <c r="AC946">
        <v>144</v>
      </c>
      <c r="AD946">
        <v>1.63</v>
      </c>
      <c r="AE946">
        <v>200</v>
      </c>
      <c r="AF946">
        <v>0</v>
      </c>
      <c r="AG946">
        <v>0</v>
      </c>
      <c r="AH946">
        <v>0.016</v>
      </c>
      <c r="AI946">
        <v>77.73</v>
      </c>
      <c r="AJ946">
        <v>1.5</v>
      </c>
      <c r="AK946">
        <v>1457</v>
      </c>
      <c r="AL946">
        <v>210</v>
      </c>
      <c r="AM946">
        <v>17</v>
      </c>
      <c r="AN946">
        <v>0</v>
      </c>
      <c r="AO946">
        <v>0</v>
      </c>
      <c r="AP946">
        <v>0.982</v>
      </c>
      <c r="AQ946">
        <v>0.05</v>
      </c>
      <c r="AR946">
        <v>0.043</v>
      </c>
      <c r="AS946" s="3">
        <v>46107.77601851852</v>
      </c>
    </row>
    <row r="947" ht="25.5" customHeight="1">
      <c r="A947" t="inlineStr">
        <is>
          <t>674d82c3000000001c018e02</t>
        </is>
      </c>
      <c r="B947" s="2" t="str">
        <f>=HYPERLINK("https://www.xiaohongshu.com/user/profile/674d82c3000000001c018e02", "https://www.xiaohongshu.com/user/profile/674d82c3000000001c018e02")</f>
        <v>https://www.xiaohongshu.com/user/profile/674d82c3000000001c018e02</v>
      </c>
      <c r="C947" s="2" t="str">
        <f>=HYPERLINK("https://pgy.xiaohongshu.com/solar/pre-trade/blogger-detail/674d82c3000000001c018e02", "https://pgy.xiaohongshu.com/solar/pre-trade/blogger-detail/674d82c3000000001c018e02")</f>
        <v>https://pgy.xiaohongshu.com/solar/pre-trade/blogger-detail/674d82c3000000001c018e02</v>
      </c>
      <c r="D947" t="inlineStr">
        <is>
          <t>男</t>
        </is>
      </c>
      <c r="E947" t="inlineStr">
        <is>
          <t>11538463879</t>
        </is>
      </c>
      <c r="F947" t="inlineStr">
        <is>
          <t>成分硕士虎妈</t>
        </is>
      </c>
      <c r="G947" t="inlineStr">
        <is>
          <t>广东 珠海 斗门区</t>
        </is>
      </c>
      <c r="H947" t="inlineStr">
        <is>
          <t>1-3岁, 妈妈</t>
        </is>
      </c>
      <c r="I947" t="inlineStr">
        <is>
          <t>教育</t>
        </is>
      </c>
      <c r="J947">
        <v>106923</v>
      </c>
      <c r="K947" t="inlineStr">
        <is>
          <t>10.7</t>
        </is>
      </c>
      <c r="L947">
        <v>2197783</v>
      </c>
      <c r="M947">
        <v>198224</v>
      </c>
      <c r="N947">
        <v>7099</v>
      </c>
      <c r="O947">
        <v>15000</v>
      </c>
      <c r="P947">
        <v>0.8</v>
      </c>
      <c r="Q947">
        <v>1</v>
      </c>
      <c r="R947">
        <v>2582484</v>
      </c>
      <c r="S947">
        <v>238390</v>
      </c>
      <c r="T947">
        <v>5067</v>
      </c>
      <c r="U947">
        <v>0.36</v>
      </c>
      <c r="V947">
        <v>15000</v>
      </c>
      <c r="W947">
        <v>1</v>
      </c>
      <c r="X947">
        <v>0.889</v>
      </c>
      <c r="Y947">
        <v>5.81</v>
      </c>
      <c r="Z947">
        <v>2.09</v>
      </c>
      <c r="AA947">
        <v>45305</v>
      </c>
      <c r="AB947">
        <v>4296</v>
      </c>
      <c r="AC947">
        <v>859</v>
      </c>
      <c r="AD947">
        <v>4.99</v>
      </c>
      <c r="AE947">
        <v>15000</v>
      </c>
      <c r="AF947">
        <v>1</v>
      </c>
      <c r="AG947">
        <v>0</v>
      </c>
      <c r="AH947">
        <v>0.0289999999999999</v>
      </c>
      <c r="AI947">
        <v>331.09</v>
      </c>
      <c r="AJ947">
        <v>13.72</v>
      </c>
      <c r="AK947">
        <v>0</v>
      </c>
      <c r="AL947">
        <v>0</v>
      </c>
      <c r="AM947">
        <v>0</v>
      </c>
      <c r="AN947">
        <v>0</v>
      </c>
      <c r="AO947">
        <v>0</v>
      </c>
      <c r="AP947">
        <v>0.974</v>
      </c>
      <c r="AQ947">
        <v>0.099</v>
      </c>
      <c r="AR947">
        <v>0.29</v>
      </c>
      <c r="AS947" s="3">
        <v>46107.77601851852</v>
      </c>
    </row>
    <row r="948" ht="25.5" customHeight="1">
      <c r="A948" t="inlineStr">
        <is>
          <t>6055210b0000000001003068</t>
        </is>
      </c>
      <c r="B948" s="2" t="str">
        <f>=HYPERLINK("https://www.xiaohongshu.com/user/profile/6055210b0000000001003068", "https://www.xiaohongshu.com/user/profile/6055210b0000000001003068")</f>
        <v>https://www.xiaohongshu.com/user/profile/6055210b0000000001003068</v>
      </c>
      <c r="C948" s="2" t="str">
        <f>=HYPERLINK("https://pgy.xiaohongshu.com/solar/pre-trade/blogger-detail/6055210b0000000001003068", "https://pgy.xiaohongshu.com/solar/pre-trade/blogger-detail/6055210b0000000001003068")</f>
        <v>https://pgy.xiaohongshu.com/solar/pre-trade/blogger-detail/6055210b0000000001003068</v>
      </c>
      <c r="D948" t="inlineStr">
        <is>
          <t>女</t>
        </is>
      </c>
      <c r="E948" t="inlineStr">
        <is>
          <t>1147513671</t>
        </is>
      </c>
      <c r="F948" t="inlineStr">
        <is>
          <t>cynthia-加拿大幼教学姐</t>
        </is>
      </c>
      <c r="G948" t="inlineStr">
        <is>
          <t>加拿大</t>
        </is>
      </c>
      <c r="H948" t="inlineStr">
        <is>
          <t>留学背景, 海外华人</t>
        </is>
      </c>
      <c r="I948" t="inlineStr">
        <is>
          <t>职场, 母婴</t>
        </is>
      </c>
      <c r="J948">
        <v>9630</v>
      </c>
      <c r="K948" t="inlineStr">
        <is>
          <t>1.0</t>
        </is>
      </c>
      <c r="L948">
        <v>5314</v>
      </c>
      <c r="M948">
        <v>689</v>
      </c>
      <c r="N948">
        <v>116</v>
      </c>
      <c r="O948">
        <v>399</v>
      </c>
      <c r="P948">
        <v>0</v>
      </c>
      <c r="Q948">
        <v>0.265</v>
      </c>
      <c r="R948">
        <v>7144</v>
      </c>
      <c r="S948">
        <v>811</v>
      </c>
      <c r="T948">
        <v>106</v>
      </c>
      <c r="U948">
        <v>0.79</v>
      </c>
      <c r="V948">
        <v>399</v>
      </c>
      <c r="W948">
        <v>0.3</v>
      </c>
      <c r="X948">
        <v>0</v>
      </c>
      <c r="Y948">
        <v>55.85</v>
      </c>
      <c r="Z948">
        <v>3.06</v>
      </c>
      <c r="AA948">
        <v>3921</v>
      </c>
      <c r="AB948">
        <v>649</v>
      </c>
      <c r="AC948">
        <v>45</v>
      </c>
      <c r="AD948">
        <v>2.58</v>
      </c>
      <c r="AE948">
        <v>699</v>
      </c>
      <c r="AF948">
        <v>0</v>
      </c>
      <c r="AG948">
        <v>0</v>
      </c>
      <c r="AH948">
        <v>0.085</v>
      </c>
      <c r="AI948">
        <v>178.25</v>
      </c>
      <c r="AJ948">
        <v>13.84</v>
      </c>
      <c r="AK948">
        <v>0</v>
      </c>
      <c r="AL948">
        <v>0</v>
      </c>
      <c r="AM948">
        <v>0</v>
      </c>
      <c r="AN948">
        <v>0</v>
      </c>
      <c r="AO948">
        <v>0</v>
      </c>
      <c r="AP948">
        <v>0.930999999999999</v>
      </c>
      <c r="AQ948">
        <v>0.13</v>
      </c>
      <c r="AR948">
        <v>0.086</v>
      </c>
      <c r="AS948" s="3">
        <v>46107.77601851852</v>
      </c>
    </row>
    <row r="949" ht="25.5" customHeight="1">
      <c r="A949" t="inlineStr">
        <is>
          <t>655383410000000002029a1f</t>
        </is>
      </c>
      <c r="B949" s="2" t="str">
        <f>=HYPERLINK("https://www.xiaohongshu.com/user/profile/655383410000000002029a1f", "https://www.xiaohongshu.com/user/profile/655383410000000002029a1f")</f>
        <v>https://www.xiaohongshu.com/user/profile/655383410000000002029a1f</v>
      </c>
      <c r="C949" s="2" t="str">
        <f>=HYPERLINK("https://pgy.xiaohongshu.com/solar/pre-trade/blogger-detail/655383410000000002029a1f", "https://pgy.xiaohongshu.com/solar/pre-trade/blogger-detail/655383410000000002029a1f")</f>
        <v>https://pgy.xiaohongshu.com/solar/pre-trade/blogger-detail/655383410000000002029a1f</v>
      </c>
      <c r="D949" t="inlineStr">
        <is>
          <t>男</t>
        </is>
      </c>
      <c r="E949" t="inlineStr">
        <is>
          <t>8766232522</t>
        </is>
      </c>
      <c r="F949" t="inlineStr">
        <is>
          <t>七安Sci科研绘图</t>
        </is>
      </c>
      <c r="G949" t="inlineStr">
        <is>
          <t>上海</t>
        </is>
      </c>
      <c r="H949"/>
      <c r="I949" t="inlineStr">
        <is>
          <t>教育</t>
        </is>
      </c>
      <c r="J949">
        <v>16757</v>
      </c>
      <c r="K949" t="inlineStr">
        <is>
          <t>1.7</t>
        </is>
      </c>
      <c r="L949">
        <v>14360</v>
      </c>
      <c r="M949">
        <v>1649</v>
      </c>
      <c r="N949">
        <v>252</v>
      </c>
      <c r="O949">
        <v>2000</v>
      </c>
      <c r="P949">
        <v>0.031</v>
      </c>
      <c r="Q949">
        <v>0.5</v>
      </c>
      <c r="R949">
        <v>16928</v>
      </c>
      <c r="S949">
        <v>1878</v>
      </c>
      <c r="T949">
        <v>248</v>
      </c>
      <c r="U949">
        <v>1.36</v>
      </c>
      <c r="V949">
        <v>2000</v>
      </c>
      <c r="W949">
        <v>0.56</v>
      </c>
      <c r="X949">
        <v>0.04</v>
      </c>
      <c r="Y949">
        <v>118.15</v>
      </c>
      <c r="Z949">
        <v>6.31</v>
      </c>
      <c r="AA949">
        <v>7682</v>
      </c>
      <c r="AB949">
        <v>767</v>
      </c>
      <c r="AC949">
        <v>58</v>
      </c>
      <c r="AD949">
        <v>5.41</v>
      </c>
      <c r="AE949">
        <v>3000</v>
      </c>
      <c r="AF949">
        <v>0.286</v>
      </c>
      <c r="AG949">
        <v>0</v>
      </c>
      <c r="AH949">
        <v>0.017</v>
      </c>
      <c r="AI949">
        <v>390.52</v>
      </c>
      <c r="AJ949">
        <v>48.39</v>
      </c>
      <c r="AK949">
        <v>0</v>
      </c>
      <c r="AL949">
        <v>0</v>
      </c>
      <c r="AM949">
        <v>0</v>
      </c>
      <c r="AN949">
        <v>0</v>
      </c>
      <c r="AO949">
        <v>0</v>
      </c>
      <c r="AP949">
        <v>0.961</v>
      </c>
      <c r="AQ949">
        <v>0.108</v>
      </c>
      <c r="AR949">
        <v>0.089</v>
      </c>
      <c r="AS949" s="3">
        <v>46107.77601851852</v>
      </c>
    </row>
    <row r="950" ht="25.5" customHeight="1">
      <c r="A950" t="inlineStr">
        <is>
          <t>658b8c9800000000220072eb</t>
        </is>
      </c>
      <c r="B950" s="2" t="str">
        <f>=HYPERLINK("https://www.xiaohongshu.com/user/profile/658b8c9800000000220072eb", "https://www.xiaohongshu.com/user/profile/658b8c9800000000220072eb")</f>
        <v>https://www.xiaohongshu.com/user/profile/658b8c9800000000220072eb</v>
      </c>
      <c r="C950" s="2" t="str">
        <f>=HYPERLINK("https://pgy.xiaohongshu.com/solar/pre-trade/blogger-detail/658b8c9800000000220072eb", "https://pgy.xiaohongshu.com/solar/pre-trade/blogger-detail/658b8c9800000000220072eb")</f>
        <v>https://pgy.xiaohongshu.com/solar/pre-trade/blogger-detail/658b8c9800000000220072eb</v>
      </c>
      <c r="D950" t="inlineStr">
        <is>
          <t>女</t>
        </is>
      </c>
      <c r="E950" t="inlineStr">
        <is>
          <t>95290338876</t>
        </is>
      </c>
      <c r="F950" t="inlineStr">
        <is>
          <t>栗子的干货铺</t>
        </is>
      </c>
      <c r="G950" t="inlineStr">
        <is>
          <t>河南 濮阳 华龙区</t>
        </is>
      </c>
      <c r="H950" t="inlineStr">
        <is>
          <t>学生</t>
        </is>
      </c>
      <c r="I950" t="inlineStr">
        <is>
          <t>职场, 教育</t>
        </is>
      </c>
      <c r="J950">
        <v>1761</v>
      </c>
      <c r="K950" t="inlineStr">
        <is>
          <t>0.2</t>
        </is>
      </c>
      <c r="L950">
        <v>26767</v>
      </c>
      <c r="M950">
        <v>3669</v>
      </c>
      <c r="N950">
        <v>363</v>
      </c>
      <c r="O950">
        <v>100</v>
      </c>
      <c r="P950">
        <v>0.166999999999999</v>
      </c>
      <c r="Q950">
        <v>0.667</v>
      </c>
      <c r="R950">
        <v>44196</v>
      </c>
      <c r="S950">
        <v>5140</v>
      </c>
      <c r="T950">
        <v>520</v>
      </c>
      <c r="U950">
        <v>0.35</v>
      </c>
      <c r="V950">
        <v>100</v>
      </c>
      <c r="W950">
        <v>0.8</v>
      </c>
      <c r="X950">
        <v>0.2</v>
      </c>
      <c r="Y950">
        <v>10.71</v>
      </c>
      <c r="Z950">
        <v>0.65</v>
      </c>
      <c r="AA950">
        <v>2421</v>
      </c>
      <c r="AB950">
        <v>453</v>
      </c>
      <c r="AC950">
        <v>45</v>
      </c>
      <c r="AD950">
        <v>1.74</v>
      </c>
      <c r="AE950">
        <v>110</v>
      </c>
      <c r="AF950">
        <v>0</v>
      </c>
      <c r="AG950">
        <v>0</v>
      </c>
      <c r="AH950">
        <v>0.066</v>
      </c>
      <c r="AI950">
        <v>45.44</v>
      </c>
      <c r="AJ950">
        <v>2</v>
      </c>
      <c r="AK950">
        <v>1094</v>
      </c>
      <c r="AL950">
        <v>69</v>
      </c>
      <c r="AM950">
        <v>3</v>
      </c>
      <c r="AN950">
        <v>0</v>
      </c>
      <c r="AO950">
        <v>0</v>
      </c>
      <c r="AP950">
        <v>0.943</v>
      </c>
      <c r="AQ950">
        <v>0.26</v>
      </c>
      <c r="AR950">
        <v>0.442</v>
      </c>
      <c r="AS950" s="3">
        <v>46107.77601851852</v>
      </c>
    </row>
    <row r="951" ht="25.5" customHeight="1">
      <c r="A951" t="inlineStr">
        <is>
          <t>64abaaae0000000010034220</t>
        </is>
      </c>
      <c r="B951" s="2" t="str">
        <f>=HYPERLINK("https://www.xiaohongshu.com/user/profile/64abaaae0000000010034220", "https://www.xiaohongshu.com/user/profile/64abaaae0000000010034220")</f>
        <v>https://www.xiaohongshu.com/user/profile/64abaaae0000000010034220</v>
      </c>
      <c r="C951" s="2" t="str">
        <f>=HYPERLINK("https://pgy.xiaohongshu.com/solar/pre-trade/blogger-detail/64abaaae0000000010034220", "https://pgy.xiaohongshu.com/solar/pre-trade/blogger-detail/64abaaae0000000010034220")</f>
        <v>https://pgy.xiaohongshu.com/solar/pre-trade/blogger-detail/64abaaae0000000010034220</v>
      </c>
      <c r="D951" t="inlineStr">
        <is>
          <t>男</t>
        </is>
      </c>
      <c r="E951" t="inlineStr">
        <is>
          <t>9646999903</t>
        </is>
      </c>
      <c r="F951" t="inlineStr">
        <is>
          <t>小枫背单词</t>
        </is>
      </c>
      <c r="G951" t="inlineStr">
        <is>
          <t>山西 吕梁 离石区</t>
        </is>
      </c>
      <c r="H951"/>
      <c r="I951" t="inlineStr">
        <is>
          <t>教育</t>
        </is>
      </c>
      <c r="J951">
        <v>4876</v>
      </c>
      <c r="K951" t="inlineStr">
        <is>
          <t>0.5</t>
        </is>
      </c>
      <c r="L951">
        <v>16915</v>
      </c>
      <c r="M951">
        <v>2899</v>
      </c>
      <c r="N951">
        <v>211</v>
      </c>
      <c r="O951">
        <v>200</v>
      </c>
      <c r="P951">
        <v>0</v>
      </c>
      <c r="Q951">
        <v>0.348</v>
      </c>
      <c r="R951">
        <v>16915</v>
      </c>
      <c r="S951">
        <v>2899</v>
      </c>
      <c r="T951">
        <v>203</v>
      </c>
      <c r="U951">
        <v>0.37</v>
      </c>
      <c r="V951">
        <v>200</v>
      </c>
      <c r="W951">
        <v>0.348</v>
      </c>
      <c r="X951">
        <v>0</v>
      </c>
      <c r="Y951">
        <v>11.82</v>
      </c>
      <c r="Z951">
        <v>0.95</v>
      </c>
      <c r="AA951">
        <v>0</v>
      </c>
      <c r="AB951">
        <v>0</v>
      </c>
      <c r="AC951">
        <v>0</v>
      </c>
      <c r="AD951">
        <v>0</v>
      </c>
      <c r="AE951">
        <v>300</v>
      </c>
      <c r="AF951">
        <v>0</v>
      </c>
      <c r="AG951">
        <v>0</v>
      </c>
      <c r="AH951">
        <v>0</v>
      </c>
      <c r="AI951">
        <v>0</v>
      </c>
      <c r="AJ951">
        <v>0</v>
      </c>
      <c r="AK951">
        <v>0</v>
      </c>
      <c r="AL951">
        <v>0</v>
      </c>
      <c r="AM951">
        <v>0</v>
      </c>
      <c r="AN951">
        <v>0</v>
      </c>
      <c r="AO951">
        <v>0</v>
      </c>
      <c r="AP951">
        <v>0.865</v>
      </c>
      <c r="AQ951">
        <v>0.036</v>
      </c>
      <c r="AR951">
        <v>0.048</v>
      </c>
      <c r="AS951" s="3">
        <v>46107.77601851852</v>
      </c>
    </row>
    <row r="952" ht="25.5" customHeight="1">
      <c r="A952" t="inlineStr">
        <is>
          <t>5dbf5fce0000000001001444</t>
        </is>
      </c>
      <c r="B952" s="2" t="str">
        <f>=HYPERLINK("https://www.xiaohongshu.com/user/profile/5dbf5fce0000000001001444", "https://www.xiaohongshu.com/user/profile/5dbf5fce0000000001001444")</f>
        <v>https://www.xiaohongshu.com/user/profile/5dbf5fce0000000001001444</v>
      </c>
      <c r="C952" s="2" t="str">
        <f>=HYPERLINK("https://pgy.xiaohongshu.com/solar/pre-trade/blogger-detail/5dbf5fce0000000001001444", "https://pgy.xiaohongshu.com/solar/pre-trade/blogger-detail/5dbf5fce0000000001001444")</f>
        <v>https://pgy.xiaohongshu.com/solar/pre-trade/blogger-detail/5dbf5fce0000000001001444</v>
      </c>
      <c r="D952" t="inlineStr">
        <is>
          <t>女</t>
        </is>
      </c>
      <c r="E952" t="inlineStr">
        <is>
          <t>817134168</t>
        </is>
      </c>
      <c r="F952" t="inlineStr">
        <is>
          <t>重生之我要成为大佬</t>
        </is>
      </c>
      <c r="G952" t="inlineStr">
        <is>
          <t>日本</t>
        </is>
      </c>
      <c r="H952" t="inlineStr">
        <is>
          <t>留学背景, 学生</t>
        </is>
      </c>
      <c r="I952" t="inlineStr">
        <is>
          <t>教育</t>
        </is>
      </c>
      <c r="J952">
        <v>51655</v>
      </c>
      <c r="K952" t="inlineStr">
        <is>
          <t>5.2</t>
        </is>
      </c>
      <c r="L952">
        <v>14393</v>
      </c>
      <c r="M952">
        <v>2771</v>
      </c>
      <c r="N952">
        <v>203</v>
      </c>
      <c r="O952">
        <v>500</v>
      </c>
      <c r="P952">
        <v>0</v>
      </c>
      <c r="Q952">
        <v>0.5</v>
      </c>
      <c r="R952">
        <v>0</v>
      </c>
      <c r="S952">
        <v>0</v>
      </c>
      <c r="T952">
        <v>0</v>
      </c>
      <c r="U952">
        <v>0</v>
      </c>
      <c r="V952">
        <v>500</v>
      </c>
      <c r="W952">
        <v>0</v>
      </c>
      <c r="X952">
        <v>0</v>
      </c>
      <c r="Y952">
        <v>0</v>
      </c>
      <c r="Z952">
        <v>0</v>
      </c>
      <c r="AA952">
        <v>14393</v>
      </c>
      <c r="AB952">
        <v>2771</v>
      </c>
      <c r="AC952">
        <v>173</v>
      </c>
      <c r="AD952">
        <v>2.17</v>
      </c>
      <c r="AE952">
        <v>1854</v>
      </c>
      <c r="AF952">
        <v>0.5</v>
      </c>
      <c r="AG952">
        <v>0</v>
      </c>
      <c r="AH952">
        <v>0.361</v>
      </c>
      <c r="AI952">
        <v>128.81</v>
      </c>
      <c r="AJ952">
        <v>9.11</v>
      </c>
      <c r="AK952">
        <v>0</v>
      </c>
      <c r="AL952">
        <v>0</v>
      </c>
      <c r="AM952">
        <v>0</v>
      </c>
      <c r="AN952">
        <v>0</v>
      </c>
      <c r="AO952">
        <v>0</v>
      </c>
      <c r="AP952">
        <v>0.857</v>
      </c>
      <c r="AQ952">
        <v>0.022</v>
      </c>
      <c r="AR952">
        <v>0.01</v>
      </c>
      <c r="AS952" s="3">
        <v>46107.77601851852</v>
      </c>
    </row>
    <row r="953" ht="25.5" customHeight="1">
      <c r="A953" t="inlineStr">
        <is>
          <t>6688dd9b000000000f0357a5</t>
        </is>
      </c>
      <c r="B953" s="2" t="str">
        <f>=HYPERLINK("https://www.xiaohongshu.com/user/profile/6688dd9b000000000f0357a5", "https://www.xiaohongshu.com/user/profile/6688dd9b000000000f0357a5")</f>
        <v>https://www.xiaohongshu.com/user/profile/6688dd9b000000000f0357a5</v>
      </c>
      <c r="C953" s="2" t="str">
        <f>=HYPERLINK("https://pgy.xiaohongshu.com/solar/pre-trade/blogger-detail/6688dd9b000000000f0357a5", "https://pgy.xiaohongshu.com/solar/pre-trade/blogger-detail/6688dd9b000000000f0357a5")</f>
        <v>https://pgy.xiaohongshu.com/solar/pre-trade/blogger-detail/6688dd9b000000000f0357a5</v>
      </c>
      <c r="D953" t="inlineStr">
        <is>
          <t>男</t>
        </is>
      </c>
      <c r="E953" t="inlineStr">
        <is>
          <t>94744868914</t>
        </is>
      </c>
      <c r="F953" t="inlineStr">
        <is>
          <t>渝橙</t>
        </is>
      </c>
      <c r="G953" t="inlineStr">
        <is>
          <t>安徽 合肥 蜀山区</t>
        </is>
      </c>
      <c r="H953" t="inlineStr">
        <is>
          <t>学生</t>
        </is>
      </c>
      <c r="I953" t="inlineStr">
        <is>
          <t>教育</t>
        </is>
      </c>
      <c r="J953">
        <v>4195</v>
      </c>
      <c r="K953" t="inlineStr">
        <is>
          <t>0.4</t>
        </is>
      </c>
      <c r="L953">
        <v>13853</v>
      </c>
      <c r="M953">
        <v>3087</v>
      </c>
      <c r="N953">
        <v>174</v>
      </c>
      <c r="O953">
        <v>148</v>
      </c>
      <c r="P953">
        <v>0</v>
      </c>
      <c r="Q953">
        <v>0.357</v>
      </c>
      <c r="R953">
        <v>13853</v>
      </c>
      <c r="S953">
        <v>3087</v>
      </c>
      <c r="T953">
        <v>134</v>
      </c>
      <c r="U953">
        <v>0.35</v>
      </c>
      <c r="V953">
        <v>148</v>
      </c>
      <c r="W953">
        <v>0.357</v>
      </c>
      <c r="X953">
        <v>0</v>
      </c>
      <c r="Y953">
        <v>10.68</v>
      </c>
      <c r="Z953">
        <v>0.85</v>
      </c>
      <c r="AA953">
        <v>0</v>
      </c>
      <c r="AB953">
        <v>0</v>
      </c>
      <c r="AC953">
        <v>0</v>
      </c>
      <c r="AD953">
        <v>0</v>
      </c>
      <c r="AE953">
        <v>273</v>
      </c>
      <c r="AF953">
        <v>0</v>
      </c>
      <c r="AG953">
        <v>0</v>
      </c>
      <c r="AH953">
        <v>0</v>
      </c>
      <c r="AI953">
        <v>0</v>
      </c>
      <c r="AJ953">
        <v>0</v>
      </c>
      <c r="AK953">
        <v>0</v>
      </c>
      <c r="AL953">
        <v>0</v>
      </c>
      <c r="AM953">
        <v>0</v>
      </c>
      <c r="AN953">
        <v>0</v>
      </c>
      <c r="AO953">
        <v>0</v>
      </c>
      <c r="AP953">
        <v>0.94</v>
      </c>
      <c r="AQ953">
        <v>0.099</v>
      </c>
      <c r="AR953">
        <v>0.444</v>
      </c>
      <c r="AS953" s="3">
        <v>46107.77601851852</v>
      </c>
    </row>
    <row r="954" ht="25.5" customHeight="1">
      <c r="A954" t="inlineStr">
        <is>
          <t>69591341000000003201c3e8</t>
        </is>
      </c>
      <c r="B954" s="2" t="str">
        <f>=HYPERLINK("https://www.xiaohongshu.com/user/profile/69591341000000003201c3e8", "https://www.xiaohongshu.com/user/profile/69591341000000003201c3e8")</f>
        <v>https://www.xiaohongshu.com/user/profile/69591341000000003201c3e8</v>
      </c>
      <c r="C954" s="2" t="str">
        <f>=HYPERLINK("https://pgy.xiaohongshu.com/solar/pre-trade/blogger-detail/69591341000000003201c3e8", "https://pgy.xiaohongshu.com/solar/pre-trade/blogger-detail/69591341000000003201c3e8")</f>
        <v>https://pgy.xiaohongshu.com/solar/pre-trade/blogger-detail/69591341000000003201c3e8</v>
      </c>
      <c r="D954" t="inlineStr">
        <is>
          <t>男</t>
        </is>
      </c>
      <c r="E954" t="inlineStr">
        <is>
          <t>95148586575</t>
        </is>
      </c>
      <c r="F954" t="inlineStr">
        <is>
          <t>一个俗人</t>
        </is>
      </c>
      <c r="G954" t="inlineStr">
        <is>
          <t>甘肃 兰州 城关区</t>
        </is>
      </c>
      <c r="H954"/>
      <c r="I954" t="inlineStr">
        <is>
          <t>教育</t>
        </is>
      </c>
      <c r="J954">
        <v>4716</v>
      </c>
      <c r="K954" t="inlineStr">
        <is>
          <t>0.5</t>
        </is>
      </c>
      <c r="L954">
        <v>5971</v>
      </c>
      <c r="M954">
        <v>3194</v>
      </c>
      <c r="N954">
        <v>261</v>
      </c>
      <c r="O954">
        <v>200</v>
      </c>
      <c r="P954">
        <v>0</v>
      </c>
      <c r="Q954">
        <v>0.5</v>
      </c>
      <c r="R954">
        <v>0</v>
      </c>
      <c r="S954">
        <v>0</v>
      </c>
      <c r="T954">
        <v>0</v>
      </c>
      <c r="U954">
        <v>0</v>
      </c>
      <c r="V954">
        <v>200</v>
      </c>
      <c r="W954">
        <v>0</v>
      </c>
      <c r="X954">
        <v>0</v>
      </c>
      <c r="Y954">
        <v>0</v>
      </c>
      <c r="Z954">
        <v>0</v>
      </c>
      <c r="AA954">
        <v>5971</v>
      </c>
      <c r="AB954">
        <v>3194</v>
      </c>
      <c r="AC954">
        <v>165</v>
      </c>
      <c r="AD954">
        <v>1.63</v>
      </c>
      <c r="AE954">
        <v>400</v>
      </c>
      <c r="AF954">
        <v>0.5</v>
      </c>
      <c r="AG954">
        <v>0</v>
      </c>
      <c r="AH954">
        <v>0.115999999999999</v>
      </c>
      <c r="AI954">
        <v>66.99</v>
      </c>
      <c r="AJ954">
        <v>1.53</v>
      </c>
      <c r="AK954">
        <v>0</v>
      </c>
      <c r="AL954">
        <v>0</v>
      </c>
      <c r="AM954">
        <v>0</v>
      </c>
      <c r="AN954">
        <v>0</v>
      </c>
      <c r="AO954">
        <v>0</v>
      </c>
      <c r="AP954">
        <v>0.986</v>
      </c>
      <c r="AQ954">
        <v>0.0819999999999999</v>
      </c>
      <c r="AR954">
        <v>0.183</v>
      </c>
      <c r="AS954" s="3">
        <v>46107.77601851852</v>
      </c>
    </row>
    <row r="955" ht="25.5" customHeight="1">
      <c r="A955" t="inlineStr">
        <is>
          <t>63f38b9a000000000f01177e</t>
        </is>
      </c>
      <c r="B955" s="2" t="str">
        <f>=HYPERLINK("https://www.xiaohongshu.com/user/profile/63f38b9a000000000f01177e", "https://www.xiaohongshu.com/user/profile/63f38b9a000000000f01177e")</f>
        <v>https://www.xiaohongshu.com/user/profile/63f38b9a000000000f01177e</v>
      </c>
      <c r="C955" s="2" t="str">
        <f>=HYPERLINK("https://pgy.xiaohongshu.com/solar/pre-trade/blogger-detail/63f38b9a000000000f01177e", "https://pgy.xiaohongshu.com/solar/pre-trade/blogger-detail/63f38b9a000000000f01177e")</f>
        <v>https://pgy.xiaohongshu.com/solar/pre-trade/blogger-detail/63f38b9a000000000f01177e</v>
      </c>
      <c r="D955" t="inlineStr">
        <is>
          <t>男</t>
        </is>
      </c>
      <c r="E955" t="inlineStr">
        <is>
          <t>7421919859</t>
        </is>
      </c>
      <c r="F955" t="inlineStr">
        <is>
          <t>涵宝儿（爱背单词版）</t>
        </is>
      </c>
      <c r="G955" t="inlineStr">
        <is>
          <t>河南 三门峡 渑池县</t>
        </is>
      </c>
      <c r="H955" t="inlineStr">
        <is>
          <t>学生</t>
        </is>
      </c>
      <c r="I955" t="inlineStr">
        <is>
          <t>教育</t>
        </is>
      </c>
      <c r="J955">
        <v>3184</v>
      </c>
      <c r="K955" t="inlineStr">
        <is>
          <t>0.3</t>
        </is>
      </c>
      <c r="L955">
        <v>31324</v>
      </c>
      <c r="M955">
        <v>4699</v>
      </c>
      <c r="N955">
        <v>248</v>
      </c>
      <c r="O955">
        <v>149</v>
      </c>
      <c r="P955">
        <v>0</v>
      </c>
      <c r="Q955">
        <v>0.75</v>
      </c>
      <c r="R955">
        <v>31324</v>
      </c>
      <c r="S955">
        <v>4699</v>
      </c>
      <c r="T955">
        <v>232</v>
      </c>
      <c r="U955">
        <v>0.33</v>
      </c>
      <c r="V955">
        <v>149</v>
      </c>
      <c r="W955">
        <v>0.75</v>
      </c>
      <c r="X955">
        <v>0</v>
      </c>
      <c r="Y955">
        <v>4.99</v>
      </c>
      <c r="Z955">
        <v>0.7</v>
      </c>
      <c r="AA955">
        <v>0</v>
      </c>
      <c r="AB955">
        <v>0</v>
      </c>
      <c r="AC955">
        <v>0</v>
      </c>
      <c r="AD955">
        <v>0</v>
      </c>
      <c r="AE955">
        <v>233</v>
      </c>
      <c r="AF955">
        <v>0</v>
      </c>
      <c r="AG955">
        <v>0</v>
      </c>
      <c r="AH955">
        <v>0</v>
      </c>
      <c r="AI955">
        <v>0</v>
      </c>
      <c r="AJ955">
        <v>0</v>
      </c>
      <c r="AK955">
        <v>1800</v>
      </c>
      <c r="AL955">
        <v>264</v>
      </c>
      <c r="AM955">
        <v>14</v>
      </c>
      <c r="AN955">
        <v>176</v>
      </c>
      <c r="AO955">
        <v>0.78</v>
      </c>
      <c r="AP955">
        <v>0.81</v>
      </c>
      <c r="AQ955">
        <v>0.081</v>
      </c>
      <c r="AR955">
        <v>0.196999999999999</v>
      </c>
      <c r="AS955" s="3">
        <v>46107.77601851852</v>
      </c>
    </row>
    <row r="956" ht="25.5" customHeight="1">
      <c r="A956" t="inlineStr">
        <is>
          <t>62965d790000000021022c65</t>
        </is>
      </c>
      <c r="B956" s="2" t="str">
        <f>=HYPERLINK("https://www.xiaohongshu.com/user/profile/62965d790000000021022c65", "https://www.xiaohongshu.com/user/profile/62965d790000000021022c65")</f>
        <v>https://www.xiaohongshu.com/user/profile/62965d790000000021022c65</v>
      </c>
      <c r="C956" s="2" t="str">
        <f>=HYPERLINK("https://pgy.xiaohongshu.com/solar/pre-trade/blogger-detail/62965d790000000021022c65", "https://pgy.xiaohongshu.com/solar/pre-trade/blogger-detail/62965d790000000021022c65")</f>
        <v>https://pgy.xiaohongshu.com/solar/pre-trade/blogger-detail/62965d790000000021022c65</v>
      </c>
      <c r="D956" t="inlineStr">
        <is>
          <t>女</t>
        </is>
      </c>
      <c r="E956" t="inlineStr">
        <is>
          <t>5478121772</t>
        </is>
      </c>
      <c r="F956" t="inlineStr">
        <is>
          <t>冻冻茶o</t>
        </is>
      </c>
      <c r="G956" t="inlineStr">
        <is>
          <t>俄罗斯</t>
        </is>
      </c>
      <c r="H956"/>
      <c r="I956" t="inlineStr">
        <is>
          <t>美食, 教育</t>
        </is>
      </c>
      <c r="J956">
        <v>2892</v>
      </c>
      <c r="K956" t="inlineStr">
        <is>
          <t>0.3</t>
        </is>
      </c>
      <c r="L956">
        <v>54074</v>
      </c>
      <c r="M956">
        <v>6678</v>
      </c>
      <c r="N956">
        <v>880</v>
      </c>
      <c r="O956">
        <v>729</v>
      </c>
      <c r="P956">
        <v>0</v>
      </c>
      <c r="Q956">
        <v>1</v>
      </c>
      <c r="R956">
        <v>0</v>
      </c>
      <c r="S956">
        <v>0</v>
      </c>
      <c r="T956">
        <v>0</v>
      </c>
      <c r="U956">
        <v>0</v>
      </c>
      <c r="V956">
        <v>120</v>
      </c>
      <c r="W956">
        <v>0</v>
      </c>
      <c r="X956">
        <v>0</v>
      </c>
      <c r="Y956">
        <v>0</v>
      </c>
      <c r="Z956">
        <v>0</v>
      </c>
      <c r="AA956">
        <v>54074</v>
      </c>
      <c r="AB956">
        <v>6678</v>
      </c>
      <c r="AC956">
        <v>727</v>
      </c>
      <c r="AD956">
        <v>1.61</v>
      </c>
      <c r="AE956">
        <v>729</v>
      </c>
      <c r="AF956">
        <v>1</v>
      </c>
      <c r="AG956">
        <v>0</v>
      </c>
      <c r="AH956">
        <v>0.053</v>
      </c>
      <c r="AI956">
        <v>13.48</v>
      </c>
      <c r="AJ956">
        <v>0.83</v>
      </c>
      <c r="AK956">
        <v>0</v>
      </c>
      <c r="AL956">
        <v>0</v>
      </c>
      <c r="AM956">
        <v>0</v>
      </c>
      <c r="AN956">
        <v>0</v>
      </c>
      <c r="AO956">
        <v>0</v>
      </c>
      <c r="AP956">
        <v>0.795</v>
      </c>
      <c r="AQ956">
        <v>0.057</v>
      </c>
      <c r="AR956">
        <v>0.084</v>
      </c>
      <c r="AS956" s="3">
        <v>46107.77601851852</v>
      </c>
    </row>
    <row r="957" ht="25.5" customHeight="1">
      <c r="A957" t="inlineStr">
        <is>
          <t>5d211d420000000012025568</t>
        </is>
      </c>
      <c r="B957" s="2" t="str">
        <f>=HYPERLINK("https://www.xiaohongshu.com/user/profile/5d211d420000000012025568", "https://www.xiaohongshu.com/user/profile/5d211d420000000012025568")</f>
        <v>https://www.xiaohongshu.com/user/profile/5d211d420000000012025568</v>
      </c>
      <c r="C957" s="2" t="str">
        <f>=HYPERLINK("https://pgy.xiaohongshu.com/solar/pre-trade/blogger-detail/5d211d420000000012025568", "https://pgy.xiaohongshu.com/solar/pre-trade/blogger-detail/5d211d420000000012025568")</f>
        <v>https://pgy.xiaohongshu.com/solar/pre-trade/blogger-detail/5d211d420000000012025568</v>
      </c>
      <c r="D957" t="inlineStr">
        <is>
          <t>女</t>
        </is>
      </c>
      <c r="E957" t="inlineStr">
        <is>
          <t>302277629</t>
        </is>
      </c>
      <c r="F957" t="inlineStr">
        <is>
          <t>Augenstern</t>
        </is>
      </c>
      <c r="G957" t="inlineStr">
        <is>
          <t>澳大利亚</t>
        </is>
      </c>
      <c r="H957" t="inlineStr">
        <is>
          <t>手账爱好者, 留学背景, 学生</t>
        </is>
      </c>
      <c r="I957" t="inlineStr">
        <is>
          <t>教育</t>
        </is>
      </c>
      <c r="J957">
        <v>12597</v>
      </c>
      <c r="K957" t="inlineStr">
        <is>
          <t>1.3</t>
        </is>
      </c>
      <c r="L957">
        <v>6136</v>
      </c>
      <c r="M957">
        <v>1028</v>
      </c>
      <c r="N957">
        <v>107</v>
      </c>
      <c r="O957">
        <v>1000</v>
      </c>
      <c r="P957">
        <v>0</v>
      </c>
      <c r="Q957">
        <v>0.332999999999999</v>
      </c>
      <c r="R957">
        <v>6738</v>
      </c>
      <c r="S957">
        <v>903</v>
      </c>
      <c r="T957">
        <v>89</v>
      </c>
      <c r="U957">
        <v>1.41</v>
      </c>
      <c r="V957">
        <v>1000</v>
      </c>
      <c r="W957">
        <v>0.2</v>
      </c>
      <c r="X957">
        <v>0</v>
      </c>
      <c r="Y957">
        <v>148.41</v>
      </c>
      <c r="Z957">
        <v>9.62</v>
      </c>
      <c r="AA957">
        <v>6024</v>
      </c>
      <c r="AB957">
        <v>1037</v>
      </c>
      <c r="AC957">
        <v>102</v>
      </c>
      <c r="AD957">
        <v>2.85</v>
      </c>
      <c r="AE957">
        <v>1400</v>
      </c>
      <c r="AF957">
        <v>0.429</v>
      </c>
      <c r="AG957">
        <v>0</v>
      </c>
      <c r="AH957">
        <v>0.212</v>
      </c>
      <c r="AI957">
        <v>232.4</v>
      </c>
      <c r="AJ957">
        <v>12.73</v>
      </c>
      <c r="AK957">
        <v>0</v>
      </c>
      <c r="AL957">
        <v>0</v>
      </c>
      <c r="AM957">
        <v>0</v>
      </c>
      <c r="AN957">
        <v>0</v>
      </c>
      <c r="AO957">
        <v>0</v>
      </c>
      <c r="AP957">
        <v>0.858</v>
      </c>
      <c r="AQ957">
        <v>0.042</v>
      </c>
      <c r="AR957">
        <v>0.006</v>
      </c>
      <c r="AS957" s="3">
        <v>46107.77601851852</v>
      </c>
    </row>
    <row r="958" ht="25.5" customHeight="1">
      <c r="A958" t="inlineStr">
        <is>
          <t>5f1d4b1e0000000001008692</t>
        </is>
      </c>
      <c r="B958" s="2" t="str">
        <f>=HYPERLINK("https://www.xiaohongshu.com/user/profile/5f1d4b1e0000000001008692", "https://www.xiaohongshu.com/user/profile/5f1d4b1e0000000001008692")</f>
        <v>https://www.xiaohongshu.com/user/profile/5f1d4b1e0000000001008692</v>
      </c>
      <c r="C958" s="2" t="str">
        <f>=HYPERLINK("https://pgy.xiaohongshu.com/solar/pre-trade/blogger-detail/5f1d4b1e0000000001008692", "https://pgy.xiaohongshu.com/solar/pre-trade/blogger-detail/5f1d4b1e0000000001008692")</f>
        <v>https://pgy.xiaohongshu.com/solar/pre-trade/blogger-detail/5f1d4b1e0000000001008692</v>
      </c>
      <c r="D958" t="inlineStr">
        <is>
          <t>女</t>
        </is>
      </c>
      <c r="E958" t="inlineStr">
        <is>
          <t>318454146</t>
        </is>
      </c>
      <c r="F958" t="inlineStr">
        <is>
          <t>英专牲某人</t>
        </is>
      </c>
      <c r="G958" t="inlineStr">
        <is>
          <t>湖南 长沙 岳麓区</t>
        </is>
      </c>
      <c r="H958"/>
      <c r="I958" t="inlineStr">
        <is>
          <t>兴趣爱好, 教育</t>
        </is>
      </c>
      <c r="J958">
        <v>1492</v>
      </c>
      <c r="K958" t="inlineStr">
        <is>
          <t>0.1</t>
        </is>
      </c>
      <c r="L958">
        <v>6849</v>
      </c>
      <c r="M958">
        <v>980</v>
      </c>
      <c r="N958">
        <v>110</v>
      </c>
      <c r="O958">
        <v>120</v>
      </c>
      <c r="P958">
        <v>0</v>
      </c>
      <c r="Q958">
        <v>0.5</v>
      </c>
      <c r="R958">
        <v>6849</v>
      </c>
      <c r="S958">
        <v>980</v>
      </c>
      <c r="T958">
        <v>104</v>
      </c>
      <c r="U958">
        <v>0.69</v>
      </c>
      <c r="V958">
        <v>120</v>
      </c>
      <c r="W958">
        <v>0.5</v>
      </c>
      <c r="X958">
        <v>0</v>
      </c>
      <c r="Y958">
        <v>46.3</v>
      </c>
      <c r="Z958">
        <v>1.41</v>
      </c>
      <c r="AA958">
        <v>0</v>
      </c>
      <c r="AB958">
        <v>0</v>
      </c>
      <c r="AC958">
        <v>0</v>
      </c>
      <c r="AD958">
        <v>0</v>
      </c>
      <c r="AE958">
        <v>0</v>
      </c>
      <c r="AF958">
        <v>0</v>
      </c>
      <c r="AG958">
        <v>0</v>
      </c>
      <c r="AH958">
        <v>0</v>
      </c>
      <c r="AI958">
        <v>0</v>
      </c>
      <c r="AJ958">
        <v>0</v>
      </c>
      <c r="AK958">
        <v>2592</v>
      </c>
      <c r="AL958">
        <v>311</v>
      </c>
      <c r="AM958">
        <v>72</v>
      </c>
      <c r="AN958">
        <v>0</v>
      </c>
      <c r="AO958">
        <v>0</v>
      </c>
      <c r="AP958">
        <v>0.871</v>
      </c>
      <c r="AQ958">
        <v>0.064</v>
      </c>
      <c r="AR958">
        <v>0.02</v>
      </c>
      <c r="AS958" s="3">
        <v>46107.77601851852</v>
      </c>
    </row>
    <row r="959" ht="25.5" customHeight="1">
      <c r="A959" t="inlineStr">
        <is>
          <t>5a04270411be1005cafe9db3</t>
        </is>
      </c>
      <c r="B959" s="2" t="str">
        <f>=HYPERLINK("https://www.xiaohongshu.com/user/profile/5a04270411be1005cafe9db3", "https://www.xiaohongshu.com/user/profile/5a04270411be1005cafe9db3")</f>
        <v>https://www.xiaohongshu.com/user/profile/5a04270411be1005cafe9db3</v>
      </c>
      <c r="C959" s="2" t="str">
        <f>=HYPERLINK("https://pgy.xiaohongshu.com/solar/pre-trade/blogger-detail/5a04270411be1005cafe9db3", "https://pgy.xiaohongshu.com/solar/pre-trade/blogger-detail/5a04270411be1005cafe9db3")</f>
        <v>https://pgy.xiaohongshu.com/solar/pre-trade/blogger-detail/5a04270411be1005cafe9db3</v>
      </c>
      <c r="D959" t="inlineStr">
        <is>
          <t>女</t>
        </is>
      </c>
      <c r="E959" t="inlineStr">
        <is>
          <t>943588526</t>
        </is>
      </c>
      <c r="F959" t="inlineStr">
        <is>
          <t>两三天</t>
        </is>
      </c>
      <c r="G959" t="inlineStr">
        <is>
          <t>陕西 西安 雁塔区</t>
        </is>
      </c>
      <c r="H959" t="inlineStr">
        <is>
          <t>考研过来人, 学生</t>
        </is>
      </c>
      <c r="I959" t="inlineStr">
        <is>
          <t>教育</t>
        </is>
      </c>
      <c r="J959">
        <v>1032</v>
      </c>
      <c r="K959" t="inlineStr">
        <is>
          <t>0.1</t>
        </is>
      </c>
      <c r="L959">
        <v>8021</v>
      </c>
      <c r="M959">
        <v>1980</v>
      </c>
      <c r="N959">
        <v>174</v>
      </c>
      <c r="O959">
        <v>232</v>
      </c>
      <c r="P959">
        <v>0</v>
      </c>
      <c r="Q959">
        <v>0</v>
      </c>
      <c r="R959">
        <v>8021</v>
      </c>
      <c r="S959">
        <v>1980</v>
      </c>
      <c r="T959">
        <v>156</v>
      </c>
      <c r="U959">
        <v>0.42</v>
      </c>
      <c r="V959">
        <v>232</v>
      </c>
      <c r="W959">
        <v>0</v>
      </c>
      <c r="X959">
        <v>0</v>
      </c>
      <c r="Y959">
        <v>28.92</v>
      </c>
      <c r="Z959">
        <v>1.33</v>
      </c>
      <c r="AA959">
        <v>0</v>
      </c>
      <c r="AB959">
        <v>0</v>
      </c>
      <c r="AC959">
        <v>0</v>
      </c>
      <c r="AD959">
        <v>0</v>
      </c>
      <c r="AE959">
        <v>406</v>
      </c>
      <c r="AF959">
        <v>0</v>
      </c>
      <c r="AG959">
        <v>0</v>
      </c>
      <c r="AH959">
        <v>0</v>
      </c>
      <c r="AI959">
        <v>0</v>
      </c>
      <c r="AJ959">
        <v>0</v>
      </c>
      <c r="AK959">
        <v>0</v>
      </c>
      <c r="AL959">
        <v>0</v>
      </c>
      <c r="AM959">
        <v>0</v>
      </c>
      <c r="AN959">
        <v>0</v>
      </c>
      <c r="AO959">
        <v>0</v>
      </c>
      <c r="AP959">
        <v>0.858</v>
      </c>
      <c r="AQ959">
        <v>0.047</v>
      </c>
      <c r="AR959">
        <v>0</v>
      </c>
      <c r="AS959" s="3">
        <v>46107.77601851852</v>
      </c>
    </row>
    <row r="960" ht="25.5" customHeight="1">
      <c r="A960" t="inlineStr">
        <is>
          <t>684bf05a000000001d014ce2</t>
        </is>
      </c>
      <c r="B960" s="2" t="str">
        <f>=HYPERLINK("https://www.xiaohongshu.com/user/profile/684bf05a000000001d014ce2", "https://www.xiaohongshu.com/user/profile/684bf05a000000001d014ce2")</f>
        <v>https://www.xiaohongshu.com/user/profile/684bf05a000000001d014ce2</v>
      </c>
      <c r="C960" s="2" t="str">
        <f>=HYPERLINK("https://pgy.xiaohongshu.com/solar/pre-trade/blogger-detail/684bf05a000000001d014ce2", "https://pgy.xiaohongshu.com/solar/pre-trade/blogger-detail/684bf05a000000001d014ce2")</f>
        <v>https://pgy.xiaohongshu.com/solar/pre-trade/blogger-detail/684bf05a000000001d014ce2</v>
      </c>
      <c r="D960" t="inlineStr">
        <is>
          <t>未知</t>
        </is>
      </c>
      <c r="E960" t="inlineStr">
        <is>
          <t>26163856985</t>
        </is>
      </c>
      <c r="F960" t="inlineStr">
        <is>
          <t>Nicole姐姐</t>
        </is>
      </c>
      <c r="G960" t="inlineStr">
        <is>
          <t>中国 香港</t>
        </is>
      </c>
      <c r="H960"/>
      <c r="I960" t="inlineStr">
        <is>
          <t>教育, 母婴</t>
        </is>
      </c>
      <c r="J960">
        <v>1827</v>
      </c>
      <c r="K960" t="inlineStr">
        <is>
          <t>0.2</t>
        </is>
      </c>
      <c r="L960">
        <v>5670</v>
      </c>
      <c r="M960">
        <v>1749</v>
      </c>
      <c r="N960">
        <v>136</v>
      </c>
      <c r="O960">
        <v>150</v>
      </c>
      <c r="P960">
        <v>0.125</v>
      </c>
      <c r="Q960">
        <v>0.25</v>
      </c>
      <c r="R960">
        <v>0</v>
      </c>
      <c r="S960">
        <v>0</v>
      </c>
      <c r="T960">
        <v>0</v>
      </c>
      <c r="U960">
        <v>0</v>
      </c>
      <c r="V960">
        <v>150</v>
      </c>
      <c r="W960">
        <v>0</v>
      </c>
      <c r="X960">
        <v>0</v>
      </c>
      <c r="Y960">
        <v>0</v>
      </c>
      <c r="Z960">
        <v>0</v>
      </c>
      <c r="AA960">
        <v>5670</v>
      </c>
      <c r="AB960">
        <v>1749</v>
      </c>
      <c r="AC960">
        <v>99</v>
      </c>
      <c r="AD960">
        <v>1.67</v>
      </c>
      <c r="AE960">
        <v>300</v>
      </c>
      <c r="AF960">
        <v>0.25</v>
      </c>
      <c r="AG960">
        <v>0.125</v>
      </c>
      <c r="AH960">
        <v>0.221</v>
      </c>
      <c r="AI960">
        <v>52.91</v>
      </c>
      <c r="AJ960">
        <v>2.21</v>
      </c>
      <c r="AK960">
        <v>0</v>
      </c>
      <c r="AL960">
        <v>0</v>
      </c>
      <c r="AM960">
        <v>0</v>
      </c>
      <c r="AN960">
        <v>0</v>
      </c>
      <c r="AO960">
        <v>0</v>
      </c>
      <c r="AP960">
        <v>0.994</v>
      </c>
      <c r="AQ960">
        <v>0.295</v>
      </c>
      <c r="AR960">
        <v>0</v>
      </c>
      <c r="AS960" s="3">
        <v>46107.77601851852</v>
      </c>
    </row>
    <row r="961" ht="25.5" customHeight="1">
      <c r="A961" t="inlineStr">
        <is>
          <t>62b14934000000001b026ef3</t>
        </is>
      </c>
      <c r="B961" s="2" t="str">
        <f>=HYPERLINK("https://www.xiaohongshu.com/user/profile/62b14934000000001b026ef3", "https://www.xiaohongshu.com/user/profile/62b14934000000001b026ef3")</f>
        <v>https://www.xiaohongshu.com/user/profile/62b14934000000001b026ef3</v>
      </c>
      <c r="C961" s="2" t="str">
        <f>=HYPERLINK("https://pgy.xiaohongshu.com/solar/pre-trade/blogger-detail/62b14934000000001b026ef3", "https://pgy.xiaohongshu.com/solar/pre-trade/blogger-detail/62b14934000000001b026ef3")</f>
        <v>https://pgy.xiaohongshu.com/solar/pre-trade/blogger-detail/62b14934000000001b026ef3</v>
      </c>
      <c r="D961" t="inlineStr">
        <is>
          <t>女</t>
        </is>
      </c>
      <c r="E961" t="inlineStr">
        <is>
          <t>zhn230822</t>
        </is>
      </c>
      <c r="F961" t="inlineStr">
        <is>
          <t>Tranquility</t>
        </is>
      </c>
      <c r="G961" t="inlineStr">
        <is>
          <t>江苏 南京 江宁区</t>
        </is>
      </c>
      <c r="H961" t="inlineStr">
        <is>
          <t>学生</t>
        </is>
      </c>
      <c r="I961" t="inlineStr">
        <is>
          <t>教育</t>
        </is>
      </c>
      <c r="J961">
        <v>3272</v>
      </c>
      <c r="K961" t="inlineStr">
        <is>
          <t>0.3</t>
        </is>
      </c>
      <c r="L961">
        <v>75877</v>
      </c>
      <c r="M961">
        <v>19988</v>
      </c>
      <c r="N961">
        <v>1799</v>
      </c>
      <c r="O961">
        <v>320</v>
      </c>
      <c r="P961">
        <v>1</v>
      </c>
      <c r="Q961">
        <v>1</v>
      </c>
      <c r="R961">
        <v>75877</v>
      </c>
      <c r="S961">
        <v>19988</v>
      </c>
      <c r="T961">
        <v>1686</v>
      </c>
      <c r="U961">
        <v>0.32</v>
      </c>
      <c r="V961">
        <v>320</v>
      </c>
      <c r="W961">
        <v>1</v>
      </c>
      <c r="X961">
        <v>1</v>
      </c>
      <c r="Y961">
        <v>4.22</v>
      </c>
      <c r="Z961">
        <v>0.18</v>
      </c>
      <c r="AA961">
        <v>0</v>
      </c>
      <c r="AB961">
        <v>0</v>
      </c>
      <c r="AC961">
        <v>0</v>
      </c>
      <c r="AD961">
        <v>0</v>
      </c>
      <c r="AE961">
        <v>350</v>
      </c>
      <c r="AF961">
        <v>0</v>
      </c>
      <c r="AG961">
        <v>0</v>
      </c>
      <c r="AH961">
        <v>0</v>
      </c>
      <c r="AI961">
        <v>0</v>
      </c>
      <c r="AJ961">
        <v>0</v>
      </c>
      <c r="AK961">
        <v>0</v>
      </c>
      <c r="AL961">
        <v>0</v>
      </c>
      <c r="AM961">
        <v>0</v>
      </c>
      <c r="AN961">
        <v>0</v>
      </c>
      <c r="AO961">
        <v>0</v>
      </c>
      <c r="AP961">
        <v>0.844</v>
      </c>
      <c r="AQ961">
        <v>0.061</v>
      </c>
      <c r="AR961">
        <v>0.0279999999999999</v>
      </c>
      <c r="AS961" s="3">
        <v>46107.77625</v>
      </c>
    </row>
    <row r="962" ht="25.5" customHeight="1">
      <c r="A962" t="inlineStr">
        <is>
          <t>61166c430000000001015d16</t>
        </is>
      </c>
      <c r="B962" s="2" t="str">
        <f>=HYPERLINK("https://www.xiaohongshu.com/user/profile/61166c430000000001015d16", "https://www.xiaohongshu.com/user/profile/61166c430000000001015d16")</f>
        <v>https://www.xiaohongshu.com/user/profile/61166c430000000001015d16</v>
      </c>
      <c r="C962" s="2" t="str">
        <f>=HYPERLINK("https://pgy.xiaohongshu.com/solar/pre-trade/blogger-detail/61166c430000000001015d16", "https://pgy.xiaohongshu.com/solar/pre-trade/blogger-detail/61166c430000000001015d16")</f>
        <v>https://pgy.xiaohongshu.com/solar/pre-trade/blogger-detail/61166c430000000001015d16</v>
      </c>
      <c r="D962" t="inlineStr">
        <is>
          <t>女</t>
        </is>
      </c>
      <c r="E962" t="inlineStr">
        <is>
          <t>6360522084</t>
        </is>
      </c>
      <c r="F962" t="inlineStr">
        <is>
          <t>努力学汉语的CC</t>
        </is>
      </c>
      <c r="G962" t="inlineStr">
        <is>
          <t>广东 广州 海珠区</t>
        </is>
      </c>
      <c r="H962" t="inlineStr">
        <is>
          <t>学生</t>
        </is>
      </c>
      <c r="I962" t="inlineStr">
        <is>
          <t>教育</t>
        </is>
      </c>
      <c r="J962">
        <v>4274</v>
      </c>
      <c r="K962" t="inlineStr">
        <is>
          <t>0.4</t>
        </is>
      </c>
      <c r="L962">
        <v>10321</v>
      </c>
      <c r="M962">
        <v>3014</v>
      </c>
      <c r="N962">
        <v>135</v>
      </c>
      <c r="O962">
        <v>280</v>
      </c>
      <c r="P962">
        <v>0</v>
      </c>
      <c r="Q962">
        <v>0</v>
      </c>
      <c r="R962">
        <v>10321</v>
      </c>
      <c r="S962">
        <v>3014</v>
      </c>
      <c r="T962">
        <v>94</v>
      </c>
      <c r="U962">
        <v>0.39</v>
      </c>
      <c r="V962">
        <v>280</v>
      </c>
      <c r="W962">
        <v>0</v>
      </c>
      <c r="X962">
        <v>0</v>
      </c>
      <c r="Y962">
        <v>27.13</v>
      </c>
      <c r="Z962">
        <v>2.07</v>
      </c>
      <c r="AA962">
        <v>0</v>
      </c>
      <c r="AB962">
        <v>0</v>
      </c>
      <c r="AC962">
        <v>0</v>
      </c>
      <c r="AD962">
        <v>0</v>
      </c>
      <c r="AE962">
        <v>335</v>
      </c>
      <c r="AF962">
        <v>0</v>
      </c>
      <c r="AG962">
        <v>0</v>
      </c>
      <c r="AH962">
        <v>0</v>
      </c>
      <c r="AI962">
        <v>0</v>
      </c>
      <c r="AJ962">
        <v>0</v>
      </c>
      <c r="AK962">
        <v>0</v>
      </c>
      <c r="AL962">
        <v>0</v>
      </c>
      <c r="AM962">
        <v>0</v>
      </c>
      <c r="AN962">
        <v>0</v>
      </c>
      <c r="AO962">
        <v>0</v>
      </c>
      <c r="AP962">
        <v>0.644</v>
      </c>
      <c r="AQ962">
        <v>0.009</v>
      </c>
      <c r="AR962">
        <v>0.021</v>
      </c>
      <c r="AS962" s="3">
        <v>46107.77625</v>
      </c>
    </row>
    <row r="963" ht="25.5" customHeight="1">
      <c r="A963" t="inlineStr">
        <is>
          <t>5a4efcf611be102b4c949b8b</t>
        </is>
      </c>
      <c r="B963" s="2" t="str">
        <f>=HYPERLINK("https://www.xiaohongshu.com/user/profile/5a4efcf611be102b4c949b8b", "https://www.xiaohongshu.com/user/profile/5a4efcf611be102b4c949b8b")</f>
        <v>https://www.xiaohongshu.com/user/profile/5a4efcf611be102b4c949b8b</v>
      </c>
      <c r="C963" s="2" t="str">
        <f>=HYPERLINK("https://pgy.xiaohongshu.com/solar/pre-trade/blogger-detail/5a4efcf611be102b4c949b8b", "https://pgy.xiaohongshu.com/solar/pre-trade/blogger-detail/5a4efcf611be102b4c949b8b")</f>
        <v>https://pgy.xiaohongshu.com/solar/pre-trade/blogger-detail/5a4efcf611be102b4c949b8b</v>
      </c>
      <c r="D963" t="inlineStr">
        <is>
          <t>女</t>
        </is>
      </c>
      <c r="E963" t="inlineStr">
        <is>
          <t>264715061</t>
        </is>
      </c>
      <c r="F963" t="inlineStr">
        <is>
          <t>核动力驴肉</t>
        </is>
      </c>
      <c r="G963" t="inlineStr">
        <is>
          <t>广东 深圳 光明区</t>
        </is>
      </c>
      <c r="H963" t="inlineStr">
        <is>
          <t>学生</t>
        </is>
      </c>
      <c r="I963" t="inlineStr">
        <is>
          <t>教育, 健康养生</t>
        </is>
      </c>
      <c r="J963">
        <v>6897</v>
      </c>
      <c r="K963" t="inlineStr">
        <is>
          <t>0.7</t>
        </is>
      </c>
      <c r="L963">
        <v>48282</v>
      </c>
      <c r="M963">
        <v>13012</v>
      </c>
      <c r="N963">
        <v>265</v>
      </c>
      <c r="O963">
        <v>180</v>
      </c>
      <c r="P963">
        <v>0.2</v>
      </c>
      <c r="Q963">
        <v>0.4</v>
      </c>
      <c r="R963">
        <v>64036</v>
      </c>
      <c r="S963">
        <v>15975</v>
      </c>
      <c r="T963">
        <v>313</v>
      </c>
      <c r="U963">
        <v>0.31</v>
      </c>
      <c r="V963">
        <v>180</v>
      </c>
      <c r="W963">
        <v>0.5</v>
      </c>
      <c r="X963">
        <v>0.25</v>
      </c>
      <c r="Y963">
        <v>3.73</v>
      </c>
      <c r="Z963">
        <v>0.68</v>
      </c>
      <c r="AA963">
        <v>1937</v>
      </c>
      <c r="AB963">
        <v>670</v>
      </c>
      <c r="AC963">
        <v>60</v>
      </c>
      <c r="AD963">
        <v>0</v>
      </c>
      <c r="AE963">
        <v>0</v>
      </c>
      <c r="AF963">
        <v>0</v>
      </c>
      <c r="AG963">
        <v>0</v>
      </c>
      <c r="AH963">
        <v>0.335</v>
      </c>
      <c r="AI963">
        <v>0</v>
      </c>
      <c r="AJ963">
        <v>0</v>
      </c>
      <c r="AK963">
        <v>456</v>
      </c>
      <c r="AL963">
        <v>37</v>
      </c>
      <c r="AM963">
        <v>4</v>
      </c>
      <c r="AN963">
        <v>0</v>
      </c>
      <c r="AO963">
        <v>0</v>
      </c>
      <c r="AP963">
        <v>0.93</v>
      </c>
      <c r="AQ963">
        <v>0.035</v>
      </c>
      <c r="AR963">
        <v>-0.003</v>
      </c>
      <c r="AS963" s="3">
        <v>46107.77625</v>
      </c>
    </row>
    <row r="964" ht="25.5" customHeight="1">
      <c r="A964" t="inlineStr">
        <is>
          <t>5d65be4d00000000010036e9</t>
        </is>
      </c>
      <c r="B964" s="2" t="str">
        <f>=HYPERLINK("https://www.xiaohongshu.com/user/profile/5d65be4d00000000010036e9", "https://www.xiaohongshu.com/user/profile/5d65be4d00000000010036e9")</f>
        <v>https://www.xiaohongshu.com/user/profile/5d65be4d00000000010036e9</v>
      </c>
      <c r="C964" s="2" t="str">
        <f>=HYPERLINK("https://pgy.xiaohongshu.com/solar/pre-trade/blogger-detail/5d65be4d00000000010036e9", "https://pgy.xiaohongshu.com/solar/pre-trade/blogger-detail/5d65be4d00000000010036e9")</f>
        <v>https://pgy.xiaohongshu.com/solar/pre-trade/blogger-detail/5d65be4d00000000010036e9</v>
      </c>
      <c r="D964" t="inlineStr">
        <is>
          <t>男</t>
        </is>
      </c>
      <c r="E964" t="inlineStr">
        <is>
          <t>368830664</t>
        </is>
      </c>
      <c r="F964" t="inlineStr">
        <is>
          <t>林间鹿</t>
        </is>
      </c>
      <c r="G964" t="inlineStr">
        <is>
          <t>黑龙江 哈尔滨 南岗区</t>
        </is>
      </c>
      <c r="H964" t="inlineStr">
        <is>
          <t>考研过来人, 学生, 作家, 编辑</t>
        </is>
      </c>
      <c r="I964" t="inlineStr">
        <is>
          <t>兴趣爱好</t>
        </is>
      </c>
      <c r="J964">
        <v>4494</v>
      </c>
      <c r="K964" t="inlineStr">
        <is>
          <t>0.4</t>
        </is>
      </c>
      <c r="L964">
        <v>6476</v>
      </c>
      <c r="M964">
        <v>801</v>
      </c>
      <c r="N964">
        <v>127</v>
      </c>
      <c r="O964">
        <v>187</v>
      </c>
      <c r="P964">
        <v>0.2</v>
      </c>
      <c r="Q964">
        <v>0.2</v>
      </c>
      <c r="R964">
        <v>6476</v>
      </c>
      <c r="S964">
        <v>801</v>
      </c>
      <c r="T964">
        <v>117</v>
      </c>
      <c r="U964">
        <v>0.53</v>
      </c>
      <c r="V964">
        <v>187</v>
      </c>
      <c r="W964">
        <v>0.2</v>
      </c>
      <c r="X964">
        <v>0.2</v>
      </c>
      <c r="Y964">
        <v>28.88</v>
      </c>
      <c r="Z964">
        <v>1.47</v>
      </c>
      <c r="AA964">
        <v>0</v>
      </c>
      <c r="AB964">
        <v>0</v>
      </c>
      <c r="AC964">
        <v>0</v>
      </c>
      <c r="AD964">
        <v>0</v>
      </c>
      <c r="AE964">
        <v>283</v>
      </c>
      <c r="AF964">
        <v>0</v>
      </c>
      <c r="AG964">
        <v>0</v>
      </c>
      <c r="AH964">
        <v>0</v>
      </c>
      <c r="AI964">
        <v>0</v>
      </c>
      <c r="AJ964">
        <v>0</v>
      </c>
      <c r="AK964">
        <v>0</v>
      </c>
      <c r="AL964">
        <v>0</v>
      </c>
      <c r="AM964">
        <v>0</v>
      </c>
      <c r="AN964">
        <v>0</v>
      </c>
      <c r="AO964">
        <v>0</v>
      </c>
      <c r="AP964">
        <v>0.865</v>
      </c>
      <c r="AQ964">
        <v>0.05</v>
      </c>
      <c r="AR964">
        <v>0.065</v>
      </c>
      <c r="AS964" s="3">
        <v>46107.77625</v>
      </c>
    </row>
    <row r="965" ht="25.5" customHeight="1">
      <c r="A965" t="inlineStr">
        <is>
          <t>625a106b0000000010008308</t>
        </is>
      </c>
      <c r="B965" s="2" t="str">
        <f>=HYPERLINK("https://www.xiaohongshu.com/user/profile/625a106b0000000010008308", "https://www.xiaohongshu.com/user/profile/625a106b0000000010008308")</f>
        <v>https://www.xiaohongshu.com/user/profile/625a106b0000000010008308</v>
      </c>
      <c r="C965" s="2" t="str">
        <f>=HYPERLINK("https://pgy.xiaohongshu.com/solar/pre-trade/blogger-detail/625a106b0000000010008308", "https://pgy.xiaohongshu.com/solar/pre-trade/blogger-detail/625a106b0000000010008308")</f>
        <v>https://pgy.xiaohongshu.com/solar/pre-trade/blogger-detail/625a106b0000000010008308</v>
      </c>
      <c r="D965" t="inlineStr">
        <is>
          <t>男</t>
        </is>
      </c>
      <c r="E965" t="inlineStr">
        <is>
          <t>6023689241</t>
        </is>
      </c>
      <c r="F965" t="inlineStr">
        <is>
          <t>冷酷小成</t>
        </is>
      </c>
      <c r="G965" t="inlineStr">
        <is>
          <t>浙江 杭州 西湖区</t>
        </is>
      </c>
      <c r="H965" t="inlineStr">
        <is>
          <t>学生, 程序员</t>
        </is>
      </c>
      <c r="I965" t="inlineStr">
        <is>
          <t>职场, 教育</t>
        </is>
      </c>
      <c r="J965">
        <v>3270</v>
      </c>
      <c r="K965" t="inlineStr">
        <is>
          <t>0.3</t>
        </is>
      </c>
      <c r="L965">
        <v>8106</v>
      </c>
      <c r="M965">
        <v>3657</v>
      </c>
      <c r="N965">
        <v>285</v>
      </c>
      <c r="O965">
        <v>700</v>
      </c>
      <c r="P965">
        <v>0.045</v>
      </c>
      <c r="Q965">
        <v>0.636</v>
      </c>
      <c r="R965">
        <v>0</v>
      </c>
      <c r="S965">
        <v>0</v>
      </c>
      <c r="T965">
        <v>0</v>
      </c>
      <c r="U965">
        <v>0</v>
      </c>
      <c r="V965">
        <v>0</v>
      </c>
      <c r="W965">
        <v>0</v>
      </c>
      <c r="X965">
        <v>0</v>
      </c>
      <c r="Y965">
        <v>0</v>
      </c>
      <c r="Z965">
        <v>0</v>
      </c>
      <c r="AA965">
        <v>8106</v>
      </c>
      <c r="AB965">
        <v>3657</v>
      </c>
      <c r="AC965">
        <v>216</v>
      </c>
      <c r="AD965">
        <v>1.69</v>
      </c>
      <c r="AE965">
        <v>700</v>
      </c>
      <c r="AF965">
        <v>0.636</v>
      </c>
      <c r="AG965">
        <v>0.045</v>
      </c>
      <c r="AH965">
        <v>0.099</v>
      </c>
      <c r="AI965">
        <v>86.35</v>
      </c>
      <c r="AJ965">
        <v>2.45</v>
      </c>
      <c r="AK965">
        <v>0</v>
      </c>
      <c r="AL965">
        <v>0</v>
      </c>
      <c r="AM965">
        <v>0</v>
      </c>
      <c r="AN965">
        <v>0</v>
      </c>
      <c r="AO965">
        <v>0</v>
      </c>
      <c r="AP965">
        <v>0.957</v>
      </c>
      <c r="AQ965">
        <v>0.2</v>
      </c>
      <c r="AR965">
        <v>0.348</v>
      </c>
      <c r="AS965" s="3">
        <v>46107.77625</v>
      </c>
    </row>
    <row r="966" ht="25.5" customHeight="1">
      <c r="A966" t="inlineStr">
        <is>
          <t>5cdcebc8000000001603613b</t>
        </is>
      </c>
      <c r="B966" s="2" t="str">
        <f>=HYPERLINK("https://www.xiaohongshu.com/user/profile/5cdcebc8000000001603613b", "https://www.xiaohongshu.com/user/profile/5cdcebc8000000001603613b")</f>
        <v>https://www.xiaohongshu.com/user/profile/5cdcebc8000000001603613b</v>
      </c>
      <c r="C966" s="2" t="str">
        <f>=HYPERLINK("https://pgy.xiaohongshu.com/solar/pre-trade/blogger-detail/5cdcebc8000000001603613b", "https://pgy.xiaohongshu.com/solar/pre-trade/blogger-detail/5cdcebc8000000001603613b")</f>
        <v>https://pgy.xiaohongshu.com/solar/pre-trade/blogger-detail/5cdcebc8000000001603613b</v>
      </c>
      <c r="D966" t="inlineStr">
        <is>
          <t>女</t>
        </is>
      </c>
      <c r="E966" t="inlineStr">
        <is>
          <t>513927229</t>
        </is>
      </c>
      <c r="F966" t="inlineStr">
        <is>
          <t>新西兰陈</t>
        </is>
      </c>
      <c r="G966" t="inlineStr">
        <is>
          <t>新西兰</t>
        </is>
      </c>
      <c r="H966"/>
      <c r="I966" t="inlineStr">
        <is>
          <t>教育</t>
        </is>
      </c>
      <c r="J966">
        <v>3391</v>
      </c>
      <c r="K966" t="inlineStr">
        <is>
          <t>0.3</t>
        </is>
      </c>
      <c r="L966">
        <v>56189</v>
      </c>
      <c r="M966">
        <v>2829</v>
      </c>
      <c r="N966">
        <v>167</v>
      </c>
      <c r="O966">
        <v>200</v>
      </c>
      <c r="P966">
        <v>0</v>
      </c>
      <c r="Q966">
        <v>0.332999999999999</v>
      </c>
      <c r="R966">
        <v>0</v>
      </c>
      <c r="S966">
        <v>0</v>
      </c>
      <c r="T966">
        <v>0</v>
      </c>
      <c r="U966">
        <v>0</v>
      </c>
      <c r="V966">
        <v>200</v>
      </c>
      <c r="W966">
        <v>0</v>
      </c>
      <c r="X966">
        <v>0</v>
      </c>
      <c r="Y966">
        <v>0</v>
      </c>
      <c r="Z966">
        <v>0</v>
      </c>
      <c r="AA966">
        <v>56189</v>
      </c>
      <c r="AB966">
        <v>2829</v>
      </c>
      <c r="AC966">
        <v>104</v>
      </c>
      <c r="AD966">
        <v>1.61</v>
      </c>
      <c r="AE966">
        <v>300</v>
      </c>
      <c r="AF966">
        <v>0.332999999999999</v>
      </c>
      <c r="AG966">
        <v>0</v>
      </c>
      <c r="AH966">
        <v>0.155</v>
      </c>
      <c r="AI966">
        <v>5.34</v>
      </c>
      <c r="AJ966">
        <v>1.8</v>
      </c>
      <c r="AK966">
        <v>0</v>
      </c>
      <c r="AL966">
        <v>0</v>
      </c>
      <c r="AM966">
        <v>0</v>
      </c>
      <c r="AN966">
        <v>0</v>
      </c>
      <c r="AO966">
        <v>0</v>
      </c>
      <c r="AP966">
        <v>0.963</v>
      </c>
      <c r="AQ966">
        <v>0.0579999999999999</v>
      </c>
      <c r="AR966">
        <v>0.198</v>
      </c>
      <c r="AS966" s="3">
        <v>46107.77625</v>
      </c>
    </row>
    <row r="967" ht="25.5" customHeight="1">
      <c r="A967" t="inlineStr">
        <is>
          <t>5cf663b9000000001203cb47</t>
        </is>
      </c>
      <c r="B967" s="2" t="str">
        <f>=HYPERLINK("https://www.xiaohongshu.com/user/profile/5cf663b9000000001203cb47", "https://www.xiaohongshu.com/user/profile/5cf663b9000000001203cb47")</f>
        <v>https://www.xiaohongshu.com/user/profile/5cf663b9000000001203cb47</v>
      </c>
      <c r="C967" s="2" t="str">
        <f>=HYPERLINK("https://pgy.xiaohongshu.com/solar/pre-trade/blogger-detail/5cf663b9000000001203cb47", "https://pgy.xiaohongshu.com/solar/pre-trade/blogger-detail/5cf663b9000000001203cb47")</f>
        <v>https://pgy.xiaohongshu.com/solar/pre-trade/blogger-detail/5cf663b9000000001203cb47</v>
      </c>
      <c r="D967" t="inlineStr">
        <is>
          <t>女</t>
        </is>
      </c>
      <c r="E967" t="inlineStr">
        <is>
          <t>589079790</t>
        </is>
      </c>
      <c r="F967" t="inlineStr">
        <is>
          <t>许博士正经会学习</t>
        </is>
      </c>
      <c r="G967" t="inlineStr">
        <is>
          <t>辽宁 大连 甘井子区</t>
        </is>
      </c>
      <c r="H967"/>
      <c r="I967" t="inlineStr">
        <is>
          <t>教育, 生活记录</t>
        </is>
      </c>
      <c r="J967">
        <v>11049</v>
      </c>
      <c r="K967" t="inlineStr">
        <is>
          <t>1.1</t>
        </is>
      </c>
      <c r="L967">
        <v>12921</v>
      </c>
      <c r="M967">
        <v>3282</v>
      </c>
      <c r="N967">
        <v>337</v>
      </c>
      <c r="O967">
        <v>1110</v>
      </c>
      <c r="P967">
        <v>0.25</v>
      </c>
      <c r="Q967">
        <v>0.5</v>
      </c>
      <c r="R967">
        <v>3449</v>
      </c>
      <c r="S967">
        <v>279</v>
      </c>
      <c r="T967">
        <v>19</v>
      </c>
      <c r="U967">
        <v>4.27</v>
      </c>
      <c r="V967">
        <v>1110</v>
      </c>
      <c r="W967">
        <v>0</v>
      </c>
      <c r="X967">
        <v>0</v>
      </c>
      <c r="Y967">
        <v>321.79</v>
      </c>
      <c r="Z967">
        <v>58.42</v>
      </c>
      <c r="AA967">
        <v>79978</v>
      </c>
      <c r="AB967">
        <v>56009</v>
      </c>
      <c r="AC967">
        <v>1769</v>
      </c>
      <c r="AD967">
        <v>1.55</v>
      </c>
      <c r="AE967">
        <v>2775</v>
      </c>
      <c r="AF967">
        <v>1</v>
      </c>
      <c r="AG967">
        <v>0.5</v>
      </c>
      <c r="AH967">
        <v>0.100999999999999</v>
      </c>
      <c r="AI967">
        <v>34.7</v>
      </c>
      <c r="AJ967">
        <v>1.23</v>
      </c>
      <c r="AK967">
        <v>0</v>
      </c>
      <c r="AL967">
        <v>0</v>
      </c>
      <c r="AM967">
        <v>0</v>
      </c>
      <c r="AN967">
        <v>0</v>
      </c>
      <c r="AO967">
        <v>0</v>
      </c>
      <c r="AP967">
        <v>0.946</v>
      </c>
      <c r="AQ967">
        <v>0.0559999999999999</v>
      </c>
      <c r="AR967">
        <v>0.049</v>
      </c>
      <c r="AS967" s="3">
        <v>46107.77625</v>
      </c>
    </row>
    <row r="968" ht="25.5" customHeight="1">
      <c r="A968" t="inlineStr">
        <is>
          <t>5e9d7f5f000000000100a44f</t>
        </is>
      </c>
      <c r="B968" s="2" t="str">
        <f>=HYPERLINK("https://www.xiaohongshu.com/user/profile/5e9d7f5f000000000100a44f", "https://www.xiaohongshu.com/user/profile/5e9d7f5f000000000100a44f")</f>
        <v>https://www.xiaohongshu.com/user/profile/5e9d7f5f000000000100a44f</v>
      </c>
      <c r="C968" s="2" t="str">
        <f>=HYPERLINK("https://pgy.xiaohongshu.com/solar/pre-trade/blogger-detail/5e9d7f5f000000000100a44f", "https://pgy.xiaohongshu.com/solar/pre-trade/blogger-detail/5e9d7f5f000000000100a44f")</f>
        <v>https://pgy.xiaohongshu.com/solar/pre-trade/blogger-detail/5e9d7f5f000000000100a44f</v>
      </c>
      <c r="D968" t="inlineStr">
        <is>
          <t>女</t>
        </is>
      </c>
      <c r="E968" t="inlineStr">
        <is>
          <t>713462414</t>
        </is>
      </c>
      <c r="F968" t="inlineStr">
        <is>
          <t>武宝鹏</t>
        </is>
      </c>
      <c r="G968" t="inlineStr">
        <is>
          <t>四川 成都 锦江区</t>
        </is>
      </c>
      <c r="H968" t="inlineStr">
        <is>
          <t>学生</t>
        </is>
      </c>
      <c r="I968" t="inlineStr">
        <is>
          <t>时尚, 生活记录</t>
        </is>
      </c>
      <c r="J968">
        <v>2936</v>
      </c>
      <c r="K968" t="inlineStr">
        <is>
          <t>0.3</t>
        </is>
      </c>
      <c r="L968">
        <v>8497</v>
      </c>
      <c r="M968">
        <v>1045</v>
      </c>
      <c r="N968">
        <v>211</v>
      </c>
      <c r="O968">
        <v>400</v>
      </c>
      <c r="P968">
        <v>0</v>
      </c>
      <c r="Q968">
        <v>0.769</v>
      </c>
      <c r="R968">
        <v>9053</v>
      </c>
      <c r="S968">
        <v>1118</v>
      </c>
      <c r="T968">
        <v>206</v>
      </c>
      <c r="U968">
        <v>0.66</v>
      </c>
      <c r="V968">
        <v>400</v>
      </c>
      <c r="W968">
        <v>0.833</v>
      </c>
      <c r="X968">
        <v>0</v>
      </c>
      <c r="Y968">
        <v>47.01</v>
      </c>
      <c r="Z968">
        <v>1.61</v>
      </c>
      <c r="AA968">
        <v>2502</v>
      </c>
      <c r="AB968">
        <v>623</v>
      </c>
      <c r="AC968">
        <v>108</v>
      </c>
      <c r="AD968">
        <v>2.3</v>
      </c>
      <c r="AE968">
        <v>500</v>
      </c>
      <c r="AF968">
        <v>0</v>
      </c>
      <c r="AG968">
        <v>0</v>
      </c>
      <c r="AH968">
        <v>0.111</v>
      </c>
      <c r="AI968">
        <v>199.84</v>
      </c>
      <c r="AJ968">
        <v>3.82</v>
      </c>
      <c r="AK968">
        <v>0</v>
      </c>
      <c r="AL968">
        <v>0</v>
      </c>
      <c r="AM968">
        <v>0</v>
      </c>
      <c r="AN968">
        <v>0</v>
      </c>
      <c r="AO968">
        <v>0</v>
      </c>
      <c r="AP968">
        <v>0.986</v>
      </c>
      <c r="AQ968">
        <v>0.181</v>
      </c>
      <c r="AR968">
        <v>0.328999999999999</v>
      </c>
      <c r="AS968" s="3">
        <v>46107.77625</v>
      </c>
    </row>
    <row r="969" ht="25.5" customHeight="1">
      <c r="A969" t="inlineStr">
        <is>
          <t>5ffedbd000000000010083d0</t>
        </is>
      </c>
      <c r="B969" s="2" t="str">
        <f>=HYPERLINK("https://www.xiaohongshu.com/user/profile/5ffedbd000000000010083d0", "https://www.xiaohongshu.com/user/profile/5ffedbd000000000010083d0")</f>
        <v>https://www.xiaohongshu.com/user/profile/5ffedbd000000000010083d0</v>
      </c>
      <c r="C969" s="2" t="str">
        <f>=HYPERLINK("https://pgy.xiaohongshu.com/solar/pre-trade/blogger-detail/5ffedbd000000000010083d0", "https://pgy.xiaohongshu.com/solar/pre-trade/blogger-detail/5ffedbd000000000010083d0")</f>
        <v>https://pgy.xiaohongshu.com/solar/pre-trade/blogger-detail/5ffedbd000000000010083d0</v>
      </c>
      <c r="D969" t="inlineStr">
        <is>
          <t>男</t>
        </is>
      </c>
      <c r="E969" t="inlineStr">
        <is>
          <t>BeijingerBrit</t>
        </is>
      </c>
      <c r="F969" t="inlineStr">
        <is>
          <t>Ryan</t>
        </is>
      </c>
      <c r="G969" t="inlineStr">
        <is>
          <t>北京</t>
        </is>
      </c>
      <c r="H969" t="inlineStr">
        <is>
          <t>外国人</t>
        </is>
      </c>
      <c r="I969" t="inlineStr">
        <is>
          <t>教育, 生活记录</t>
        </is>
      </c>
      <c r="J969">
        <v>460246</v>
      </c>
      <c r="K969" t="inlineStr">
        <is>
          <t>46.0</t>
        </is>
      </c>
      <c r="L969">
        <v>400354</v>
      </c>
      <c r="M969">
        <v>62729</v>
      </c>
      <c r="N969">
        <v>1639</v>
      </c>
      <c r="O969">
        <v>20000</v>
      </c>
      <c r="P969">
        <v>0.571</v>
      </c>
      <c r="Q969">
        <v>1</v>
      </c>
      <c r="R969">
        <v>0</v>
      </c>
      <c r="S969">
        <v>0</v>
      </c>
      <c r="T969">
        <v>0</v>
      </c>
      <c r="U969">
        <v>0</v>
      </c>
      <c r="V969">
        <v>40000</v>
      </c>
      <c r="W969">
        <v>0</v>
      </c>
      <c r="X969">
        <v>0</v>
      </c>
      <c r="Y969">
        <v>0</v>
      </c>
      <c r="Z969">
        <v>0</v>
      </c>
      <c r="AA969">
        <v>466728</v>
      </c>
      <c r="AB969">
        <v>65987</v>
      </c>
      <c r="AC969">
        <v>1810</v>
      </c>
      <c r="AD969">
        <v>1.8</v>
      </c>
      <c r="AE969">
        <v>20000</v>
      </c>
      <c r="AF969">
        <v>1</v>
      </c>
      <c r="AG969">
        <v>0.571</v>
      </c>
      <c r="AH969">
        <v>0.11</v>
      </c>
      <c r="AI969">
        <v>42.85</v>
      </c>
      <c r="AJ969">
        <v>9.27</v>
      </c>
      <c r="AK969">
        <v>0</v>
      </c>
      <c r="AL969">
        <v>0</v>
      </c>
      <c r="AM969">
        <v>0</v>
      </c>
      <c r="AN969">
        <v>0</v>
      </c>
      <c r="AO969">
        <v>0</v>
      </c>
      <c r="AP969">
        <v>0.905</v>
      </c>
      <c r="AQ969">
        <v>0.051</v>
      </c>
      <c r="AR969">
        <v>0.092</v>
      </c>
      <c r="AS969" s="3">
        <v>46107.77625</v>
      </c>
    </row>
    <row r="970" ht="25.5" customHeight="1">
      <c r="A970" t="inlineStr">
        <is>
          <t>603635f1000000000100a4de</t>
        </is>
      </c>
      <c r="B970" s="2" t="str">
        <f>=HYPERLINK("https://www.xiaohongshu.com/user/profile/603635f1000000000100a4de", "https://www.xiaohongshu.com/user/profile/603635f1000000000100a4de")</f>
        <v>https://www.xiaohongshu.com/user/profile/603635f1000000000100a4de</v>
      </c>
      <c r="C970" s="2" t="str">
        <f>=HYPERLINK("https://pgy.xiaohongshu.com/solar/pre-trade/blogger-detail/603635f1000000000100a4de", "https://pgy.xiaohongshu.com/solar/pre-trade/blogger-detail/603635f1000000000100a4de")</f>
        <v>https://pgy.xiaohongshu.com/solar/pre-trade/blogger-detail/603635f1000000000100a4de</v>
      </c>
      <c r="D970" t="inlineStr">
        <is>
          <t>女</t>
        </is>
      </c>
      <c r="E970" t="inlineStr">
        <is>
          <t>2639900053</t>
        </is>
      </c>
      <c r="F970" t="inlineStr">
        <is>
          <t>椰子冲冲冲！</t>
        </is>
      </c>
      <c r="G970" t="inlineStr">
        <is>
          <t>广东 广州 黄埔区</t>
        </is>
      </c>
      <c r="H970" t="inlineStr">
        <is>
          <t>学生</t>
        </is>
      </c>
      <c r="I970" t="inlineStr">
        <is>
          <t>教育</t>
        </is>
      </c>
      <c r="J970">
        <v>2278</v>
      </c>
      <c r="K970" t="inlineStr">
        <is>
          <t>0.2</t>
        </is>
      </c>
      <c r="L970">
        <v>8131</v>
      </c>
      <c r="M970">
        <v>2431</v>
      </c>
      <c r="N970">
        <v>548</v>
      </c>
      <c r="O970">
        <v>100</v>
      </c>
      <c r="P970">
        <v>0.2</v>
      </c>
      <c r="Q970">
        <v>0.8</v>
      </c>
      <c r="R970">
        <v>11558</v>
      </c>
      <c r="S970">
        <v>2757</v>
      </c>
      <c r="T970">
        <v>527</v>
      </c>
      <c r="U970">
        <v>0.34</v>
      </c>
      <c r="V970">
        <v>100</v>
      </c>
      <c r="W970">
        <v>1</v>
      </c>
      <c r="X970">
        <v>0</v>
      </c>
      <c r="Y970">
        <v>8.65</v>
      </c>
      <c r="Z970">
        <v>0.17</v>
      </c>
      <c r="AA970">
        <v>7527</v>
      </c>
      <c r="AB970">
        <v>2348</v>
      </c>
      <c r="AC970">
        <v>344</v>
      </c>
      <c r="AD970">
        <v>1.55</v>
      </c>
      <c r="AE970">
        <v>120</v>
      </c>
      <c r="AF970">
        <v>0.75</v>
      </c>
      <c r="AG970">
        <v>0.25</v>
      </c>
      <c r="AH970">
        <v>0.017</v>
      </c>
      <c r="AI970">
        <v>17.33</v>
      </c>
      <c r="AJ970">
        <v>0.56</v>
      </c>
      <c r="AK970">
        <v>1000</v>
      </c>
      <c r="AL970">
        <v>308</v>
      </c>
      <c r="AM970">
        <v>38</v>
      </c>
      <c r="AN970">
        <v>0</v>
      </c>
      <c r="AO970">
        <v>0</v>
      </c>
      <c r="AP970">
        <v>0.968</v>
      </c>
      <c r="AQ970">
        <v>0.484</v>
      </c>
      <c r="AR970">
        <v>0</v>
      </c>
      <c r="AS970" s="3">
        <v>46107.77625</v>
      </c>
    </row>
    <row r="971" ht="25.5" customHeight="1">
      <c r="A971" t="inlineStr">
        <is>
          <t>59842b0c82ec39418c18487a</t>
        </is>
      </c>
      <c r="B971" s="2" t="str">
        <f>=HYPERLINK("https://www.xiaohongshu.com/user/profile/59842b0c82ec39418c18487a", "https://www.xiaohongshu.com/user/profile/59842b0c82ec39418c18487a")</f>
        <v>https://www.xiaohongshu.com/user/profile/59842b0c82ec39418c18487a</v>
      </c>
      <c r="C971" s="2" t="str">
        <f>=HYPERLINK("https://pgy.xiaohongshu.com/solar/pre-trade/blogger-detail/59842b0c82ec39418c18487a", "https://pgy.xiaohongshu.com/solar/pre-trade/blogger-detail/59842b0c82ec39418c18487a")</f>
        <v>https://pgy.xiaohongshu.com/solar/pre-trade/blogger-detail/59842b0c82ec39418c18487a</v>
      </c>
      <c r="D971" t="inlineStr">
        <is>
          <t>女</t>
        </is>
      </c>
      <c r="E971" t="inlineStr">
        <is>
          <t>954236280</t>
        </is>
      </c>
      <c r="F971" t="inlineStr">
        <is>
          <t>思琦爱做饭在美国</t>
        </is>
      </c>
      <c r="G971" t="inlineStr">
        <is>
          <t>美国</t>
        </is>
      </c>
      <c r="H971" t="inlineStr">
        <is>
          <t>6-12岁, 妈妈, 海外华人</t>
        </is>
      </c>
      <c r="I971" t="inlineStr">
        <is>
          <t>美食</t>
        </is>
      </c>
      <c r="J971">
        <v>82187</v>
      </c>
      <c r="K971" t="inlineStr">
        <is>
          <t>8.2</t>
        </is>
      </c>
      <c r="L971">
        <v>30975</v>
      </c>
      <c r="M971">
        <v>6375</v>
      </c>
      <c r="N971">
        <v>254</v>
      </c>
      <c r="O971">
        <v>5500</v>
      </c>
      <c r="P971">
        <v>0.067</v>
      </c>
      <c r="Q971">
        <v>0.667</v>
      </c>
      <c r="R971">
        <v>0</v>
      </c>
      <c r="S971">
        <v>0</v>
      </c>
      <c r="T971">
        <v>0</v>
      </c>
      <c r="U971">
        <v>0</v>
      </c>
      <c r="V971">
        <v>5500</v>
      </c>
      <c r="W971">
        <v>0</v>
      </c>
      <c r="X971">
        <v>0</v>
      </c>
      <c r="Y971">
        <v>0</v>
      </c>
      <c r="Z971">
        <v>0</v>
      </c>
      <c r="AA971">
        <v>30975</v>
      </c>
      <c r="AB971">
        <v>6375</v>
      </c>
      <c r="AC971">
        <v>229</v>
      </c>
      <c r="AD971">
        <v>2.57</v>
      </c>
      <c r="AE971">
        <v>6800</v>
      </c>
      <c r="AF971">
        <v>0.667</v>
      </c>
      <c r="AG971">
        <v>0.067</v>
      </c>
      <c r="AH971">
        <v>0.092</v>
      </c>
      <c r="AI971">
        <v>219.53</v>
      </c>
      <c r="AJ971">
        <v>26.77</v>
      </c>
      <c r="AK971">
        <v>0</v>
      </c>
      <c r="AL971">
        <v>0</v>
      </c>
      <c r="AM971">
        <v>0</v>
      </c>
      <c r="AN971">
        <v>0</v>
      </c>
      <c r="AO971">
        <v>0</v>
      </c>
      <c r="AP971">
        <v>0.86</v>
      </c>
      <c r="AQ971">
        <v>0.048</v>
      </c>
      <c r="AR971">
        <v>0.034</v>
      </c>
      <c r="AS971" s="3">
        <v>46107.77625</v>
      </c>
    </row>
    <row r="972" ht="25.5" customHeight="1">
      <c r="A972" t="inlineStr">
        <is>
          <t>5b51652d4eacab6ba8ce041a</t>
        </is>
      </c>
      <c r="B972" s="2" t="str">
        <f>=HYPERLINK("https://www.xiaohongshu.com/user/profile/5b51652d4eacab6ba8ce041a", "https://www.xiaohongshu.com/user/profile/5b51652d4eacab6ba8ce041a")</f>
        <v>https://www.xiaohongshu.com/user/profile/5b51652d4eacab6ba8ce041a</v>
      </c>
      <c r="C972" s="2" t="str">
        <f>=HYPERLINK("https://pgy.xiaohongshu.com/solar/pre-trade/blogger-detail/5b51652d4eacab6ba8ce041a", "https://pgy.xiaohongshu.com/solar/pre-trade/blogger-detail/5b51652d4eacab6ba8ce041a")</f>
        <v>https://pgy.xiaohongshu.com/solar/pre-trade/blogger-detail/5b51652d4eacab6ba8ce041a</v>
      </c>
      <c r="D972" t="inlineStr">
        <is>
          <t>女</t>
        </is>
      </c>
      <c r="E972" t="inlineStr">
        <is>
          <t>yanga_a</t>
        </is>
      </c>
      <c r="F972" t="inlineStr">
        <is>
          <t>-十七-</t>
        </is>
      </c>
      <c r="G972" t="inlineStr">
        <is>
          <t>安徽 合肥 包河区</t>
        </is>
      </c>
      <c r="H972"/>
      <c r="I972" t="inlineStr">
        <is>
          <t>教育</t>
        </is>
      </c>
      <c r="J972">
        <v>4776</v>
      </c>
      <c r="K972" t="inlineStr">
        <is>
          <t>0.5</t>
        </is>
      </c>
      <c r="L972">
        <v>9700</v>
      </c>
      <c r="M972">
        <v>2072</v>
      </c>
      <c r="N972">
        <v>158</v>
      </c>
      <c r="O972">
        <v>220</v>
      </c>
      <c r="P972">
        <v>0</v>
      </c>
      <c r="Q972">
        <v>0</v>
      </c>
      <c r="R972">
        <v>9700</v>
      </c>
      <c r="S972">
        <v>2072</v>
      </c>
      <c r="T972">
        <v>98</v>
      </c>
      <c r="U972">
        <v>0.41</v>
      </c>
      <c r="V972">
        <v>220</v>
      </c>
      <c r="W972">
        <v>0</v>
      </c>
      <c r="X972">
        <v>0</v>
      </c>
      <c r="Y972">
        <v>22.68</v>
      </c>
      <c r="Z972">
        <v>1.39</v>
      </c>
      <c r="AA972">
        <v>0</v>
      </c>
      <c r="AB972">
        <v>0</v>
      </c>
      <c r="AC972">
        <v>0</v>
      </c>
      <c r="AD972">
        <v>0</v>
      </c>
      <c r="AE972">
        <v>346</v>
      </c>
      <c r="AF972">
        <v>0</v>
      </c>
      <c r="AG972">
        <v>0</v>
      </c>
      <c r="AH972">
        <v>0</v>
      </c>
      <c r="AI972">
        <v>0</v>
      </c>
      <c r="AJ972">
        <v>0</v>
      </c>
      <c r="AK972">
        <v>0</v>
      </c>
      <c r="AL972">
        <v>0</v>
      </c>
      <c r="AM972">
        <v>0</v>
      </c>
      <c r="AN972">
        <v>0</v>
      </c>
      <c r="AO972">
        <v>0</v>
      </c>
      <c r="AP972">
        <v>0.818</v>
      </c>
      <c r="AQ972">
        <v>0.025</v>
      </c>
      <c r="AR972">
        <v>0.035</v>
      </c>
      <c r="AS972" s="3">
        <v>46107.77625</v>
      </c>
    </row>
    <row r="973" ht="25.5" customHeight="1">
      <c r="A973" t="inlineStr">
        <is>
          <t>62aec504000000001b02b547</t>
        </is>
      </c>
      <c r="B973" s="2" t="str">
        <f>=HYPERLINK("https://www.xiaohongshu.com/user/profile/62aec504000000001b02b547", "https://www.xiaohongshu.com/user/profile/62aec504000000001b02b547")</f>
        <v>https://www.xiaohongshu.com/user/profile/62aec504000000001b02b547</v>
      </c>
      <c r="C973" s="2" t="str">
        <f>=HYPERLINK("https://pgy.xiaohongshu.com/solar/pre-trade/blogger-detail/62aec504000000001b02b547", "https://pgy.xiaohongshu.com/solar/pre-trade/blogger-detail/62aec504000000001b02b547")</f>
        <v>https://pgy.xiaohongshu.com/solar/pre-trade/blogger-detail/62aec504000000001b02b547</v>
      </c>
      <c r="D973" t="inlineStr">
        <is>
          <t>女</t>
        </is>
      </c>
      <c r="E973" t="inlineStr">
        <is>
          <t>Eggiu007</t>
        </is>
      </c>
      <c r="F973" t="inlineStr">
        <is>
          <t>iu（26考研版）</t>
        </is>
      </c>
      <c r="G973" t="inlineStr">
        <is>
          <t>江苏 南京 浦口区</t>
        </is>
      </c>
      <c r="H973" t="inlineStr">
        <is>
          <t>学生</t>
        </is>
      </c>
      <c r="I973" t="inlineStr">
        <is>
          <t>教育</t>
        </is>
      </c>
      <c r="J973">
        <v>3895</v>
      </c>
      <c r="K973" t="inlineStr">
        <is>
          <t>0.4</t>
        </is>
      </c>
      <c r="L973">
        <v>22394</v>
      </c>
      <c r="M973">
        <v>8701</v>
      </c>
      <c r="N973">
        <v>310</v>
      </c>
      <c r="O973">
        <v>180</v>
      </c>
      <c r="P973">
        <v>0.332999999999999</v>
      </c>
      <c r="Q973">
        <v>0.667</v>
      </c>
      <c r="R973">
        <v>22394</v>
      </c>
      <c r="S973">
        <v>8701</v>
      </c>
      <c r="T973">
        <v>243</v>
      </c>
      <c r="U973">
        <v>0.32</v>
      </c>
      <c r="V973">
        <v>180</v>
      </c>
      <c r="W973">
        <v>0.667</v>
      </c>
      <c r="X973">
        <v>0.332999999999999</v>
      </c>
      <c r="Y973">
        <v>8.04</v>
      </c>
      <c r="Z973">
        <v>0.58</v>
      </c>
      <c r="AA973">
        <v>0</v>
      </c>
      <c r="AB973">
        <v>0</v>
      </c>
      <c r="AC973">
        <v>0</v>
      </c>
      <c r="AD973">
        <v>0</v>
      </c>
      <c r="AE973">
        <v>200</v>
      </c>
      <c r="AF973">
        <v>0</v>
      </c>
      <c r="AG973">
        <v>0</v>
      </c>
      <c r="AH973">
        <v>0</v>
      </c>
      <c r="AI973">
        <v>0</v>
      </c>
      <c r="AJ973">
        <v>0</v>
      </c>
      <c r="AK973">
        <v>0</v>
      </c>
      <c r="AL973">
        <v>0</v>
      </c>
      <c r="AM973">
        <v>0</v>
      </c>
      <c r="AN973">
        <v>0</v>
      </c>
      <c r="AO973">
        <v>0</v>
      </c>
      <c r="AP973">
        <v>0.805999999999999</v>
      </c>
      <c r="AQ973">
        <v>0.083</v>
      </c>
      <c r="AR973">
        <v>0.037</v>
      </c>
      <c r="AS973" s="3">
        <v>46107.77625</v>
      </c>
    </row>
    <row r="974" ht="25.5" customHeight="1">
      <c r="A974" t="inlineStr">
        <is>
          <t>6689f853000000000d027cdf</t>
        </is>
      </c>
      <c r="B974" s="2" t="str">
        <f>=HYPERLINK("https://www.xiaohongshu.com/user/profile/6689f853000000000d027cdf", "https://www.xiaohongshu.com/user/profile/6689f853000000000d027cdf")</f>
        <v>https://www.xiaohongshu.com/user/profile/6689f853000000000d027cdf</v>
      </c>
      <c r="C974" s="2" t="str">
        <f>=HYPERLINK("https://pgy.xiaohongshu.com/solar/pre-trade/blogger-detail/6689f853000000000d027cdf", "https://pgy.xiaohongshu.com/solar/pre-trade/blogger-detail/6689f853000000000d027cdf")</f>
        <v>https://pgy.xiaohongshu.com/solar/pre-trade/blogger-detail/6689f853000000000d027cdf</v>
      </c>
      <c r="D974" t="inlineStr">
        <is>
          <t>男</t>
        </is>
      </c>
      <c r="E974" t="inlineStr">
        <is>
          <t>11434130754</t>
        </is>
      </c>
      <c r="F974" t="inlineStr">
        <is>
          <t>Aemon英语</t>
        </is>
      </c>
      <c r="G974" t="inlineStr">
        <is>
          <t>浙江 嘉兴 桐乡市</t>
        </is>
      </c>
      <c r="H974"/>
      <c r="I974" t="inlineStr">
        <is>
          <t>教育</t>
        </is>
      </c>
      <c r="J974">
        <v>20120</v>
      </c>
      <c r="K974" t="inlineStr">
        <is>
          <t>2.0</t>
        </is>
      </c>
      <c r="L974">
        <v>7181</v>
      </c>
      <c r="M974">
        <v>1008</v>
      </c>
      <c r="N974">
        <v>133</v>
      </c>
      <c r="O974">
        <v>250</v>
      </c>
      <c r="P974">
        <v>0</v>
      </c>
      <c r="Q974">
        <v>0.332999999999999</v>
      </c>
      <c r="R974">
        <v>0</v>
      </c>
      <c r="S974">
        <v>0</v>
      </c>
      <c r="T974">
        <v>0</v>
      </c>
      <c r="U974">
        <v>0</v>
      </c>
      <c r="V974">
        <v>250</v>
      </c>
      <c r="W974">
        <v>0</v>
      </c>
      <c r="X974">
        <v>0</v>
      </c>
      <c r="Y974">
        <v>0</v>
      </c>
      <c r="Z974">
        <v>0</v>
      </c>
      <c r="AA974">
        <v>7181</v>
      </c>
      <c r="AB974">
        <v>1008</v>
      </c>
      <c r="AC974">
        <v>105</v>
      </c>
      <c r="AD974">
        <v>2.49</v>
      </c>
      <c r="AE974">
        <v>1000</v>
      </c>
      <c r="AF974">
        <v>0.332999999999999</v>
      </c>
      <c r="AG974">
        <v>0</v>
      </c>
      <c r="AH974">
        <v>0.0279999999999999</v>
      </c>
      <c r="AI974">
        <v>139.26</v>
      </c>
      <c r="AJ974">
        <v>7.49</v>
      </c>
      <c r="AK974">
        <v>0</v>
      </c>
      <c r="AL974">
        <v>0</v>
      </c>
      <c r="AM974">
        <v>0</v>
      </c>
      <c r="AN974">
        <v>0</v>
      </c>
      <c r="AO974">
        <v>0</v>
      </c>
      <c r="AP974">
        <v>0.900999999999999</v>
      </c>
      <c r="AQ974">
        <v>0.02</v>
      </c>
      <c r="AR974">
        <v>0.02</v>
      </c>
      <c r="AS974" s="3">
        <v>46107.77625</v>
      </c>
    </row>
    <row r="975" ht="25.5" customHeight="1">
      <c r="A975" t="inlineStr">
        <is>
          <t>6700986f000000001d032018</t>
        </is>
      </c>
      <c r="B975" s="2" t="str">
        <f>=HYPERLINK("https://www.xiaohongshu.com/user/profile/6700986f000000001d032018", "https://www.xiaohongshu.com/user/profile/6700986f000000001d032018")</f>
        <v>https://www.xiaohongshu.com/user/profile/6700986f000000001d032018</v>
      </c>
      <c r="C975" s="2" t="str">
        <f>=HYPERLINK("https://pgy.xiaohongshu.com/solar/pre-trade/blogger-detail/6700986f000000001d032018", "https://pgy.xiaohongshu.com/solar/pre-trade/blogger-detail/6700986f000000001d032018")</f>
        <v>https://pgy.xiaohongshu.com/solar/pre-trade/blogger-detail/6700986f000000001d032018</v>
      </c>
      <c r="D975" t="inlineStr">
        <is>
          <t>女</t>
        </is>
      </c>
      <c r="E975" t="inlineStr">
        <is>
          <t>11527310784</t>
        </is>
      </c>
      <c r="F975" t="inlineStr">
        <is>
          <t>Ganzokay(被实验逼疯版)</t>
        </is>
      </c>
      <c r="G975" t="inlineStr">
        <is>
          <t>德国</t>
        </is>
      </c>
      <c r="H975" t="inlineStr">
        <is>
          <t>学生, 留学背景, 海外华人</t>
        </is>
      </c>
      <c r="I975" t="inlineStr">
        <is>
          <t>教育, 生活记录</t>
        </is>
      </c>
      <c r="J975">
        <v>3036</v>
      </c>
      <c r="K975" t="inlineStr">
        <is>
          <t>0.3</t>
        </is>
      </c>
      <c r="L975">
        <v>16631</v>
      </c>
      <c r="M975">
        <v>7985</v>
      </c>
      <c r="N975">
        <v>470</v>
      </c>
      <c r="O975">
        <v>200</v>
      </c>
      <c r="P975">
        <v>0.1</v>
      </c>
      <c r="Q975">
        <v>0.6</v>
      </c>
      <c r="R975">
        <v>0</v>
      </c>
      <c r="S975">
        <v>0</v>
      </c>
      <c r="T975">
        <v>0</v>
      </c>
      <c r="U975">
        <v>0</v>
      </c>
      <c r="V975">
        <v>200</v>
      </c>
      <c r="W975">
        <v>0</v>
      </c>
      <c r="X975">
        <v>0</v>
      </c>
      <c r="Y975">
        <v>0</v>
      </c>
      <c r="Z975">
        <v>0</v>
      </c>
      <c r="AA975">
        <v>16631</v>
      </c>
      <c r="AB975">
        <v>7985</v>
      </c>
      <c r="AC975">
        <v>339</v>
      </c>
      <c r="AD975">
        <v>1.54</v>
      </c>
      <c r="AE975">
        <v>300</v>
      </c>
      <c r="AF975">
        <v>0.6</v>
      </c>
      <c r="AG975">
        <v>0.1</v>
      </c>
      <c r="AH975">
        <v>0.412</v>
      </c>
      <c r="AI975">
        <v>18.04</v>
      </c>
      <c r="AJ975">
        <v>0.64</v>
      </c>
      <c r="AK975">
        <v>0</v>
      </c>
      <c r="AL975">
        <v>0</v>
      </c>
      <c r="AM975">
        <v>0</v>
      </c>
      <c r="AN975">
        <v>0</v>
      </c>
      <c r="AO975">
        <v>0</v>
      </c>
      <c r="AP975">
        <v>0.981</v>
      </c>
      <c r="AQ975">
        <v>0.104</v>
      </c>
      <c r="AR975">
        <v>0</v>
      </c>
      <c r="AS975" s="3">
        <v>46107.77625</v>
      </c>
    </row>
    <row r="976" ht="25.5" customHeight="1">
      <c r="A976" t="inlineStr">
        <is>
          <t>6245948a000000001000fde8</t>
        </is>
      </c>
      <c r="B976" s="2" t="str">
        <f>=HYPERLINK("https://www.xiaohongshu.com/user/profile/6245948a000000001000fde8", "https://www.xiaohongshu.com/user/profile/6245948a000000001000fde8")</f>
        <v>https://www.xiaohongshu.com/user/profile/6245948a000000001000fde8</v>
      </c>
      <c r="C976" s="2" t="str">
        <f>=HYPERLINK("https://pgy.xiaohongshu.com/solar/pre-trade/blogger-detail/6245948a000000001000fde8", "https://pgy.xiaohongshu.com/solar/pre-trade/blogger-detail/6245948a000000001000fde8")</f>
        <v>https://pgy.xiaohongshu.com/solar/pre-trade/blogger-detail/6245948a000000001000fde8</v>
      </c>
      <c r="D976" t="inlineStr">
        <is>
          <t>男</t>
        </is>
      </c>
      <c r="E976" t="inlineStr">
        <is>
          <t>vx13149183278</t>
        </is>
      </c>
      <c r="F976" t="inlineStr">
        <is>
          <t>无敌大耳兽</t>
        </is>
      </c>
      <c r="G976" t="inlineStr">
        <is>
          <t>北京</t>
        </is>
      </c>
      <c r="H976" t="inlineStr">
        <is>
          <t>考研过来人, 学生</t>
        </is>
      </c>
      <c r="I976" t="inlineStr">
        <is>
          <t>教育</t>
        </is>
      </c>
      <c r="J976">
        <v>5572</v>
      </c>
      <c r="K976" t="inlineStr">
        <is>
          <t>0.6</t>
        </is>
      </c>
      <c r="L976">
        <v>42490</v>
      </c>
      <c r="M976">
        <v>8155</v>
      </c>
      <c r="N976">
        <v>203</v>
      </c>
      <c r="O976">
        <v>600</v>
      </c>
      <c r="P976">
        <v>0</v>
      </c>
      <c r="Q976">
        <v>1</v>
      </c>
      <c r="R976">
        <v>42490</v>
      </c>
      <c r="S976">
        <v>8155</v>
      </c>
      <c r="T976">
        <v>198</v>
      </c>
      <c r="U976">
        <v>0.37</v>
      </c>
      <c r="V976">
        <v>600</v>
      </c>
      <c r="W976">
        <v>1</v>
      </c>
      <c r="X976">
        <v>0</v>
      </c>
      <c r="Y976">
        <v>14.12</v>
      </c>
      <c r="Z976">
        <v>2.96</v>
      </c>
      <c r="AA976">
        <v>0</v>
      </c>
      <c r="AB976">
        <v>0</v>
      </c>
      <c r="AC976">
        <v>0</v>
      </c>
      <c r="AD976">
        <v>0</v>
      </c>
      <c r="AE976">
        <v>800</v>
      </c>
      <c r="AF976">
        <v>0</v>
      </c>
      <c r="AG976">
        <v>0</v>
      </c>
      <c r="AH976">
        <v>0</v>
      </c>
      <c r="AI976">
        <v>0</v>
      </c>
      <c r="AJ976">
        <v>0</v>
      </c>
      <c r="AK976">
        <v>0</v>
      </c>
      <c r="AL976">
        <v>0</v>
      </c>
      <c r="AM976">
        <v>0</v>
      </c>
      <c r="AN976">
        <v>0</v>
      </c>
      <c r="AO976">
        <v>0</v>
      </c>
      <c r="AP976">
        <v>0.819</v>
      </c>
      <c r="AQ976">
        <v>0.009</v>
      </c>
      <c r="AR976">
        <v>-0.001</v>
      </c>
      <c r="AS976" s="3">
        <v>46107.77625</v>
      </c>
    </row>
    <row r="977" ht="25.5" customHeight="1">
      <c r="A977" t="inlineStr">
        <is>
          <t>68382ee6000000001e03c2f6</t>
        </is>
      </c>
      <c r="B977" s="2" t="str">
        <f>=HYPERLINK("https://www.xiaohongshu.com/user/profile/68382ee6000000001e03c2f6", "https://www.xiaohongshu.com/user/profile/68382ee6000000001e03c2f6")</f>
        <v>https://www.xiaohongshu.com/user/profile/68382ee6000000001e03c2f6</v>
      </c>
      <c r="C977" s="2" t="str">
        <f>=HYPERLINK("https://pgy.xiaohongshu.com/solar/pre-trade/blogger-detail/68382ee6000000001e03c2f6", "https://pgy.xiaohongshu.com/solar/pre-trade/blogger-detail/68382ee6000000001e03c2f6")</f>
        <v>https://pgy.xiaohongshu.com/solar/pre-trade/blogger-detail/68382ee6000000001e03c2f6</v>
      </c>
      <c r="D977" t="inlineStr">
        <is>
          <t>女</t>
        </is>
      </c>
      <c r="E977" t="inlineStr">
        <is>
          <t>26115966011</t>
        </is>
      </c>
      <c r="F977" t="inlineStr">
        <is>
          <t>小才有大用吖</t>
        </is>
      </c>
      <c r="G977" t="inlineStr">
        <is>
          <t>北京</t>
        </is>
      </c>
      <c r="H977"/>
      <c r="I977" t="inlineStr">
        <is>
          <t>教育</t>
        </is>
      </c>
      <c r="J977">
        <v>3788</v>
      </c>
      <c r="K977" t="inlineStr">
        <is>
          <t>0.4</t>
        </is>
      </c>
      <c r="L977">
        <v>5683</v>
      </c>
      <c r="M977">
        <v>2069</v>
      </c>
      <c r="N977">
        <v>317</v>
      </c>
      <c r="O977">
        <v>169</v>
      </c>
      <c r="P977">
        <v>0.063</v>
      </c>
      <c r="Q977">
        <v>0.563</v>
      </c>
      <c r="R977">
        <v>6135</v>
      </c>
      <c r="S977">
        <v>1370</v>
      </c>
      <c r="T977">
        <v>160</v>
      </c>
      <c r="U977">
        <v>0.42</v>
      </c>
      <c r="V977">
        <v>169</v>
      </c>
      <c r="W977">
        <v>0.5</v>
      </c>
      <c r="X977">
        <v>0</v>
      </c>
      <c r="Y977">
        <v>27.55</v>
      </c>
      <c r="Z977">
        <v>0.97</v>
      </c>
      <c r="AA977">
        <v>5683</v>
      </c>
      <c r="AB977">
        <v>2069</v>
      </c>
      <c r="AC977">
        <v>270</v>
      </c>
      <c r="AD977">
        <v>1.63</v>
      </c>
      <c r="AE977">
        <v>261</v>
      </c>
      <c r="AF977">
        <v>0.571</v>
      </c>
      <c r="AG977">
        <v>0.071</v>
      </c>
      <c r="AH977">
        <v>0.008</v>
      </c>
      <c r="AI977">
        <v>45.92</v>
      </c>
      <c r="AJ977">
        <v>0.78</v>
      </c>
      <c r="AK977">
        <v>0</v>
      </c>
      <c r="AL977">
        <v>0</v>
      </c>
      <c r="AM977">
        <v>0</v>
      </c>
      <c r="AN977">
        <v>0</v>
      </c>
      <c r="AO977">
        <v>0</v>
      </c>
      <c r="AP977">
        <v>0.973</v>
      </c>
      <c r="AQ977">
        <v>0.358</v>
      </c>
      <c r="AR977">
        <v>0.701</v>
      </c>
      <c r="AS977" s="3">
        <v>46107.77625</v>
      </c>
    </row>
    <row r="978" ht="25.5" customHeight="1">
      <c r="A978" t="inlineStr">
        <is>
          <t>5e218b7a000000000100adbf</t>
        </is>
      </c>
      <c r="B978" s="2" t="str">
        <f>=HYPERLINK("https://www.xiaohongshu.com/user/profile/5e218b7a000000000100adbf", "https://www.xiaohongshu.com/user/profile/5e218b7a000000000100adbf")</f>
        <v>https://www.xiaohongshu.com/user/profile/5e218b7a000000000100adbf</v>
      </c>
      <c r="C978" s="2" t="str">
        <f>=HYPERLINK("https://pgy.xiaohongshu.com/solar/pre-trade/blogger-detail/5e218b7a000000000100adbf", "https://pgy.xiaohongshu.com/solar/pre-trade/blogger-detail/5e218b7a000000000100adbf")</f>
        <v>https://pgy.xiaohongshu.com/solar/pre-trade/blogger-detail/5e218b7a000000000100adbf</v>
      </c>
      <c r="D978" t="inlineStr">
        <is>
          <t>男</t>
        </is>
      </c>
      <c r="E978" t="inlineStr">
        <is>
          <t>758736749</t>
        </is>
      </c>
      <c r="F978" t="inlineStr">
        <is>
          <t>imverny</t>
        </is>
      </c>
      <c r="G978" t="inlineStr">
        <is>
          <t>中国 香港</t>
        </is>
      </c>
      <c r="H978" t="inlineStr">
        <is>
          <t>留学背景, 学生</t>
        </is>
      </c>
      <c r="I978" t="inlineStr">
        <is>
          <t>教育, 时尚</t>
        </is>
      </c>
      <c r="J978">
        <v>3251</v>
      </c>
      <c r="K978" t="inlineStr">
        <is>
          <t>0.3</t>
        </is>
      </c>
      <c r="L978">
        <v>16109</v>
      </c>
      <c r="M978">
        <v>3132</v>
      </c>
      <c r="N978">
        <v>241</v>
      </c>
      <c r="O978">
        <v>180</v>
      </c>
      <c r="P978">
        <v>0</v>
      </c>
      <c r="Q978">
        <v>0.857</v>
      </c>
      <c r="R978">
        <v>10892</v>
      </c>
      <c r="S978">
        <v>2171</v>
      </c>
      <c r="T978">
        <v>64</v>
      </c>
      <c r="U978">
        <v>0.38</v>
      </c>
      <c r="V978">
        <v>180</v>
      </c>
      <c r="W978">
        <v>0</v>
      </c>
      <c r="X978">
        <v>0</v>
      </c>
      <c r="Y978">
        <v>16.53</v>
      </c>
      <c r="Z978">
        <v>2.05</v>
      </c>
      <c r="AA978">
        <v>16763</v>
      </c>
      <c r="AB978">
        <v>3269</v>
      </c>
      <c r="AC978">
        <v>244</v>
      </c>
      <c r="AD978">
        <v>1.62</v>
      </c>
      <c r="AE978">
        <v>400</v>
      </c>
      <c r="AF978">
        <v>1</v>
      </c>
      <c r="AG978">
        <v>0</v>
      </c>
      <c r="AH978">
        <v>0.091</v>
      </c>
      <c r="AI978">
        <v>23.86</v>
      </c>
      <c r="AJ978">
        <v>1.25</v>
      </c>
      <c r="AK978">
        <v>0</v>
      </c>
      <c r="AL978">
        <v>0</v>
      </c>
      <c r="AM978">
        <v>0</v>
      </c>
      <c r="AN978">
        <v>0</v>
      </c>
      <c r="AO978">
        <v>0</v>
      </c>
      <c r="AP978">
        <v>0.975</v>
      </c>
      <c r="AQ978">
        <v>0.183</v>
      </c>
      <c r="AR978">
        <v>0</v>
      </c>
      <c r="AS978" s="3">
        <v>46107.77625</v>
      </c>
    </row>
    <row r="979" ht="25.5" customHeight="1">
      <c r="A979" t="inlineStr">
        <is>
          <t>5e487762000000000100b607</t>
        </is>
      </c>
      <c r="B979" s="2" t="str">
        <f>=HYPERLINK("https://www.xiaohongshu.com/user/profile/5e487762000000000100b607", "https://www.xiaohongshu.com/user/profile/5e487762000000000100b607")</f>
        <v>https://www.xiaohongshu.com/user/profile/5e487762000000000100b607</v>
      </c>
      <c r="C979" s="2" t="str">
        <f>=HYPERLINK("https://pgy.xiaohongshu.com/solar/pre-trade/blogger-detail/5e487762000000000100b607", "https://pgy.xiaohongshu.com/solar/pre-trade/blogger-detail/5e487762000000000100b607")</f>
        <v>https://pgy.xiaohongshu.com/solar/pre-trade/blogger-detail/5e487762000000000100b607</v>
      </c>
      <c r="D979" t="inlineStr">
        <is>
          <t>男</t>
        </is>
      </c>
      <c r="E979" t="inlineStr">
        <is>
          <t>448291053</t>
        </is>
      </c>
      <c r="F979" t="inlineStr">
        <is>
          <t>同传路路</t>
        </is>
      </c>
      <c r="G979" t="inlineStr">
        <is>
          <t>云南 昆明 官渡区</t>
        </is>
      </c>
      <c r="H979"/>
      <c r="I979" t="inlineStr">
        <is>
          <t>职场, 教育</t>
        </is>
      </c>
      <c r="J979">
        <v>6056</v>
      </c>
      <c r="K979" t="inlineStr">
        <is>
          <t>0.6</t>
        </is>
      </c>
      <c r="L979">
        <v>6584</v>
      </c>
      <c r="M979">
        <v>1178</v>
      </c>
      <c r="N979">
        <v>251</v>
      </c>
      <c r="O979">
        <v>498</v>
      </c>
      <c r="P979">
        <v>0</v>
      </c>
      <c r="Q979">
        <v>0.444</v>
      </c>
      <c r="R979">
        <v>6584</v>
      </c>
      <c r="S979">
        <v>1178</v>
      </c>
      <c r="T979">
        <v>175</v>
      </c>
      <c r="U979">
        <v>0.72</v>
      </c>
      <c r="V979">
        <v>498</v>
      </c>
      <c r="W979">
        <v>0.444</v>
      </c>
      <c r="X979">
        <v>0</v>
      </c>
      <c r="Y979">
        <v>75.64</v>
      </c>
      <c r="Z979">
        <v>1.98</v>
      </c>
      <c r="AA979">
        <v>0</v>
      </c>
      <c r="AB979">
        <v>0</v>
      </c>
      <c r="AC979">
        <v>0</v>
      </c>
      <c r="AD979">
        <v>0</v>
      </c>
      <c r="AE979">
        <v>698</v>
      </c>
      <c r="AF979">
        <v>0</v>
      </c>
      <c r="AG979">
        <v>0</v>
      </c>
      <c r="AH979">
        <v>0</v>
      </c>
      <c r="AI979">
        <v>0</v>
      </c>
      <c r="AJ979">
        <v>0</v>
      </c>
      <c r="AK979">
        <v>0</v>
      </c>
      <c r="AL979">
        <v>0</v>
      </c>
      <c r="AM979">
        <v>0</v>
      </c>
      <c r="AN979">
        <v>0</v>
      </c>
      <c r="AO979">
        <v>0</v>
      </c>
      <c r="AP979">
        <v>0.813</v>
      </c>
      <c r="AQ979">
        <v>0.052</v>
      </c>
      <c r="AR979">
        <v>0.073</v>
      </c>
      <c r="AS979" s="3">
        <v>46107.77625</v>
      </c>
    </row>
    <row r="980" ht="25.5" customHeight="1">
      <c r="A980" t="inlineStr">
        <is>
          <t>567a9a4003eb841bdc7dee23</t>
        </is>
      </c>
      <c r="B980" s="2" t="str">
        <f>=HYPERLINK("https://www.xiaohongshu.com/user/profile/567a9a4003eb841bdc7dee23", "https://www.xiaohongshu.com/user/profile/567a9a4003eb841bdc7dee23")</f>
        <v>https://www.xiaohongshu.com/user/profile/567a9a4003eb841bdc7dee23</v>
      </c>
      <c r="C980" s="2" t="str">
        <f>=HYPERLINK("https://pgy.xiaohongshu.com/solar/pre-trade/blogger-detail/567a9a4003eb841bdc7dee23", "https://pgy.xiaohongshu.com/solar/pre-trade/blogger-detail/567a9a4003eb841bdc7dee23")</f>
        <v>https://pgy.xiaohongshu.com/solar/pre-trade/blogger-detail/567a9a4003eb841bdc7dee23</v>
      </c>
      <c r="D980" t="inlineStr">
        <is>
          <t>女</t>
        </is>
      </c>
      <c r="E980" t="inlineStr">
        <is>
          <t>560059234</t>
        </is>
      </c>
      <c r="F980" t="inlineStr">
        <is>
          <t>尤利娅YOULIYA</t>
        </is>
      </c>
      <c r="G980" t="inlineStr">
        <is>
          <t>四川 成都 双流区</t>
        </is>
      </c>
      <c r="H980"/>
      <c r="I980" t="inlineStr">
        <is>
          <t>教育</t>
        </is>
      </c>
      <c r="J980">
        <v>6115</v>
      </c>
      <c r="K980" t="inlineStr">
        <is>
          <t>0.6</t>
        </is>
      </c>
      <c r="L980">
        <v>4938</v>
      </c>
      <c r="M980">
        <v>1947</v>
      </c>
      <c r="N980">
        <v>141</v>
      </c>
      <c r="O980">
        <v>350</v>
      </c>
      <c r="P980">
        <v>0</v>
      </c>
      <c r="Q980">
        <v>0</v>
      </c>
      <c r="R980">
        <v>0</v>
      </c>
      <c r="S980">
        <v>0</v>
      </c>
      <c r="T980">
        <v>0</v>
      </c>
      <c r="U980">
        <v>0</v>
      </c>
      <c r="V980">
        <v>350</v>
      </c>
      <c r="W980">
        <v>0</v>
      </c>
      <c r="X980">
        <v>0</v>
      </c>
      <c r="Y980">
        <v>0</v>
      </c>
      <c r="Z980">
        <v>0</v>
      </c>
      <c r="AA980">
        <v>4938</v>
      </c>
      <c r="AB980">
        <v>1947</v>
      </c>
      <c r="AC980">
        <v>104</v>
      </c>
      <c r="AD980">
        <v>1.89</v>
      </c>
      <c r="AE980">
        <v>750</v>
      </c>
      <c r="AF980">
        <v>0</v>
      </c>
      <c r="AG980">
        <v>0</v>
      </c>
      <c r="AH980">
        <v>0.116999999999999</v>
      </c>
      <c r="AI980">
        <v>151.88</v>
      </c>
      <c r="AJ980">
        <v>5.32</v>
      </c>
      <c r="AK980">
        <v>0</v>
      </c>
      <c r="AL980">
        <v>0</v>
      </c>
      <c r="AM980">
        <v>0</v>
      </c>
      <c r="AN980">
        <v>0</v>
      </c>
      <c r="AO980">
        <v>0</v>
      </c>
      <c r="AP980">
        <v>0.785</v>
      </c>
      <c r="AQ980">
        <v>0.013</v>
      </c>
      <c r="AR980">
        <v>0.008</v>
      </c>
      <c r="AS980" s="3">
        <v>46107.77625</v>
      </c>
    </row>
    <row r="981" ht="25.5" customHeight="1">
      <c r="A981" t="inlineStr">
        <is>
          <t>65e3decb0000000005009ea9</t>
        </is>
      </c>
      <c r="B981" s="2" t="str">
        <f>=HYPERLINK("https://www.xiaohongshu.com/user/profile/65e3decb0000000005009ea9", "https://www.xiaohongshu.com/user/profile/65e3decb0000000005009ea9")</f>
        <v>https://www.xiaohongshu.com/user/profile/65e3decb0000000005009ea9</v>
      </c>
      <c r="C981" s="2" t="str">
        <f>=HYPERLINK("https://pgy.xiaohongshu.com/solar/pre-trade/blogger-detail/65e3decb0000000005009ea9", "https://pgy.xiaohongshu.com/solar/pre-trade/blogger-detail/65e3decb0000000005009ea9")</f>
        <v>https://pgy.xiaohongshu.com/solar/pre-trade/blogger-detail/65e3decb0000000005009ea9</v>
      </c>
      <c r="D981" t="inlineStr">
        <is>
          <t>男</t>
        </is>
      </c>
      <c r="E981" t="inlineStr">
        <is>
          <t>gagyeong_desu</t>
        </is>
      </c>
      <c r="F981" t="inlineStr">
        <is>
          <t>gyeong_</t>
        </is>
      </c>
      <c r="G981" t="inlineStr">
        <is>
          <t>韩国</t>
        </is>
      </c>
      <c r="H981" t="inlineStr">
        <is>
          <t>留学背景, 学生</t>
        </is>
      </c>
      <c r="I981" t="inlineStr">
        <is>
          <t>教育, 生活记录</t>
        </is>
      </c>
      <c r="J981">
        <v>16762</v>
      </c>
      <c r="K981" t="inlineStr">
        <is>
          <t>1.7</t>
        </is>
      </c>
      <c r="L981">
        <v>94776</v>
      </c>
      <c r="M981">
        <v>21661</v>
      </c>
      <c r="N981">
        <v>3296</v>
      </c>
      <c r="O981">
        <v>2500</v>
      </c>
      <c r="P981">
        <v>0.75</v>
      </c>
      <c r="Q981">
        <v>1</v>
      </c>
      <c r="R981">
        <v>0</v>
      </c>
      <c r="S981">
        <v>0</v>
      </c>
      <c r="T981">
        <v>0</v>
      </c>
      <c r="U981">
        <v>0</v>
      </c>
      <c r="V981">
        <v>0</v>
      </c>
      <c r="W981">
        <v>0</v>
      </c>
      <c r="X981">
        <v>0</v>
      </c>
      <c r="Y981">
        <v>0</v>
      </c>
      <c r="Z981">
        <v>0</v>
      </c>
      <c r="AA981">
        <v>94776</v>
      </c>
      <c r="AB981">
        <v>21661</v>
      </c>
      <c r="AC981">
        <v>2942</v>
      </c>
      <c r="AD981">
        <v>1.62</v>
      </c>
      <c r="AE981">
        <v>2500</v>
      </c>
      <c r="AF981">
        <v>1</v>
      </c>
      <c r="AG981">
        <v>0.75</v>
      </c>
      <c r="AH981">
        <v>0.089</v>
      </c>
      <c r="AI981">
        <v>26.38</v>
      </c>
      <c r="AJ981">
        <v>0.76</v>
      </c>
      <c r="AK981">
        <v>0</v>
      </c>
      <c r="AL981">
        <v>0</v>
      </c>
      <c r="AM981">
        <v>0</v>
      </c>
      <c r="AN981">
        <v>0</v>
      </c>
      <c r="AO981">
        <v>0</v>
      </c>
      <c r="AP981">
        <v>0.878</v>
      </c>
      <c r="AQ981">
        <v>0.135</v>
      </c>
      <c r="AR981">
        <v>0.089</v>
      </c>
      <c r="AS981" s="3">
        <v>46107.77643518519</v>
      </c>
    </row>
    <row r="982" ht="25.5" customHeight="1">
      <c r="A982" t="inlineStr">
        <is>
          <t>6534ac7f000000000301c817</t>
        </is>
      </c>
      <c r="B982" s="2" t="str">
        <f>=HYPERLINK("https://www.xiaohongshu.com/user/profile/6534ac7f000000000301c817", "https://www.xiaohongshu.com/user/profile/6534ac7f000000000301c817")</f>
        <v>https://www.xiaohongshu.com/user/profile/6534ac7f000000000301c817</v>
      </c>
      <c r="C982" s="2" t="str">
        <f>=HYPERLINK("https://pgy.xiaohongshu.com/solar/pre-trade/blogger-detail/6534ac7f000000000301c817", "https://pgy.xiaohongshu.com/solar/pre-trade/blogger-detail/6534ac7f000000000301c817")</f>
        <v>https://pgy.xiaohongshu.com/solar/pre-trade/blogger-detail/6534ac7f000000000301c817</v>
      </c>
      <c r="D982" t="inlineStr">
        <is>
          <t>男</t>
        </is>
      </c>
      <c r="E982" t="inlineStr">
        <is>
          <t>mfy19545631803</t>
        </is>
      </c>
      <c r="F982" t="inlineStr">
        <is>
          <t>一布二布Chelsea（求关注）</t>
        </is>
      </c>
      <c r="G982" t="inlineStr">
        <is>
          <t>河南 郑州 中原区</t>
        </is>
      </c>
      <c r="H982" t="inlineStr">
        <is>
          <t>二次元人群, 学生</t>
        </is>
      </c>
      <c r="I982" t="inlineStr">
        <is>
          <t>影视综资讯, 素材</t>
        </is>
      </c>
      <c r="J982">
        <v>2113</v>
      </c>
      <c r="K982" t="inlineStr">
        <is>
          <t>0.2</t>
        </is>
      </c>
      <c r="L982">
        <v>11179</v>
      </c>
      <c r="M982">
        <v>2074</v>
      </c>
      <c r="N982">
        <v>207</v>
      </c>
      <c r="O982">
        <v>131</v>
      </c>
      <c r="P982">
        <v>0.111</v>
      </c>
      <c r="Q982">
        <v>0.556</v>
      </c>
      <c r="R982">
        <v>11179</v>
      </c>
      <c r="S982">
        <v>2074</v>
      </c>
      <c r="T982">
        <v>142</v>
      </c>
      <c r="U982">
        <v>0.39</v>
      </c>
      <c r="V982">
        <v>131</v>
      </c>
      <c r="W982">
        <v>0.556</v>
      </c>
      <c r="X982">
        <v>0.111</v>
      </c>
      <c r="Y982">
        <v>14.65</v>
      </c>
      <c r="Z982">
        <v>0.82</v>
      </c>
      <c r="AA982">
        <v>0</v>
      </c>
      <c r="AB982">
        <v>0</v>
      </c>
      <c r="AC982">
        <v>0</v>
      </c>
      <c r="AD982">
        <v>0</v>
      </c>
      <c r="AE982">
        <v>200</v>
      </c>
      <c r="AF982">
        <v>0</v>
      </c>
      <c r="AG982">
        <v>0</v>
      </c>
      <c r="AH982">
        <v>0</v>
      </c>
      <c r="AI982">
        <v>0</v>
      </c>
      <c r="AJ982">
        <v>0</v>
      </c>
      <c r="AK982">
        <v>2685</v>
      </c>
      <c r="AL982">
        <v>256</v>
      </c>
      <c r="AM982">
        <v>39</v>
      </c>
      <c r="AN982">
        <v>0</v>
      </c>
      <c r="AO982">
        <v>0</v>
      </c>
      <c r="AP982">
        <v>0.879</v>
      </c>
      <c r="AQ982">
        <v>0.072</v>
      </c>
      <c r="AR982">
        <v>0</v>
      </c>
      <c r="AS982" s="3">
        <v>46107.77643518519</v>
      </c>
    </row>
    <row r="983" ht="25.5" customHeight="1">
      <c r="A983" t="inlineStr">
        <is>
          <t>5d58bc65000000000101a646</t>
        </is>
      </c>
      <c r="B983" s="2" t="str">
        <f>=HYPERLINK("https://www.xiaohongshu.com/user/profile/5d58bc65000000000101a646", "https://www.xiaohongshu.com/user/profile/5d58bc65000000000101a646")</f>
        <v>https://www.xiaohongshu.com/user/profile/5d58bc65000000000101a646</v>
      </c>
      <c r="C983" s="2" t="str">
        <f>=HYPERLINK("https://pgy.xiaohongshu.com/solar/pre-trade/blogger-detail/5d58bc65000000000101a646", "https://pgy.xiaohongshu.com/solar/pre-trade/blogger-detail/5d58bc65000000000101a646")</f>
        <v>https://pgy.xiaohongshu.com/solar/pre-trade/blogger-detail/5d58bc65000000000101a646</v>
      </c>
      <c r="D983" t="inlineStr">
        <is>
          <t>女</t>
        </is>
      </c>
      <c r="E983" t="inlineStr">
        <is>
          <t>Princess_ann07</t>
        </is>
      </c>
      <c r="F983" t="inlineStr">
        <is>
          <t>Ann.jc.s</t>
        </is>
      </c>
      <c r="G983" t="inlineStr">
        <is>
          <t>浙江 宁波 江北区</t>
        </is>
      </c>
      <c r="H983" t="inlineStr">
        <is>
          <t>留学背景, 学生</t>
        </is>
      </c>
      <c r="I983" t="inlineStr">
        <is>
          <t>教育</t>
        </is>
      </c>
      <c r="J983">
        <v>1093</v>
      </c>
      <c r="K983" t="inlineStr">
        <is>
          <t>0.1</t>
        </is>
      </c>
      <c r="L983">
        <v>7189</v>
      </c>
      <c r="M983">
        <v>1581</v>
      </c>
      <c r="N983">
        <v>141</v>
      </c>
      <c r="O983">
        <v>139</v>
      </c>
      <c r="P983">
        <v>0</v>
      </c>
      <c r="Q983">
        <v>0.332999999999999</v>
      </c>
      <c r="R983">
        <v>7189</v>
      </c>
      <c r="S983">
        <v>1581</v>
      </c>
      <c r="T983">
        <v>111</v>
      </c>
      <c r="U983">
        <v>0.38</v>
      </c>
      <c r="V983">
        <v>139</v>
      </c>
      <c r="W983">
        <v>0.332999999999999</v>
      </c>
      <c r="X983">
        <v>0</v>
      </c>
      <c r="Y983">
        <v>13.35</v>
      </c>
      <c r="Z983">
        <v>1</v>
      </c>
      <c r="AA983">
        <v>0</v>
      </c>
      <c r="AB983">
        <v>0</v>
      </c>
      <c r="AC983">
        <v>0</v>
      </c>
      <c r="AD983">
        <v>0</v>
      </c>
      <c r="AE983">
        <v>189</v>
      </c>
      <c r="AF983">
        <v>0</v>
      </c>
      <c r="AG983">
        <v>0</v>
      </c>
      <c r="AH983">
        <v>0</v>
      </c>
      <c r="AI983">
        <v>0</v>
      </c>
      <c r="AJ983">
        <v>0</v>
      </c>
      <c r="AK983">
        <v>13716</v>
      </c>
      <c r="AL983">
        <v>1853</v>
      </c>
      <c r="AM983">
        <v>113</v>
      </c>
      <c r="AN983">
        <v>0</v>
      </c>
      <c r="AO983">
        <v>0</v>
      </c>
      <c r="AP983">
        <v>0.802</v>
      </c>
      <c r="AQ983">
        <v>0.113</v>
      </c>
      <c r="AR983">
        <v>0</v>
      </c>
      <c r="AS983" s="3">
        <v>46107.77643518519</v>
      </c>
    </row>
    <row r="984" ht="25.5" customHeight="1">
      <c r="A984" t="inlineStr">
        <is>
          <t>63e09c4b000000002601363b</t>
        </is>
      </c>
      <c r="B984" s="2" t="str">
        <f>=HYPERLINK("https://www.xiaohongshu.com/user/profile/63e09c4b000000002601363b", "https://www.xiaohongshu.com/user/profile/63e09c4b000000002601363b")</f>
        <v>https://www.xiaohongshu.com/user/profile/63e09c4b000000002601363b</v>
      </c>
      <c r="C984" s="2" t="str">
        <f>=HYPERLINK("https://pgy.xiaohongshu.com/solar/pre-trade/blogger-detail/63e09c4b000000002601363b", "https://pgy.xiaohongshu.com/solar/pre-trade/blogger-detail/63e09c4b000000002601363b")</f>
        <v>https://pgy.xiaohongshu.com/solar/pre-trade/blogger-detail/63e09c4b000000002601363b</v>
      </c>
      <c r="D984" t="inlineStr">
        <is>
          <t>男</t>
        </is>
      </c>
      <c r="E984" t="inlineStr">
        <is>
          <t>5019342619</t>
        </is>
      </c>
      <c r="F984" t="inlineStr">
        <is>
          <t>日语单词百科</t>
        </is>
      </c>
      <c r="G984" t="inlineStr">
        <is>
          <t>上海</t>
        </is>
      </c>
      <c r="H984"/>
      <c r="I984" t="inlineStr">
        <is>
          <t>教育</t>
        </is>
      </c>
      <c r="J984">
        <v>21462</v>
      </c>
      <c r="K984" t="inlineStr">
        <is>
          <t>2.1</t>
        </is>
      </c>
      <c r="L984">
        <v>10627</v>
      </c>
      <c r="M984">
        <v>1562</v>
      </c>
      <c r="N984">
        <v>107</v>
      </c>
      <c r="O984">
        <v>300</v>
      </c>
      <c r="P984">
        <v>0</v>
      </c>
      <c r="Q984">
        <v>0.259</v>
      </c>
      <c r="R984">
        <v>10627</v>
      </c>
      <c r="S984">
        <v>1562</v>
      </c>
      <c r="T984">
        <v>101</v>
      </c>
      <c r="U984">
        <v>0.49</v>
      </c>
      <c r="V984">
        <v>300</v>
      </c>
      <c r="W984">
        <v>0.259</v>
      </c>
      <c r="X984">
        <v>0</v>
      </c>
      <c r="Y984">
        <v>28.23</v>
      </c>
      <c r="Z984">
        <v>2.8</v>
      </c>
      <c r="AA984">
        <v>0</v>
      </c>
      <c r="AB984">
        <v>0</v>
      </c>
      <c r="AC984">
        <v>0</v>
      </c>
      <c r="AD984">
        <v>0</v>
      </c>
      <c r="AE984">
        <v>1000</v>
      </c>
      <c r="AF984">
        <v>0</v>
      </c>
      <c r="AG984">
        <v>0</v>
      </c>
      <c r="AH984">
        <v>0</v>
      </c>
      <c r="AI984">
        <v>0</v>
      </c>
      <c r="AJ984">
        <v>0</v>
      </c>
      <c r="AK984">
        <v>0</v>
      </c>
      <c r="AL984">
        <v>0</v>
      </c>
      <c r="AM984">
        <v>0</v>
      </c>
      <c r="AN984">
        <v>0</v>
      </c>
      <c r="AO984">
        <v>0</v>
      </c>
      <c r="AP984">
        <v>0.858</v>
      </c>
      <c r="AQ984">
        <v>0.026</v>
      </c>
      <c r="AR984">
        <v>0.017</v>
      </c>
      <c r="AS984" s="3">
        <v>46107.77643518519</v>
      </c>
    </row>
    <row r="985" ht="25.5" customHeight="1">
      <c r="A985" t="inlineStr">
        <is>
          <t>5ee43eb80000000001006727</t>
        </is>
      </c>
      <c r="B985" s="2" t="str">
        <f>=HYPERLINK("https://www.xiaohongshu.com/user/profile/5ee43eb80000000001006727", "https://www.xiaohongshu.com/user/profile/5ee43eb80000000001006727")</f>
        <v>https://www.xiaohongshu.com/user/profile/5ee43eb80000000001006727</v>
      </c>
      <c r="C985" s="2" t="str">
        <f>=HYPERLINK("https://pgy.xiaohongshu.com/solar/pre-trade/blogger-detail/5ee43eb80000000001006727", "https://pgy.xiaohongshu.com/solar/pre-trade/blogger-detail/5ee43eb80000000001006727")</f>
        <v>https://pgy.xiaohongshu.com/solar/pre-trade/blogger-detail/5ee43eb80000000001006727</v>
      </c>
      <c r="D985" t="inlineStr">
        <is>
          <t>女</t>
        </is>
      </c>
      <c r="E985" t="inlineStr">
        <is>
          <t>191229461</t>
        </is>
      </c>
      <c r="F985" t="inlineStr">
        <is>
          <t>小楼学英音</t>
        </is>
      </c>
      <c r="G985" t="inlineStr">
        <is>
          <t>广东 深圳 龙华区</t>
        </is>
      </c>
      <c r="H985"/>
      <c r="I985" t="inlineStr">
        <is>
          <t>影视综资讯, 教育</t>
        </is>
      </c>
      <c r="J985">
        <v>3794</v>
      </c>
      <c r="K985" t="inlineStr">
        <is>
          <t>0.4</t>
        </is>
      </c>
      <c r="L985">
        <v>6260</v>
      </c>
      <c r="M985">
        <v>933</v>
      </c>
      <c r="N985">
        <v>150</v>
      </c>
      <c r="O985">
        <v>200</v>
      </c>
      <c r="P985">
        <v>0</v>
      </c>
      <c r="Q985">
        <v>0.5</v>
      </c>
      <c r="R985">
        <v>0</v>
      </c>
      <c r="S985">
        <v>0</v>
      </c>
      <c r="T985">
        <v>0</v>
      </c>
      <c r="U985">
        <v>0</v>
      </c>
      <c r="V985">
        <v>200</v>
      </c>
      <c r="W985">
        <v>0</v>
      </c>
      <c r="X985">
        <v>0</v>
      </c>
      <c r="Y985">
        <v>0</v>
      </c>
      <c r="Z985">
        <v>0</v>
      </c>
      <c r="AA985">
        <v>6260</v>
      </c>
      <c r="AB985">
        <v>933</v>
      </c>
      <c r="AC985">
        <v>127</v>
      </c>
      <c r="AD985">
        <v>1.82</v>
      </c>
      <c r="AE985">
        <v>300</v>
      </c>
      <c r="AF985">
        <v>0.5</v>
      </c>
      <c r="AG985">
        <v>0</v>
      </c>
      <c r="AH985">
        <v>0.017</v>
      </c>
      <c r="AI985">
        <v>47.92</v>
      </c>
      <c r="AJ985">
        <v>2</v>
      </c>
      <c r="AK985">
        <v>0</v>
      </c>
      <c r="AL985">
        <v>0</v>
      </c>
      <c r="AM985">
        <v>0</v>
      </c>
      <c r="AN985">
        <v>0</v>
      </c>
      <c r="AO985">
        <v>0</v>
      </c>
      <c r="AP985">
        <v>0.912</v>
      </c>
      <c r="AQ985">
        <v>0.033</v>
      </c>
      <c r="AR985">
        <v>0.032</v>
      </c>
      <c r="AS985" s="3">
        <v>46107.77643518519</v>
      </c>
    </row>
    <row r="986" ht="25.5" customHeight="1">
      <c r="A986" t="inlineStr">
        <is>
          <t>601a2a2b0000000001001d9f</t>
        </is>
      </c>
      <c r="B986" s="2" t="str">
        <f>=HYPERLINK("https://www.xiaohongshu.com/user/profile/601a2a2b0000000001001d9f", "https://www.xiaohongshu.com/user/profile/601a2a2b0000000001001d9f")</f>
        <v>https://www.xiaohongshu.com/user/profile/601a2a2b0000000001001d9f</v>
      </c>
      <c r="C986" s="2" t="str">
        <f>=HYPERLINK("https://pgy.xiaohongshu.com/solar/pre-trade/blogger-detail/601a2a2b0000000001001d9f", "https://pgy.xiaohongshu.com/solar/pre-trade/blogger-detail/601a2a2b0000000001001d9f")</f>
        <v>https://pgy.xiaohongshu.com/solar/pre-trade/blogger-detail/601a2a2b0000000001001d9f</v>
      </c>
      <c r="D986" t="inlineStr">
        <is>
          <t>女</t>
        </is>
      </c>
      <c r="E986" t="inlineStr">
        <is>
          <t>9492660429</t>
        </is>
      </c>
      <c r="F986" t="inlineStr">
        <is>
          <t>YZO</t>
        </is>
      </c>
      <c r="G986" t="inlineStr">
        <is>
          <t>北京</t>
        </is>
      </c>
      <c r="H986" t="inlineStr">
        <is>
          <t>学生, 家庭</t>
        </is>
      </c>
      <c r="I986" t="inlineStr">
        <is>
          <t>教育, 生活记录, 搞笑</t>
        </is>
      </c>
      <c r="J986">
        <v>1393</v>
      </c>
      <c r="K986" t="inlineStr">
        <is>
          <t>0.1</t>
        </is>
      </c>
      <c r="L986">
        <v>1203</v>
      </c>
      <c r="M986">
        <v>1092</v>
      </c>
      <c r="N986">
        <v>305</v>
      </c>
      <c r="O986">
        <v>160</v>
      </c>
      <c r="P986">
        <v>0</v>
      </c>
      <c r="Q986">
        <v>0.545</v>
      </c>
      <c r="R986">
        <v>0</v>
      </c>
      <c r="S986">
        <v>0</v>
      </c>
      <c r="T986">
        <v>0</v>
      </c>
      <c r="U986">
        <v>0</v>
      </c>
      <c r="V986">
        <v>160</v>
      </c>
      <c r="W986">
        <v>0</v>
      </c>
      <c r="X986">
        <v>0</v>
      </c>
      <c r="Y986">
        <v>0</v>
      </c>
      <c r="Z986">
        <v>0</v>
      </c>
      <c r="AA986">
        <v>1203</v>
      </c>
      <c r="AB986">
        <v>1092</v>
      </c>
      <c r="AC986">
        <v>229</v>
      </c>
      <c r="AD986">
        <v>1.83</v>
      </c>
      <c r="AE986">
        <v>360</v>
      </c>
      <c r="AF986">
        <v>0.545</v>
      </c>
      <c r="AG986">
        <v>0</v>
      </c>
      <c r="AH986">
        <v>0.298</v>
      </c>
      <c r="AI986">
        <v>299.25</v>
      </c>
      <c r="AJ986">
        <v>1.18</v>
      </c>
      <c r="AK986">
        <v>0</v>
      </c>
      <c r="AL986">
        <v>0</v>
      </c>
      <c r="AM986">
        <v>0</v>
      </c>
      <c r="AN986">
        <v>0</v>
      </c>
      <c r="AO986">
        <v>0</v>
      </c>
      <c r="AP986">
        <v>0.979</v>
      </c>
      <c r="AQ986">
        <v>0.382</v>
      </c>
      <c r="AR986">
        <v>0</v>
      </c>
      <c r="AS986" s="3">
        <v>46107.77643518519</v>
      </c>
    </row>
    <row r="987" ht="25.5" customHeight="1">
      <c r="A987" t="inlineStr">
        <is>
          <t>6471d31b000000001f005524</t>
        </is>
      </c>
      <c r="B987" s="2" t="str">
        <f>=HYPERLINK("https://www.xiaohongshu.com/user/profile/6471d31b000000001f005524", "https://www.xiaohongshu.com/user/profile/6471d31b000000001f005524")</f>
        <v>https://www.xiaohongshu.com/user/profile/6471d31b000000001f005524</v>
      </c>
      <c r="C987" s="2" t="str">
        <f>=HYPERLINK("https://pgy.xiaohongshu.com/solar/pre-trade/blogger-detail/6471d31b000000001f005524", "https://pgy.xiaohongshu.com/solar/pre-trade/blogger-detail/6471d31b000000001f005524")</f>
        <v>https://pgy.xiaohongshu.com/solar/pre-trade/blogger-detail/6471d31b000000001f005524</v>
      </c>
      <c r="D987" t="inlineStr">
        <is>
          <t>女</t>
        </is>
      </c>
      <c r="E987" t="inlineStr">
        <is>
          <t>mue0212</t>
        </is>
      </c>
      <c r="F987" t="inlineStr">
        <is>
          <t>Mue</t>
        </is>
      </c>
      <c r="G987" t="inlineStr">
        <is>
          <t>北京</t>
        </is>
      </c>
      <c r="H987" t="inlineStr">
        <is>
          <t>学生</t>
        </is>
      </c>
      <c r="I987" t="inlineStr">
        <is>
          <t>教育</t>
        </is>
      </c>
      <c r="J987">
        <v>3012</v>
      </c>
      <c r="K987" t="inlineStr">
        <is>
          <t>0.3</t>
        </is>
      </c>
      <c r="L987">
        <v>6134</v>
      </c>
      <c r="M987">
        <v>1245</v>
      </c>
      <c r="N987">
        <v>144</v>
      </c>
      <c r="O987">
        <v>230</v>
      </c>
      <c r="P987">
        <v>0</v>
      </c>
      <c r="Q987">
        <v>0.5</v>
      </c>
      <c r="R987">
        <v>6134</v>
      </c>
      <c r="S987">
        <v>1245</v>
      </c>
      <c r="T987">
        <v>112</v>
      </c>
      <c r="U987">
        <v>0.48</v>
      </c>
      <c r="V987">
        <v>230</v>
      </c>
      <c r="W987">
        <v>0.5</v>
      </c>
      <c r="X987">
        <v>0</v>
      </c>
      <c r="Y987">
        <v>37.49</v>
      </c>
      <c r="Z987">
        <v>1.6</v>
      </c>
      <c r="AA987">
        <v>0</v>
      </c>
      <c r="AB987">
        <v>0</v>
      </c>
      <c r="AC987">
        <v>0</v>
      </c>
      <c r="AD987">
        <v>0</v>
      </c>
      <c r="AE987">
        <v>300</v>
      </c>
      <c r="AF987">
        <v>0</v>
      </c>
      <c r="AG987">
        <v>0</v>
      </c>
      <c r="AH987">
        <v>0</v>
      </c>
      <c r="AI987">
        <v>0</v>
      </c>
      <c r="AJ987">
        <v>0</v>
      </c>
      <c r="AK987">
        <v>0</v>
      </c>
      <c r="AL987">
        <v>0</v>
      </c>
      <c r="AM987">
        <v>0</v>
      </c>
      <c r="AN987">
        <v>0</v>
      </c>
      <c r="AO987">
        <v>0</v>
      </c>
      <c r="AP987">
        <v>0.890999999999999</v>
      </c>
      <c r="AQ987">
        <v>0.042</v>
      </c>
      <c r="AR987">
        <v>0.03</v>
      </c>
      <c r="AS987" s="3">
        <v>46107.77643518519</v>
      </c>
    </row>
    <row r="988" ht="25.5" customHeight="1">
      <c r="A988" t="inlineStr">
        <is>
          <t>65332ee5000000002b001bd5</t>
        </is>
      </c>
      <c r="B988" s="2" t="str">
        <f>=HYPERLINK("https://www.xiaohongshu.com/user/profile/65332ee5000000002b001bd5", "https://www.xiaohongshu.com/user/profile/65332ee5000000002b001bd5")</f>
        <v>https://www.xiaohongshu.com/user/profile/65332ee5000000002b001bd5</v>
      </c>
      <c r="C988" s="2" t="str">
        <f>=HYPERLINK("https://pgy.xiaohongshu.com/solar/pre-trade/blogger-detail/65332ee5000000002b001bd5", "https://pgy.xiaohongshu.com/solar/pre-trade/blogger-detail/65332ee5000000002b001bd5")</f>
        <v>https://pgy.xiaohongshu.com/solar/pre-trade/blogger-detail/65332ee5000000002b001bd5</v>
      </c>
      <c r="D988" t="inlineStr">
        <is>
          <t>女</t>
        </is>
      </c>
      <c r="E988" t="inlineStr">
        <is>
          <t>4559619436</t>
        </is>
      </c>
      <c r="F988" t="inlineStr">
        <is>
          <t>蕾蕾学姐</t>
        </is>
      </c>
      <c r="G988" t="inlineStr">
        <is>
          <t>河北 唐山 路北区</t>
        </is>
      </c>
      <c r="H988"/>
      <c r="I988" t="inlineStr">
        <is>
          <t>教育</t>
        </is>
      </c>
      <c r="J988">
        <v>27095</v>
      </c>
      <c r="K988" t="inlineStr">
        <is>
          <t>2.7</t>
        </is>
      </c>
      <c r="L988">
        <v>10892</v>
      </c>
      <c r="M988">
        <v>1129</v>
      </c>
      <c r="N988">
        <v>128</v>
      </c>
      <c r="O988">
        <v>250</v>
      </c>
      <c r="P988">
        <v>0</v>
      </c>
      <c r="Q988">
        <v>0</v>
      </c>
      <c r="R988">
        <v>10892</v>
      </c>
      <c r="S988">
        <v>1129</v>
      </c>
      <c r="T988">
        <v>60</v>
      </c>
      <c r="U988">
        <v>0.52</v>
      </c>
      <c r="V988">
        <v>250</v>
      </c>
      <c r="W988">
        <v>0</v>
      </c>
      <c r="X988">
        <v>0</v>
      </c>
      <c r="Y988">
        <v>22.95</v>
      </c>
      <c r="Z988">
        <v>1.95</v>
      </c>
      <c r="AA988">
        <v>0</v>
      </c>
      <c r="AB988">
        <v>0</v>
      </c>
      <c r="AC988">
        <v>0</v>
      </c>
      <c r="AD988">
        <v>0</v>
      </c>
      <c r="AE988">
        <v>0</v>
      </c>
      <c r="AF988">
        <v>0</v>
      </c>
      <c r="AG988">
        <v>0</v>
      </c>
      <c r="AH988">
        <v>0</v>
      </c>
      <c r="AI988">
        <v>0</v>
      </c>
      <c r="AJ988">
        <v>0</v>
      </c>
      <c r="AK988">
        <v>0</v>
      </c>
      <c r="AL988">
        <v>0</v>
      </c>
      <c r="AM988">
        <v>0</v>
      </c>
      <c r="AN988">
        <v>0</v>
      </c>
      <c r="AO988">
        <v>0</v>
      </c>
      <c r="AP988">
        <v>0.848</v>
      </c>
      <c r="AQ988">
        <v>0.013</v>
      </c>
      <c r="AR988">
        <v>0.031</v>
      </c>
      <c r="AS988" s="3">
        <v>46107.77643518519</v>
      </c>
    </row>
    <row r="989" ht="25.5" customHeight="1">
      <c r="A989" t="inlineStr">
        <is>
          <t>64873cd40000000011000887</t>
        </is>
      </c>
      <c r="B989" s="2" t="str">
        <f>=HYPERLINK("https://www.xiaohongshu.com/user/profile/64873cd40000000011000887", "https://www.xiaohongshu.com/user/profile/64873cd40000000011000887")</f>
        <v>https://www.xiaohongshu.com/user/profile/64873cd40000000011000887</v>
      </c>
      <c r="C989" s="2" t="str">
        <f>=HYPERLINK("https://pgy.xiaohongshu.com/solar/pre-trade/blogger-detail/64873cd40000000011000887", "https://pgy.xiaohongshu.com/solar/pre-trade/blogger-detail/64873cd40000000011000887")</f>
        <v>https://pgy.xiaohongshu.com/solar/pre-trade/blogger-detail/64873cd40000000011000887</v>
      </c>
      <c r="D989" t="inlineStr">
        <is>
          <t>女</t>
        </is>
      </c>
      <c r="E989" t="inlineStr">
        <is>
          <t>2203849335</t>
        </is>
      </c>
      <c r="F989" t="inlineStr">
        <is>
          <t>吃11口</t>
        </is>
      </c>
      <c r="G989" t="inlineStr">
        <is>
          <t>北京</t>
        </is>
      </c>
      <c r="H989" t="inlineStr">
        <is>
          <t>学生</t>
        </is>
      </c>
      <c r="I989" t="inlineStr">
        <is>
          <t>生活记录</t>
        </is>
      </c>
      <c r="J989">
        <v>5165</v>
      </c>
      <c r="K989" t="inlineStr">
        <is>
          <t>0.5</t>
        </is>
      </c>
      <c r="L989">
        <v>8824</v>
      </c>
      <c r="M989">
        <v>1622</v>
      </c>
      <c r="N989">
        <v>105</v>
      </c>
      <c r="O989">
        <v>550</v>
      </c>
      <c r="P989">
        <v>0</v>
      </c>
      <c r="Q989">
        <v>0</v>
      </c>
      <c r="R989">
        <v>8824</v>
      </c>
      <c r="S989">
        <v>1622</v>
      </c>
      <c r="T989">
        <v>99</v>
      </c>
      <c r="U989">
        <v>0.64</v>
      </c>
      <c r="V989">
        <v>550</v>
      </c>
      <c r="W989">
        <v>0</v>
      </c>
      <c r="X989">
        <v>0</v>
      </c>
      <c r="Y989">
        <v>62.33</v>
      </c>
      <c r="Z989">
        <v>5.24</v>
      </c>
      <c r="AA989">
        <v>0</v>
      </c>
      <c r="AB989">
        <v>0</v>
      </c>
      <c r="AC989">
        <v>0</v>
      </c>
      <c r="AD989">
        <v>0</v>
      </c>
      <c r="AE989">
        <v>900</v>
      </c>
      <c r="AF989">
        <v>0</v>
      </c>
      <c r="AG989">
        <v>0</v>
      </c>
      <c r="AH989">
        <v>0</v>
      </c>
      <c r="AI989">
        <v>0</v>
      </c>
      <c r="AJ989">
        <v>0</v>
      </c>
      <c r="AK989">
        <v>0</v>
      </c>
      <c r="AL989">
        <v>0</v>
      </c>
      <c r="AM989">
        <v>0</v>
      </c>
      <c r="AN989">
        <v>0</v>
      </c>
      <c r="AO989">
        <v>0</v>
      </c>
      <c r="AP989">
        <v>0.823</v>
      </c>
      <c r="AQ989">
        <v>0.012</v>
      </c>
      <c r="AR989">
        <v>-0.003</v>
      </c>
      <c r="AS989" s="3">
        <v>46107.77643518519</v>
      </c>
    </row>
    <row r="990" ht="25.5" customHeight="1">
      <c r="A990" t="inlineStr">
        <is>
          <t>65240b0e00000000020109af</t>
        </is>
      </c>
      <c r="B990" s="2" t="str">
        <f>=HYPERLINK("https://www.xiaohongshu.com/user/profile/65240b0e00000000020109af", "https://www.xiaohongshu.com/user/profile/65240b0e00000000020109af")</f>
        <v>https://www.xiaohongshu.com/user/profile/65240b0e00000000020109af</v>
      </c>
      <c r="C990" s="2" t="str">
        <f>=HYPERLINK("https://pgy.xiaohongshu.com/solar/pre-trade/blogger-detail/65240b0e00000000020109af", "https://pgy.xiaohongshu.com/solar/pre-trade/blogger-detail/65240b0e00000000020109af")</f>
        <v>https://pgy.xiaohongshu.com/solar/pre-trade/blogger-detail/65240b0e00000000020109af</v>
      </c>
      <c r="D990" t="inlineStr">
        <is>
          <t>男</t>
        </is>
      </c>
      <c r="E990" t="inlineStr">
        <is>
          <t>4528783045</t>
        </is>
      </c>
      <c r="F990" t="inlineStr">
        <is>
          <t>小猪佩奇学英语</t>
        </is>
      </c>
      <c r="G990" t="inlineStr">
        <is>
          <t>福建 厦门 集美区</t>
        </is>
      </c>
      <c r="H990"/>
      <c r="I990" t="inlineStr">
        <is>
          <t>教育</t>
        </is>
      </c>
      <c r="J990">
        <v>37999</v>
      </c>
      <c r="K990" t="inlineStr">
        <is>
          <t>3.8</t>
        </is>
      </c>
      <c r="L990">
        <v>8960</v>
      </c>
      <c r="M990">
        <v>1247</v>
      </c>
      <c r="N990">
        <v>102</v>
      </c>
      <c r="O990">
        <v>1500</v>
      </c>
      <c r="P990">
        <v>0</v>
      </c>
      <c r="Q990">
        <v>0</v>
      </c>
      <c r="R990">
        <v>0</v>
      </c>
      <c r="S990">
        <v>0</v>
      </c>
      <c r="T990">
        <v>0</v>
      </c>
      <c r="U990">
        <v>0</v>
      </c>
      <c r="V990">
        <v>1500</v>
      </c>
      <c r="W990">
        <v>0</v>
      </c>
      <c r="X990">
        <v>0</v>
      </c>
      <c r="Y990">
        <v>0</v>
      </c>
      <c r="Z990">
        <v>0</v>
      </c>
      <c r="AA990">
        <v>8960</v>
      </c>
      <c r="AB990">
        <v>1247</v>
      </c>
      <c r="AC990">
        <v>66</v>
      </c>
      <c r="AD990">
        <v>3.5</v>
      </c>
      <c r="AE990">
        <v>2500</v>
      </c>
      <c r="AF990">
        <v>0</v>
      </c>
      <c r="AG990">
        <v>0</v>
      </c>
      <c r="AH990">
        <v>0.108</v>
      </c>
      <c r="AI990">
        <v>279.02</v>
      </c>
      <c r="AJ990">
        <v>24.51</v>
      </c>
      <c r="AK990">
        <v>0</v>
      </c>
      <c r="AL990">
        <v>0</v>
      </c>
      <c r="AM990">
        <v>0</v>
      </c>
      <c r="AN990">
        <v>0</v>
      </c>
      <c r="AO990">
        <v>0</v>
      </c>
      <c r="AP990">
        <v>0.941</v>
      </c>
      <c r="AQ990">
        <v>0.006</v>
      </c>
      <c r="AR990">
        <v>-0.001</v>
      </c>
      <c r="AS990" s="3">
        <v>46107.77643518519</v>
      </c>
    </row>
    <row r="991" ht="25.5" customHeight="1">
      <c r="A991" t="inlineStr">
        <is>
          <t>59d7c90e51783a74b0f27fb1</t>
        </is>
      </c>
      <c r="B991" s="2" t="str">
        <f>=HYPERLINK("https://www.xiaohongshu.com/user/profile/59d7c90e51783a74b0f27fb1", "https://www.xiaohongshu.com/user/profile/59d7c90e51783a74b0f27fb1")</f>
        <v>https://www.xiaohongshu.com/user/profile/59d7c90e51783a74b0f27fb1</v>
      </c>
      <c r="C991" s="2" t="str">
        <f>=HYPERLINK("https://pgy.xiaohongshu.com/solar/pre-trade/blogger-detail/59d7c90e51783a74b0f27fb1", "https://pgy.xiaohongshu.com/solar/pre-trade/blogger-detail/59d7c90e51783a74b0f27fb1")</f>
        <v>https://pgy.xiaohongshu.com/solar/pre-trade/blogger-detail/59d7c90e51783a74b0f27fb1</v>
      </c>
      <c r="D991" t="inlineStr">
        <is>
          <t>女</t>
        </is>
      </c>
      <c r="E991" t="inlineStr">
        <is>
          <t>953976188</t>
        </is>
      </c>
      <c r="F991" t="inlineStr">
        <is>
          <t>小周舟zz</t>
        </is>
      </c>
      <c r="G991" t="inlineStr">
        <is>
          <t>湖北 天门 天门市</t>
        </is>
      </c>
      <c r="H991" t="inlineStr">
        <is>
          <t>创业者</t>
        </is>
      </c>
      <c r="I991" t="inlineStr">
        <is>
          <t>教育, 生活记录</t>
        </is>
      </c>
      <c r="J991">
        <v>9770</v>
      </c>
      <c r="K991" t="inlineStr">
        <is>
          <t>1.0</t>
        </is>
      </c>
      <c r="L991">
        <v>1578</v>
      </c>
      <c r="M991">
        <v>610</v>
      </c>
      <c r="N991">
        <v>127</v>
      </c>
      <c r="O991">
        <v>370</v>
      </c>
      <c r="P991">
        <v>0</v>
      </c>
      <c r="Q991">
        <v>0.143</v>
      </c>
      <c r="R991">
        <v>352</v>
      </c>
      <c r="S991">
        <v>26</v>
      </c>
      <c r="T991">
        <v>3</v>
      </c>
      <c r="U991">
        <v>14.53</v>
      </c>
      <c r="V991">
        <v>370</v>
      </c>
      <c r="W991">
        <v>0</v>
      </c>
      <c r="X991">
        <v>0</v>
      </c>
      <c r="Y991">
        <v>1051.14</v>
      </c>
      <c r="Z991">
        <v>123.33</v>
      </c>
      <c r="AA991">
        <v>1667</v>
      </c>
      <c r="AB991">
        <v>737</v>
      </c>
      <c r="AC991">
        <v>145</v>
      </c>
      <c r="AD991">
        <v>2.59</v>
      </c>
      <c r="AE991">
        <v>800</v>
      </c>
      <c r="AF991">
        <v>0.166999999999999</v>
      </c>
      <c r="AG991">
        <v>0</v>
      </c>
      <c r="AH991">
        <v>0.0289999999999999</v>
      </c>
      <c r="AI991">
        <v>479.9</v>
      </c>
      <c r="AJ991">
        <v>5.1</v>
      </c>
      <c r="AK991">
        <v>0</v>
      </c>
      <c r="AL991">
        <v>0</v>
      </c>
      <c r="AM991">
        <v>0</v>
      </c>
      <c r="AN991">
        <v>0</v>
      </c>
      <c r="AO991">
        <v>0</v>
      </c>
      <c r="AP991">
        <v>0.553999999999999</v>
      </c>
      <c r="AQ991">
        <v>0.005</v>
      </c>
      <c r="AR991">
        <v>0</v>
      </c>
      <c r="AS991" s="3">
        <v>46107.77643518519</v>
      </c>
    </row>
    <row r="992" ht="25.5" customHeight="1">
      <c r="A992" t="inlineStr">
        <is>
          <t>638734da000000001f01aa5a</t>
        </is>
      </c>
      <c r="B992" s="2" t="str">
        <f>=HYPERLINK("https://www.xiaohongshu.com/user/profile/638734da000000001f01aa5a", "https://www.xiaohongshu.com/user/profile/638734da000000001f01aa5a")</f>
        <v>https://www.xiaohongshu.com/user/profile/638734da000000001f01aa5a</v>
      </c>
      <c r="C992" s="2" t="str">
        <f>=HYPERLINK("https://pgy.xiaohongshu.com/solar/pre-trade/blogger-detail/638734da000000001f01aa5a", "https://pgy.xiaohongshu.com/solar/pre-trade/blogger-detail/638734da000000001f01aa5a")</f>
        <v>https://pgy.xiaohongshu.com/solar/pre-trade/blogger-detail/638734da000000001f01aa5a</v>
      </c>
      <c r="D992" t="inlineStr">
        <is>
          <t>女</t>
        </is>
      </c>
      <c r="E992" t="inlineStr">
        <is>
          <t>3852014367</t>
        </is>
      </c>
      <c r="F992" t="inlineStr">
        <is>
          <t>Candice老师</t>
        </is>
      </c>
      <c r="G992" t="inlineStr">
        <is>
          <t>江苏 南通 崇川区</t>
        </is>
      </c>
      <c r="H992"/>
      <c r="I992" t="inlineStr">
        <is>
          <t>职场, 教育</t>
        </is>
      </c>
      <c r="J992">
        <v>2668</v>
      </c>
      <c r="K992" t="inlineStr">
        <is>
          <t>0.3</t>
        </is>
      </c>
      <c r="L992">
        <v>11891</v>
      </c>
      <c r="M992">
        <v>1558</v>
      </c>
      <c r="N992">
        <v>269</v>
      </c>
      <c r="O992">
        <v>160</v>
      </c>
      <c r="P992">
        <v>0</v>
      </c>
      <c r="Q992">
        <v>0.667</v>
      </c>
      <c r="R992">
        <v>11891</v>
      </c>
      <c r="S992">
        <v>1558</v>
      </c>
      <c r="T992">
        <v>249</v>
      </c>
      <c r="U992">
        <v>0.4</v>
      </c>
      <c r="V992">
        <v>160</v>
      </c>
      <c r="W992">
        <v>0.667</v>
      </c>
      <c r="X992">
        <v>0</v>
      </c>
      <c r="Y992">
        <v>13.46</v>
      </c>
      <c r="Z992">
        <v>0.59</v>
      </c>
      <c r="AA992">
        <v>0</v>
      </c>
      <c r="AB992">
        <v>0</v>
      </c>
      <c r="AC992">
        <v>0</v>
      </c>
      <c r="AD992">
        <v>0</v>
      </c>
      <c r="AE992">
        <v>191</v>
      </c>
      <c r="AF992">
        <v>0</v>
      </c>
      <c r="AG992">
        <v>0</v>
      </c>
      <c r="AH992">
        <v>0</v>
      </c>
      <c r="AI992">
        <v>0</v>
      </c>
      <c r="AJ992">
        <v>0</v>
      </c>
      <c r="AK992">
        <v>0</v>
      </c>
      <c r="AL992">
        <v>0</v>
      </c>
      <c r="AM992">
        <v>0</v>
      </c>
      <c r="AN992">
        <v>0</v>
      </c>
      <c r="AO992">
        <v>0</v>
      </c>
      <c r="AP992">
        <v>0.846</v>
      </c>
      <c r="AQ992">
        <v>0.02</v>
      </c>
      <c r="AR992">
        <v>0.011</v>
      </c>
      <c r="AS992" s="3">
        <v>46107.77643518519</v>
      </c>
    </row>
    <row r="993" ht="25.5" customHeight="1">
      <c r="A993" t="inlineStr">
        <is>
          <t>5ad9ccb1e8ac2b3655b2eac9</t>
        </is>
      </c>
      <c r="B993" s="2" t="str">
        <f>=HYPERLINK("https://www.xiaohongshu.com/user/profile/5ad9ccb1e8ac2b3655b2eac9", "https://www.xiaohongshu.com/user/profile/5ad9ccb1e8ac2b3655b2eac9")</f>
        <v>https://www.xiaohongshu.com/user/profile/5ad9ccb1e8ac2b3655b2eac9</v>
      </c>
      <c r="C993" s="2" t="str">
        <f>=HYPERLINK("https://pgy.xiaohongshu.com/solar/pre-trade/blogger-detail/5ad9ccb1e8ac2b3655b2eac9", "https://pgy.xiaohongshu.com/solar/pre-trade/blogger-detail/5ad9ccb1e8ac2b3655b2eac9")</f>
        <v>https://pgy.xiaohongshu.com/solar/pre-trade/blogger-detail/5ad9ccb1e8ac2b3655b2eac9</v>
      </c>
      <c r="D993" t="inlineStr">
        <is>
          <t>女</t>
        </is>
      </c>
      <c r="E993" t="inlineStr">
        <is>
          <t>HiiYesicaa</t>
        </is>
      </c>
      <c r="F993" t="inlineStr">
        <is>
          <t>Hey嘎嘎</t>
        </is>
      </c>
      <c r="G993" t="inlineStr">
        <is>
          <t>瑞士</t>
        </is>
      </c>
      <c r="H993"/>
      <c r="I993" t="inlineStr">
        <is>
          <t>教育</t>
        </is>
      </c>
      <c r="J993">
        <v>1580</v>
      </c>
      <c r="K993" t="inlineStr">
        <is>
          <t>0.2</t>
        </is>
      </c>
      <c r="L993">
        <v>26079</v>
      </c>
      <c r="M993">
        <v>4676</v>
      </c>
      <c r="N993">
        <v>1451</v>
      </c>
      <c r="O993">
        <v>350</v>
      </c>
      <c r="P993">
        <v>0.5</v>
      </c>
      <c r="Q993">
        <v>0.5</v>
      </c>
      <c r="R993">
        <v>26079</v>
      </c>
      <c r="S993">
        <v>4676</v>
      </c>
      <c r="T993">
        <v>1356</v>
      </c>
      <c r="U993">
        <v>0.41</v>
      </c>
      <c r="V993">
        <v>500</v>
      </c>
      <c r="W993">
        <v>0.5</v>
      </c>
      <c r="X993">
        <v>0.5</v>
      </c>
      <c r="Y993">
        <v>19.17</v>
      </c>
      <c r="Z993">
        <v>0.34</v>
      </c>
      <c r="AA993">
        <v>0</v>
      </c>
      <c r="AB993">
        <v>0</v>
      </c>
      <c r="AC993">
        <v>0</v>
      </c>
      <c r="AD993">
        <v>0</v>
      </c>
      <c r="AE993">
        <v>350</v>
      </c>
      <c r="AF993">
        <v>0</v>
      </c>
      <c r="AG993">
        <v>0</v>
      </c>
      <c r="AH993">
        <v>0</v>
      </c>
      <c r="AI993">
        <v>0</v>
      </c>
      <c r="AJ993">
        <v>0</v>
      </c>
      <c r="AK993">
        <v>0</v>
      </c>
      <c r="AL993">
        <v>0</v>
      </c>
      <c r="AM993">
        <v>0</v>
      </c>
      <c r="AN993">
        <v>0</v>
      </c>
      <c r="AO993">
        <v>0</v>
      </c>
      <c r="AP993">
        <v>0.638</v>
      </c>
      <c r="AQ993">
        <v>0.026</v>
      </c>
      <c r="AR993">
        <v>0.01</v>
      </c>
      <c r="AS993" s="3">
        <v>46107.77643518519</v>
      </c>
    </row>
    <row r="994" ht="25.5" customHeight="1">
      <c r="A994" t="inlineStr">
        <is>
          <t>548699ace779893cb122a6a9</t>
        </is>
      </c>
      <c r="B994" s="2" t="str">
        <f>=HYPERLINK("https://www.xiaohongshu.com/user/profile/548699ace779893cb122a6a9", "https://www.xiaohongshu.com/user/profile/548699ace779893cb122a6a9")</f>
        <v>https://www.xiaohongshu.com/user/profile/548699ace779893cb122a6a9</v>
      </c>
      <c r="C994" s="2" t="str">
        <f>=HYPERLINK("https://pgy.xiaohongshu.com/solar/pre-trade/blogger-detail/548699ace779893cb122a6a9", "https://pgy.xiaohongshu.com/solar/pre-trade/blogger-detail/548699ace779893cb122a6a9")</f>
        <v>https://pgy.xiaohongshu.com/solar/pre-trade/blogger-detail/548699ace779893cb122a6a9</v>
      </c>
      <c r="D994" t="inlineStr">
        <is>
          <t>女</t>
        </is>
      </c>
      <c r="E994" t="inlineStr">
        <is>
          <t>299079182</t>
        </is>
      </c>
      <c r="F994" t="inlineStr">
        <is>
          <t>Sophie酱在学兽医啊</t>
        </is>
      </c>
      <c r="G994" t="inlineStr">
        <is>
          <t>美国</t>
        </is>
      </c>
      <c r="H994"/>
      <c r="I994" t="inlineStr">
        <is>
          <t>教育</t>
        </is>
      </c>
      <c r="J994">
        <v>5983</v>
      </c>
      <c r="K994" t="inlineStr">
        <is>
          <t>0.6</t>
        </is>
      </c>
      <c r="L994">
        <v>16904</v>
      </c>
      <c r="M994">
        <v>2936</v>
      </c>
      <c r="N994">
        <v>191</v>
      </c>
      <c r="O994">
        <v>400</v>
      </c>
      <c r="P994">
        <v>0</v>
      </c>
      <c r="Q994">
        <v>0.667</v>
      </c>
      <c r="R994">
        <v>128028</v>
      </c>
      <c r="S994">
        <v>26339</v>
      </c>
      <c r="T994">
        <v>1235</v>
      </c>
      <c r="U994">
        <v>0.32</v>
      </c>
      <c r="V994">
        <v>400</v>
      </c>
      <c r="W994">
        <v>1</v>
      </c>
      <c r="X994">
        <v>0</v>
      </c>
      <c r="Y994">
        <v>3.12</v>
      </c>
      <c r="Z994">
        <v>0.29</v>
      </c>
      <c r="AA994">
        <v>9487</v>
      </c>
      <c r="AB994">
        <v>1682</v>
      </c>
      <c r="AC994">
        <v>108</v>
      </c>
      <c r="AD994">
        <v>1.98</v>
      </c>
      <c r="AE994">
        <v>800</v>
      </c>
      <c r="AF994">
        <v>0.5</v>
      </c>
      <c r="AG994">
        <v>0</v>
      </c>
      <c r="AH994">
        <v>0.124</v>
      </c>
      <c r="AI994">
        <v>84.32</v>
      </c>
      <c r="AJ994">
        <v>6.2</v>
      </c>
      <c r="AK994">
        <v>0</v>
      </c>
      <c r="AL994">
        <v>0</v>
      </c>
      <c r="AM994">
        <v>0</v>
      </c>
      <c r="AN994">
        <v>0</v>
      </c>
      <c r="AO994">
        <v>0</v>
      </c>
      <c r="AP994">
        <v>0.867</v>
      </c>
      <c r="AQ994">
        <v>0.026</v>
      </c>
      <c r="AR994">
        <v>0.017</v>
      </c>
      <c r="AS994" s="3">
        <v>46107.77643518519</v>
      </c>
    </row>
    <row r="995" ht="25.5" customHeight="1">
      <c r="A995" t="inlineStr">
        <is>
          <t>5e1893510000000001009a07</t>
        </is>
      </c>
      <c r="B995" s="2" t="str">
        <f>=HYPERLINK("https://www.xiaohongshu.com/user/profile/5e1893510000000001009a07", "https://www.xiaohongshu.com/user/profile/5e1893510000000001009a07")</f>
        <v>https://www.xiaohongshu.com/user/profile/5e1893510000000001009a07</v>
      </c>
      <c r="C995" s="2" t="str">
        <f>=HYPERLINK("https://pgy.xiaohongshu.com/solar/pre-trade/blogger-detail/5e1893510000000001009a07", "https://pgy.xiaohongshu.com/solar/pre-trade/blogger-detail/5e1893510000000001009a07")</f>
        <v>https://pgy.xiaohongshu.com/solar/pre-trade/blogger-detail/5e1893510000000001009a07</v>
      </c>
      <c r="D995" t="inlineStr">
        <is>
          <t>女</t>
        </is>
      </c>
      <c r="E995" t="inlineStr">
        <is>
          <t>751881379</t>
        </is>
      </c>
      <c r="F995" t="inlineStr">
        <is>
          <t>地道口语表达</t>
        </is>
      </c>
      <c r="G995" t="inlineStr">
        <is>
          <t>河南 郑州 金水区</t>
        </is>
      </c>
      <c r="H995"/>
      <c r="I995" t="inlineStr">
        <is>
          <t>教育</t>
        </is>
      </c>
      <c r="J995">
        <v>3587</v>
      </c>
      <c r="K995" t="inlineStr">
        <is>
          <t>0.4</t>
        </is>
      </c>
      <c r="L995">
        <v>9043</v>
      </c>
      <c r="M995">
        <v>842</v>
      </c>
      <c r="N995">
        <v>149</v>
      </c>
      <c r="O995">
        <v>160</v>
      </c>
      <c r="P995">
        <v>0.308</v>
      </c>
      <c r="Q995">
        <v>0.462</v>
      </c>
      <c r="R995">
        <v>9043</v>
      </c>
      <c r="S995">
        <v>842</v>
      </c>
      <c r="T995">
        <v>148</v>
      </c>
      <c r="U995">
        <v>0.49</v>
      </c>
      <c r="V995">
        <v>160</v>
      </c>
      <c r="W995">
        <v>0.462</v>
      </c>
      <c r="X995">
        <v>0.308</v>
      </c>
      <c r="Y995">
        <v>17.69</v>
      </c>
      <c r="Z995">
        <v>1.07</v>
      </c>
      <c r="AA995">
        <v>0</v>
      </c>
      <c r="AB995">
        <v>0</v>
      </c>
      <c r="AC995">
        <v>0</v>
      </c>
      <c r="AD995">
        <v>0</v>
      </c>
      <c r="AE995">
        <v>400</v>
      </c>
      <c r="AF995">
        <v>0</v>
      </c>
      <c r="AG995">
        <v>0</v>
      </c>
      <c r="AH995">
        <v>0</v>
      </c>
      <c r="AI995">
        <v>0</v>
      </c>
      <c r="AJ995">
        <v>0</v>
      </c>
      <c r="AK995">
        <v>0</v>
      </c>
      <c r="AL995">
        <v>0</v>
      </c>
      <c r="AM995">
        <v>0</v>
      </c>
      <c r="AN995">
        <v>0</v>
      </c>
      <c r="AO995">
        <v>0</v>
      </c>
      <c r="AP995">
        <v>0.995</v>
      </c>
      <c r="AQ995">
        <v>0.298</v>
      </c>
      <c r="AR995">
        <v>0</v>
      </c>
      <c r="AS995" s="3">
        <v>46107.77643518519</v>
      </c>
    </row>
    <row r="996" ht="25.5" customHeight="1">
      <c r="A996" t="inlineStr">
        <is>
          <t>67aaedeb000000000d00ac9f</t>
        </is>
      </c>
      <c r="B996" s="2" t="str">
        <f>=HYPERLINK("https://www.xiaohongshu.com/user/profile/67aaedeb000000000d00ac9f", "https://www.xiaohongshu.com/user/profile/67aaedeb000000000d00ac9f")</f>
        <v>https://www.xiaohongshu.com/user/profile/67aaedeb000000000d00ac9f</v>
      </c>
      <c r="C996" s="2" t="str">
        <f>=HYPERLINK("https://pgy.xiaohongshu.com/solar/pre-trade/blogger-detail/67aaedeb000000000d00ac9f", "https://pgy.xiaohongshu.com/solar/pre-trade/blogger-detail/67aaedeb000000000d00ac9f")</f>
        <v>https://pgy.xiaohongshu.com/solar/pre-trade/blogger-detail/67aaedeb000000000d00ac9f</v>
      </c>
      <c r="D996" t="inlineStr">
        <is>
          <t>女</t>
        </is>
      </c>
      <c r="E996" t="inlineStr">
        <is>
          <t>95454867240</t>
        </is>
      </c>
      <c r="F996" t="inlineStr">
        <is>
          <t>小煎妮DHub</t>
        </is>
      </c>
      <c r="G996" t="inlineStr">
        <is>
          <t>辽宁 沈阳 浑南区</t>
        </is>
      </c>
      <c r="H996" t="inlineStr">
        <is>
          <t>学生</t>
        </is>
      </c>
      <c r="I996" t="inlineStr">
        <is>
          <t>教育</t>
        </is>
      </c>
      <c r="J996">
        <v>1208</v>
      </c>
      <c r="K996" t="inlineStr">
        <is>
          <t>0.1</t>
        </is>
      </c>
      <c r="L996">
        <v>3443</v>
      </c>
      <c r="M996">
        <v>1249</v>
      </c>
      <c r="N996">
        <v>147</v>
      </c>
      <c r="O996">
        <v>228</v>
      </c>
      <c r="P996">
        <v>0.0559999999999999</v>
      </c>
      <c r="Q996">
        <v>0.193999999999999</v>
      </c>
      <c r="R996">
        <v>8324</v>
      </c>
      <c r="S996">
        <v>2268</v>
      </c>
      <c r="T996">
        <v>121</v>
      </c>
      <c r="U996">
        <v>0.4</v>
      </c>
      <c r="V996">
        <v>228</v>
      </c>
      <c r="W996">
        <v>0.3</v>
      </c>
      <c r="X996">
        <v>0.1</v>
      </c>
      <c r="Y996">
        <v>27.39</v>
      </c>
      <c r="Z996">
        <v>1.4</v>
      </c>
      <c r="AA996">
        <v>3156</v>
      </c>
      <c r="AB996">
        <v>1156</v>
      </c>
      <c r="AC996">
        <v>124</v>
      </c>
      <c r="AD996">
        <v>1.85</v>
      </c>
      <c r="AE996">
        <v>400</v>
      </c>
      <c r="AF996">
        <v>0.063</v>
      </c>
      <c r="AG996">
        <v>0</v>
      </c>
      <c r="AH996">
        <v>0.048</v>
      </c>
      <c r="AI996">
        <v>126.72</v>
      </c>
      <c r="AJ996">
        <v>2.9</v>
      </c>
      <c r="AK996">
        <v>0</v>
      </c>
      <c r="AL996">
        <v>0</v>
      </c>
      <c r="AM996">
        <v>0</v>
      </c>
      <c r="AN996">
        <v>0</v>
      </c>
      <c r="AO996">
        <v>0</v>
      </c>
      <c r="AP996">
        <v>0.993</v>
      </c>
      <c r="AQ996">
        <v>0.418</v>
      </c>
      <c r="AR996">
        <v>0</v>
      </c>
      <c r="AS996" s="3">
        <v>46107.77643518519</v>
      </c>
    </row>
    <row r="997" ht="25.5" customHeight="1">
      <c r="A997" t="inlineStr">
        <is>
          <t>65b7945f000000000903c384</t>
        </is>
      </c>
      <c r="B997" s="2" t="str">
        <f>=HYPERLINK("https://www.xiaohongshu.com/user/profile/65b7945f000000000903c384", "https://www.xiaohongshu.com/user/profile/65b7945f000000000903c384")</f>
        <v>https://www.xiaohongshu.com/user/profile/65b7945f000000000903c384</v>
      </c>
      <c r="C997" s="2" t="str">
        <f>=HYPERLINK("https://pgy.xiaohongshu.com/solar/pre-trade/blogger-detail/65b7945f000000000903c384", "https://pgy.xiaohongshu.com/solar/pre-trade/blogger-detail/65b7945f000000000903c384")</f>
        <v>https://pgy.xiaohongshu.com/solar/pre-trade/blogger-detail/65b7945f000000000903c384</v>
      </c>
      <c r="D997" t="inlineStr">
        <is>
          <t>女</t>
        </is>
      </c>
      <c r="E997" t="inlineStr">
        <is>
          <t>7875458816</t>
        </is>
      </c>
      <c r="F997" t="inlineStr">
        <is>
          <t>Lily的英语宝藏</t>
        </is>
      </c>
      <c r="G997" t="inlineStr">
        <is>
          <t>河南 安阳 文峰区</t>
        </is>
      </c>
      <c r="H997"/>
      <c r="I997" t="inlineStr">
        <is>
          <t>教育</t>
        </is>
      </c>
      <c r="J997">
        <v>2204</v>
      </c>
      <c r="K997" t="inlineStr">
        <is>
          <t>0.2</t>
        </is>
      </c>
      <c r="L997">
        <v>1238</v>
      </c>
      <c r="M997">
        <v>1095</v>
      </c>
      <c r="N997">
        <v>142</v>
      </c>
      <c r="O997">
        <v>200</v>
      </c>
      <c r="P997">
        <v>0</v>
      </c>
      <c r="Q997">
        <v>0.231</v>
      </c>
      <c r="R997">
        <v>0</v>
      </c>
      <c r="S997">
        <v>0</v>
      </c>
      <c r="T997">
        <v>0</v>
      </c>
      <c r="U997">
        <v>0</v>
      </c>
      <c r="V997">
        <v>200</v>
      </c>
      <c r="W997">
        <v>0</v>
      </c>
      <c r="X997">
        <v>0</v>
      </c>
      <c r="Y997">
        <v>0</v>
      </c>
      <c r="Z997">
        <v>0</v>
      </c>
      <c r="AA997">
        <v>1238</v>
      </c>
      <c r="AB997">
        <v>1095</v>
      </c>
      <c r="AC997">
        <v>109</v>
      </c>
      <c r="AD997">
        <v>1.96</v>
      </c>
      <c r="AE997">
        <v>500</v>
      </c>
      <c r="AF997">
        <v>0.231</v>
      </c>
      <c r="AG997">
        <v>0</v>
      </c>
      <c r="AH997">
        <v>0.185</v>
      </c>
      <c r="AI997">
        <v>403.71</v>
      </c>
      <c r="AJ997">
        <v>3.52</v>
      </c>
      <c r="AK997">
        <v>0</v>
      </c>
      <c r="AL997">
        <v>0</v>
      </c>
      <c r="AM997">
        <v>0</v>
      </c>
      <c r="AN997">
        <v>0</v>
      </c>
      <c r="AO997">
        <v>0</v>
      </c>
      <c r="AP997">
        <v>0.968</v>
      </c>
      <c r="AQ997">
        <v>0.163999999999999</v>
      </c>
      <c r="AR997">
        <v>0</v>
      </c>
      <c r="AS997" s="3">
        <v>46107.77643518519</v>
      </c>
    </row>
    <row r="998" ht="25.5" customHeight="1">
      <c r="A998" t="inlineStr">
        <is>
          <t>64ac0ab9000000000b015054</t>
        </is>
      </c>
      <c r="B998" s="2" t="str">
        <f>=HYPERLINK("https://www.xiaohongshu.com/user/profile/64ac0ab9000000000b015054", "https://www.xiaohongshu.com/user/profile/64ac0ab9000000000b015054")</f>
        <v>https://www.xiaohongshu.com/user/profile/64ac0ab9000000000b015054</v>
      </c>
      <c r="C998" s="2" t="str">
        <f>=HYPERLINK("https://pgy.xiaohongshu.com/solar/pre-trade/blogger-detail/64ac0ab9000000000b015054", "https://pgy.xiaohongshu.com/solar/pre-trade/blogger-detail/64ac0ab9000000000b015054")</f>
        <v>https://pgy.xiaohongshu.com/solar/pre-trade/blogger-detail/64ac0ab9000000000b015054</v>
      </c>
      <c r="D998" t="inlineStr">
        <is>
          <t>女</t>
        </is>
      </c>
      <c r="E998" t="inlineStr">
        <is>
          <t>woshisuozi</t>
        </is>
      </c>
      <c r="F998" t="inlineStr">
        <is>
          <t>我是锁子（上岸版）</t>
        </is>
      </c>
      <c r="G998" t="inlineStr">
        <is>
          <t>山西 太原 万柏林区</t>
        </is>
      </c>
      <c r="H998"/>
      <c r="I998" t="inlineStr">
        <is>
          <t>兴趣爱好, 教育</t>
        </is>
      </c>
      <c r="J998">
        <v>1551</v>
      </c>
      <c r="K998" t="inlineStr">
        <is>
          <t>0.2</t>
        </is>
      </c>
      <c r="L998">
        <v>2860</v>
      </c>
      <c r="M998">
        <v>1184</v>
      </c>
      <c r="N998">
        <v>145</v>
      </c>
      <c r="O998">
        <v>250</v>
      </c>
      <c r="P998">
        <v>0.166999999999999</v>
      </c>
      <c r="Q998">
        <v>0.332999999999999</v>
      </c>
      <c r="R998">
        <v>9167</v>
      </c>
      <c r="S998">
        <v>1133</v>
      </c>
      <c r="T998">
        <v>130</v>
      </c>
      <c r="U998">
        <v>0.52</v>
      </c>
      <c r="V998">
        <v>250</v>
      </c>
      <c r="W998">
        <v>0</v>
      </c>
      <c r="X998">
        <v>0</v>
      </c>
      <c r="Y998">
        <v>27.27</v>
      </c>
      <c r="Z998">
        <v>1.79</v>
      </c>
      <c r="AA998">
        <v>2592</v>
      </c>
      <c r="AB998">
        <v>1236</v>
      </c>
      <c r="AC998">
        <v>148</v>
      </c>
      <c r="AD998">
        <v>1.9</v>
      </c>
      <c r="AE998">
        <v>500</v>
      </c>
      <c r="AF998">
        <v>0.4</v>
      </c>
      <c r="AG998">
        <v>0.2</v>
      </c>
      <c r="AH998">
        <v>0.054</v>
      </c>
      <c r="AI998">
        <v>192.9</v>
      </c>
      <c r="AJ998">
        <v>3.33</v>
      </c>
      <c r="AK998">
        <v>0</v>
      </c>
      <c r="AL998">
        <v>0</v>
      </c>
      <c r="AM998">
        <v>0</v>
      </c>
      <c r="AN998">
        <v>0</v>
      </c>
      <c r="AO998">
        <v>0</v>
      </c>
      <c r="AP998">
        <v>0.885</v>
      </c>
      <c r="AQ998">
        <v>0.106</v>
      </c>
      <c r="AR998">
        <v>0.1</v>
      </c>
      <c r="AS998" s="3">
        <v>46107.77643518519</v>
      </c>
    </row>
    <row r="999" ht="25.5" customHeight="1">
      <c r="A999" t="inlineStr">
        <is>
          <t>61ebdfdb000000001000e240</t>
        </is>
      </c>
      <c r="B999" s="2" t="str">
        <f>=HYPERLINK("https://www.xiaohongshu.com/user/profile/61ebdfdb000000001000e240", "https://www.xiaohongshu.com/user/profile/61ebdfdb000000001000e240")</f>
        <v>https://www.xiaohongshu.com/user/profile/61ebdfdb000000001000e240</v>
      </c>
      <c r="C999" s="2" t="str">
        <f>=HYPERLINK("https://pgy.xiaohongshu.com/solar/pre-trade/blogger-detail/61ebdfdb000000001000e240", "https://pgy.xiaohongshu.com/solar/pre-trade/blogger-detail/61ebdfdb000000001000e240")</f>
        <v>https://pgy.xiaohongshu.com/solar/pre-trade/blogger-detail/61ebdfdb000000001000e240</v>
      </c>
      <c r="D999" t="inlineStr">
        <is>
          <t>男</t>
        </is>
      </c>
      <c r="E999" t="inlineStr">
        <is>
          <t>1384178164</t>
        </is>
      </c>
      <c r="F999" t="inlineStr">
        <is>
          <t>辉辉辉辉</t>
        </is>
      </c>
      <c r="G999" t="inlineStr">
        <is>
          <t>广东 广州 海珠区</t>
        </is>
      </c>
      <c r="H999" t="inlineStr">
        <is>
          <t>户外爱好者, 学生</t>
        </is>
      </c>
      <c r="I999" t="inlineStr">
        <is>
          <t>教育</t>
        </is>
      </c>
      <c r="J999">
        <v>1378</v>
      </c>
      <c r="K999" t="inlineStr">
        <is>
          <t>0.1</t>
        </is>
      </c>
      <c r="L999">
        <v>2162</v>
      </c>
      <c r="M999">
        <v>1263</v>
      </c>
      <c r="N999">
        <v>158</v>
      </c>
      <c r="O999">
        <v>200</v>
      </c>
      <c r="P999">
        <v>0</v>
      </c>
      <c r="Q999">
        <v>0.429</v>
      </c>
      <c r="R999">
        <v>4408</v>
      </c>
      <c r="S999">
        <v>858</v>
      </c>
      <c r="T999">
        <v>102</v>
      </c>
      <c r="U999">
        <v>0.53</v>
      </c>
      <c r="V999">
        <v>200</v>
      </c>
      <c r="W999">
        <v>0</v>
      </c>
      <c r="X999">
        <v>0</v>
      </c>
      <c r="Y999">
        <v>45.37</v>
      </c>
      <c r="Z999">
        <v>1.6</v>
      </c>
      <c r="AA999">
        <v>2136</v>
      </c>
      <c r="AB999">
        <v>1285</v>
      </c>
      <c r="AC999">
        <v>152</v>
      </c>
      <c r="AD999">
        <v>1.81</v>
      </c>
      <c r="AE999">
        <v>400</v>
      </c>
      <c r="AF999">
        <v>0.5</v>
      </c>
      <c r="AG999">
        <v>0</v>
      </c>
      <c r="AH999">
        <v>0.004</v>
      </c>
      <c r="AI999">
        <v>187.27</v>
      </c>
      <c r="AJ999">
        <v>2.17</v>
      </c>
      <c r="AK999">
        <v>0</v>
      </c>
      <c r="AL999">
        <v>0</v>
      </c>
      <c r="AM999">
        <v>0</v>
      </c>
      <c r="AN999">
        <v>0</v>
      </c>
      <c r="AO999">
        <v>0</v>
      </c>
      <c r="AP999">
        <v>0.955</v>
      </c>
      <c r="AQ999">
        <v>0.124</v>
      </c>
      <c r="AR999">
        <v>0</v>
      </c>
      <c r="AS999" s="3">
        <v>46107.77643518519</v>
      </c>
    </row>
    <row r="1000" ht="25.5" customHeight="1">
      <c r="A1000" t="inlineStr">
        <is>
          <t>5c56cb0b000000001000b4f6</t>
        </is>
      </c>
      <c r="B1000" s="2" t="str">
        <f>=HYPERLINK("https://www.xiaohongshu.com/user/profile/5c56cb0b000000001000b4f6", "https://www.xiaohongshu.com/user/profile/5c56cb0b000000001000b4f6")</f>
        <v>https://www.xiaohongshu.com/user/profile/5c56cb0b000000001000b4f6</v>
      </c>
      <c r="C1000" s="2" t="str">
        <f>=HYPERLINK("https://pgy.xiaohongshu.com/solar/pre-trade/blogger-detail/5c56cb0b000000001000b4f6", "https://pgy.xiaohongshu.com/solar/pre-trade/blogger-detail/5c56cb0b000000001000b4f6")</f>
        <v>https://pgy.xiaohongshu.com/solar/pre-trade/blogger-detail/5c56cb0b000000001000b4f6</v>
      </c>
      <c r="D1000" t="inlineStr">
        <is>
          <t>女</t>
        </is>
      </c>
      <c r="E1000" t="inlineStr">
        <is>
          <t>denghaibei2023</t>
        </is>
      </c>
      <c r="F1000" t="inlineStr">
        <is>
          <t>艺海拾贝Design</t>
        </is>
      </c>
      <c r="G1000" t="inlineStr">
        <is>
          <t>广西 南宁 邕宁区</t>
        </is>
      </c>
      <c r="H1000" t="inlineStr">
        <is>
          <t>平面设计师</t>
        </is>
      </c>
      <c r="I1000" t="inlineStr">
        <is>
          <t>教育, 文化艺术</t>
        </is>
      </c>
      <c r="J1000">
        <v>23254</v>
      </c>
      <c r="K1000" t="inlineStr">
        <is>
          <t>2.3</t>
        </is>
      </c>
      <c r="L1000">
        <v>28360</v>
      </c>
      <c r="M1000">
        <v>3458</v>
      </c>
      <c r="N1000">
        <v>280</v>
      </c>
      <c r="O1000">
        <v>1000</v>
      </c>
      <c r="P1000">
        <v>0.067</v>
      </c>
      <c r="Q1000">
        <v>0.6</v>
      </c>
      <c r="R1000">
        <v>28360</v>
      </c>
      <c r="S1000">
        <v>3458</v>
      </c>
      <c r="T1000">
        <v>227</v>
      </c>
      <c r="U1000">
        <v>0.59</v>
      </c>
      <c r="V1000">
        <v>1000</v>
      </c>
      <c r="W1000">
        <v>0.6</v>
      </c>
      <c r="X1000">
        <v>0.067</v>
      </c>
      <c r="Y1000">
        <v>35.26</v>
      </c>
      <c r="Z1000">
        <v>3.57</v>
      </c>
      <c r="AA1000">
        <v>0</v>
      </c>
      <c r="AB1000">
        <v>0</v>
      </c>
      <c r="AC1000">
        <v>0</v>
      </c>
      <c r="AD1000">
        <v>0</v>
      </c>
      <c r="AE1000">
        <v>1500</v>
      </c>
      <c r="AF1000">
        <v>0</v>
      </c>
      <c r="AG1000">
        <v>0</v>
      </c>
      <c r="AH1000">
        <v>0</v>
      </c>
      <c r="AI1000">
        <v>0</v>
      </c>
      <c r="AJ1000">
        <v>0</v>
      </c>
      <c r="AK1000">
        <v>0</v>
      </c>
      <c r="AL1000">
        <v>0</v>
      </c>
      <c r="AM1000">
        <v>0</v>
      </c>
      <c r="AN1000">
        <v>0</v>
      </c>
      <c r="AO1000">
        <v>0</v>
      </c>
      <c r="AP1000">
        <v>0.854</v>
      </c>
      <c r="AQ1000">
        <v>0.045</v>
      </c>
      <c r="AR1000">
        <v>0.043</v>
      </c>
      <c r="AS1000" s="3">
        <v>46107.77643518519</v>
      </c>
    </row>
    <row r="1001" ht="25.5" customHeight="1">
      <c r="A1001" t="inlineStr">
        <is>
          <t>5d22ff25000000001003af92</t>
        </is>
      </c>
      <c r="B1001" s="2" t="str">
        <f>=HYPERLINK("https://www.xiaohongshu.com/user/profile/5d22ff25000000001003af92", "https://www.xiaohongshu.com/user/profile/5d22ff25000000001003af92")</f>
        <v>https://www.xiaohongshu.com/user/profile/5d22ff25000000001003af92</v>
      </c>
      <c r="C1001" s="2" t="str">
        <f>=HYPERLINK("https://pgy.xiaohongshu.com/solar/pre-trade/blogger-detail/5d22ff25000000001003af92", "https://pgy.xiaohongshu.com/solar/pre-trade/blogger-detail/5d22ff25000000001003af92")</f>
        <v>https://pgy.xiaohongshu.com/solar/pre-trade/blogger-detail/5d22ff25000000001003af92</v>
      </c>
      <c r="D1001" t="inlineStr">
        <is>
          <t>男</t>
        </is>
      </c>
      <c r="E1001" t="inlineStr">
        <is>
          <t>309860024</t>
        </is>
      </c>
      <c r="F1001" t="inlineStr">
        <is>
          <t>落摇星日语分享</t>
        </is>
      </c>
      <c r="G1001" t="inlineStr">
        <is>
          <t>浙江 杭州 滨江区</t>
        </is>
      </c>
      <c r="H1001" t="inlineStr">
        <is>
          <t>学生</t>
        </is>
      </c>
      <c r="I1001" t="inlineStr">
        <is>
          <t>教育</t>
        </is>
      </c>
      <c r="J1001">
        <v>9312</v>
      </c>
      <c r="K1001" t="inlineStr">
        <is>
          <t>0.9</t>
        </is>
      </c>
      <c r="L1001">
        <v>15260</v>
      </c>
      <c r="M1001">
        <v>2030</v>
      </c>
      <c r="N1001">
        <v>144</v>
      </c>
      <c r="O1001">
        <v>139</v>
      </c>
      <c r="P1001">
        <v>0</v>
      </c>
      <c r="Q1001">
        <v>0.409</v>
      </c>
      <c r="R1001">
        <v>15260</v>
      </c>
      <c r="S1001">
        <v>2030</v>
      </c>
      <c r="T1001">
        <v>129</v>
      </c>
      <c r="U1001">
        <v>0.37</v>
      </c>
      <c r="V1001">
        <v>139</v>
      </c>
      <c r="W1001">
        <v>0.409</v>
      </c>
      <c r="X1001">
        <v>0</v>
      </c>
      <c r="Y1001">
        <v>9.11</v>
      </c>
      <c r="Z1001">
        <v>0.96</v>
      </c>
      <c r="AA1001">
        <v>0</v>
      </c>
      <c r="AB1001">
        <v>0</v>
      </c>
      <c r="AC1001">
        <v>0</v>
      </c>
      <c r="AD1001">
        <v>0</v>
      </c>
      <c r="AE1001">
        <v>739</v>
      </c>
      <c r="AF1001">
        <v>0</v>
      </c>
      <c r="AG1001">
        <v>0</v>
      </c>
      <c r="AH1001">
        <v>0</v>
      </c>
      <c r="AI1001">
        <v>0</v>
      </c>
      <c r="AJ1001">
        <v>0</v>
      </c>
      <c r="AK1001">
        <v>0</v>
      </c>
      <c r="AL1001">
        <v>0</v>
      </c>
      <c r="AM1001">
        <v>0</v>
      </c>
      <c r="AN1001">
        <v>0</v>
      </c>
      <c r="AO1001">
        <v>0</v>
      </c>
      <c r="AP1001">
        <v>0.948</v>
      </c>
      <c r="AQ1001">
        <v>0.07</v>
      </c>
      <c r="AR1001">
        <v>0.072</v>
      </c>
      <c r="AS1001" s="3">
        <v>46107.776666666665</v>
      </c>
    </row>
    <row r="1002" ht="25.5" customHeight="1">
      <c r="A1002" t="inlineStr">
        <is>
          <t>64532297000000000f0064cf</t>
        </is>
      </c>
      <c r="B1002" s="2" t="str">
        <f>=HYPERLINK("https://www.xiaohongshu.com/user/profile/64532297000000000f0064cf", "https://www.xiaohongshu.com/user/profile/64532297000000000f0064cf")</f>
        <v>https://www.xiaohongshu.com/user/profile/64532297000000000f0064cf</v>
      </c>
      <c r="C1002" s="2" t="str">
        <f>=HYPERLINK("https://pgy.xiaohongshu.com/solar/pre-trade/blogger-detail/64532297000000000f0064cf", "https://pgy.xiaohongshu.com/solar/pre-trade/blogger-detail/64532297000000000f0064cf")</f>
        <v>https://pgy.xiaohongshu.com/solar/pre-trade/blogger-detail/64532297000000000f0064cf</v>
      </c>
      <c r="D1002" t="inlineStr">
        <is>
          <t>女</t>
        </is>
      </c>
      <c r="E1002" t="inlineStr">
        <is>
          <t>Bwtous312</t>
        </is>
      </c>
      <c r="F1002" t="inlineStr">
        <is>
          <t>挑战30天背完马理论</t>
        </is>
      </c>
      <c r="G1002" t="inlineStr">
        <is>
          <t>黑龙江 鸡西 密山市</t>
        </is>
      </c>
      <c r="H1002"/>
      <c r="I1002" t="inlineStr">
        <is>
          <t>教育</t>
        </is>
      </c>
      <c r="J1002">
        <v>8514</v>
      </c>
      <c r="K1002" t="inlineStr">
        <is>
          <t>0.9</t>
        </is>
      </c>
      <c r="L1002">
        <v>8761</v>
      </c>
      <c r="M1002">
        <v>1348</v>
      </c>
      <c r="N1002">
        <v>180</v>
      </c>
      <c r="O1002">
        <v>400</v>
      </c>
      <c r="P1002">
        <v>0</v>
      </c>
      <c r="Q1002">
        <v>0.4</v>
      </c>
      <c r="R1002">
        <v>11455</v>
      </c>
      <c r="S1002">
        <v>2009</v>
      </c>
      <c r="T1002">
        <v>175</v>
      </c>
      <c r="U1002">
        <v>0.5</v>
      </c>
      <c r="V1002">
        <v>400</v>
      </c>
      <c r="W1002">
        <v>0.4</v>
      </c>
      <c r="X1002">
        <v>0</v>
      </c>
      <c r="Y1002">
        <v>34.92</v>
      </c>
      <c r="Z1002">
        <v>2.03</v>
      </c>
      <c r="AA1002">
        <v>0</v>
      </c>
      <c r="AB1002">
        <v>0</v>
      </c>
      <c r="AC1002">
        <v>0</v>
      </c>
      <c r="AD1002">
        <v>0</v>
      </c>
      <c r="AE1002">
        <v>656</v>
      </c>
      <c r="AF1002">
        <v>0</v>
      </c>
      <c r="AG1002">
        <v>0</v>
      </c>
      <c r="AH1002">
        <v>0</v>
      </c>
      <c r="AI1002">
        <v>0</v>
      </c>
      <c r="AJ1002">
        <v>0</v>
      </c>
      <c r="AK1002">
        <v>0</v>
      </c>
      <c r="AL1002">
        <v>0</v>
      </c>
      <c r="AM1002">
        <v>0</v>
      </c>
      <c r="AN1002">
        <v>0</v>
      </c>
      <c r="AO1002">
        <v>0</v>
      </c>
      <c r="AP1002">
        <v>0.825</v>
      </c>
      <c r="AQ1002">
        <v>0.069</v>
      </c>
      <c r="AR1002">
        <v>0.049</v>
      </c>
      <c r="AS1002" s="3">
        <v>46107.776666666665</v>
      </c>
    </row>
    <row r="1003" ht="25.5" customHeight="1">
      <c r="A1003" t="inlineStr">
        <is>
          <t>66b254a9000000001d031414</t>
        </is>
      </c>
      <c r="B1003" s="2" t="str">
        <f>=HYPERLINK("https://www.xiaohongshu.com/user/profile/66b254a9000000001d031414", "https://www.xiaohongshu.com/user/profile/66b254a9000000001d031414")</f>
        <v>https://www.xiaohongshu.com/user/profile/66b254a9000000001d031414</v>
      </c>
      <c r="C1003" s="2" t="str">
        <f>=HYPERLINK("https://pgy.xiaohongshu.com/solar/pre-trade/blogger-detail/66b254a9000000001d031414", "https://pgy.xiaohongshu.com/solar/pre-trade/blogger-detail/66b254a9000000001d031414")</f>
        <v>https://pgy.xiaohongshu.com/solar/pre-trade/blogger-detail/66b254a9000000001d031414</v>
      </c>
      <c r="D1003" t="inlineStr">
        <is>
          <t>男</t>
        </is>
      </c>
      <c r="E1003" t="inlineStr">
        <is>
          <t>94114918337</t>
        </is>
      </c>
      <c r="F1003" t="inlineStr">
        <is>
          <t>沉浸式学英语</t>
        </is>
      </c>
      <c r="G1003" t="inlineStr">
        <is>
          <t>广东 深圳 宝安区</t>
        </is>
      </c>
      <c r="H1003"/>
      <c r="I1003" t="inlineStr">
        <is>
          <t>教育</t>
        </is>
      </c>
      <c r="J1003">
        <v>20221</v>
      </c>
      <c r="K1003" t="inlineStr">
        <is>
          <t>2.0</t>
        </is>
      </c>
      <c r="L1003">
        <v>3437</v>
      </c>
      <c r="M1003">
        <v>1632</v>
      </c>
      <c r="N1003">
        <v>162</v>
      </c>
      <c r="O1003">
        <v>262</v>
      </c>
      <c r="P1003">
        <v>0</v>
      </c>
      <c r="Q1003">
        <v>0.034</v>
      </c>
      <c r="R1003">
        <v>0</v>
      </c>
      <c r="S1003">
        <v>0</v>
      </c>
      <c r="T1003">
        <v>0</v>
      </c>
      <c r="U1003">
        <v>0</v>
      </c>
      <c r="V1003">
        <v>262</v>
      </c>
      <c r="W1003">
        <v>0</v>
      </c>
      <c r="X1003">
        <v>0</v>
      </c>
      <c r="Y1003">
        <v>0</v>
      </c>
      <c r="Z1003">
        <v>0</v>
      </c>
      <c r="AA1003">
        <v>3437</v>
      </c>
      <c r="AB1003">
        <v>1632</v>
      </c>
      <c r="AC1003">
        <v>115</v>
      </c>
      <c r="AD1003">
        <v>2.57</v>
      </c>
      <c r="AE1003">
        <v>1743</v>
      </c>
      <c r="AF1003">
        <v>0.034</v>
      </c>
      <c r="AG1003">
        <v>0</v>
      </c>
      <c r="AH1003">
        <v>0.516</v>
      </c>
      <c r="AI1003">
        <v>507.13</v>
      </c>
      <c r="AJ1003">
        <v>10.76</v>
      </c>
      <c r="AK1003">
        <v>0</v>
      </c>
      <c r="AL1003">
        <v>0</v>
      </c>
      <c r="AM1003">
        <v>0</v>
      </c>
      <c r="AN1003">
        <v>0</v>
      </c>
      <c r="AO1003">
        <v>0</v>
      </c>
      <c r="AP1003">
        <v>0.955</v>
      </c>
      <c r="AQ1003">
        <v>0.039</v>
      </c>
      <c r="AR1003">
        <v>0.069</v>
      </c>
      <c r="AS1003" s="3">
        <v>46107.776666666665</v>
      </c>
    </row>
    <row r="1004" ht="25.5" customHeight="1">
      <c r="A1004" t="inlineStr">
        <is>
          <t>61921f6a000000001000e154</t>
        </is>
      </c>
      <c r="B1004" s="2" t="str">
        <f>=HYPERLINK("https://www.xiaohongshu.com/user/profile/61921f6a000000001000e154", "https://www.xiaohongshu.com/user/profile/61921f6a000000001000e154")</f>
        <v>https://www.xiaohongshu.com/user/profile/61921f6a000000001000e154</v>
      </c>
      <c r="C1004" s="2" t="str">
        <f>=HYPERLINK("https://pgy.xiaohongshu.com/solar/pre-trade/blogger-detail/61921f6a000000001000e154", "https://pgy.xiaohongshu.com/solar/pre-trade/blogger-detail/61921f6a000000001000e154")</f>
        <v>https://pgy.xiaohongshu.com/solar/pre-trade/blogger-detail/61921f6a000000001000e154</v>
      </c>
      <c r="D1004" t="inlineStr">
        <is>
          <t>男</t>
        </is>
      </c>
      <c r="E1004" t="inlineStr">
        <is>
          <t>GJ267012</t>
        </is>
      </c>
      <c r="F1004" t="inlineStr">
        <is>
          <t>临竭而渔</t>
        </is>
      </c>
      <c r="G1004" t="inlineStr">
        <is>
          <t>天津</t>
        </is>
      </c>
      <c r="H1004" t="inlineStr">
        <is>
          <t>学生</t>
        </is>
      </c>
      <c r="I1004" t="inlineStr">
        <is>
          <t>教育</t>
        </is>
      </c>
      <c r="J1004">
        <v>6731</v>
      </c>
      <c r="K1004" t="inlineStr">
        <is>
          <t>0.7</t>
        </is>
      </c>
      <c r="L1004">
        <v>7043</v>
      </c>
      <c r="M1004">
        <v>1830</v>
      </c>
      <c r="N1004">
        <v>203</v>
      </c>
      <c r="O1004">
        <v>220</v>
      </c>
      <c r="P1004">
        <v>0</v>
      </c>
      <c r="Q1004">
        <v>0</v>
      </c>
      <c r="R1004">
        <v>7043</v>
      </c>
      <c r="S1004">
        <v>1830</v>
      </c>
      <c r="T1004">
        <v>114</v>
      </c>
      <c r="U1004">
        <v>0.42</v>
      </c>
      <c r="V1004">
        <v>220</v>
      </c>
      <c r="W1004">
        <v>0</v>
      </c>
      <c r="X1004">
        <v>0</v>
      </c>
      <c r="Y1004">
        <v>31.24</v>
      </c>
      <c r="Z1004">
        <v>1.08</v>
      </c>
      <c r="AA1004">
        <v>0</v>
      </c>
      <c r="AB1004">
        <v>0</v>
      </c>
      <c r="AC1004">
        <v>0</v>
      </c>
      <c r="AD1004">
        <v>0</v>
      </c>
      <c r="AE1004">
        <v>330</v>
      </c>
      <c r="AF1004">
        <v>0</v>
      </c>
      <c r="AG1004">
        <v>0</v>
      </c>
      <c r="AH1004">
        <v>0</v>
      </c>
      <c r="AI1004">
        <v>0</v>
      </c>
      <c r="AJ1004">
        <v>0</v>
      </c>
      <c r="AK1004">
        <v>0</v>
      </c>
      <c r="AL1004">
        <v>0</v>
      </c>
      <c r="AM1004">
        <v>0</v>
      </c>
      <c r="AN1004">
        <v>0</v>
      </c>
      <c r="AO1004">
        <v>0</v>
      </c>
      <c r="AP1004">
        <v>0.93</v>
      </c>
      <c r="AQ1004">
        <v>0.035</v>
      </c>
      <c r="AR1004">
        <v>0.054</v>
      </c>
      <c r="AS1004" s="3">
        <v>46107.776666666665</v>
      </c>
    </row>
    <row r="1005" ht="25.5" customHeight="1">
      <c r="A1005" t="inlineStr">
        <is>
          <t>5f4d021a0000000001002756</t>
        </is>
      </c>
      <c r="B1005" s="2" t="str">
        <f>=HYPERLINK("https://www.xiaohongshu.com/user/profile/5f4d021a0000000001002756", "https://www.xiaohongshu.com/user/profile/5f4d021a0000000001002756")</f>
        <v>https://www.xiaohongshu.com/user/profile/5f4d021a0000000001002756</v>
      </c>
      <c r="C1005" s="2" t="str">
        <f>=HYPERLINK("https://pgy.xiaohongshu.com/solar/pre-trade/blogger-detail/5f4d021a0000000001002756", "https://pgy.xiaohongshu.com/solar/pre-trade/blogger-detail/5f4d021a0000000001002756")</f>
        <v>https://pgy.xiaohongshu.com/solar/pre-trade/blogger-detail/5f4d021a0000000001002756</v>
      </c>
      <c r="D1005" t="inlineStr">
        <is>
          <t>男</t>
        </is>
      </c>
      <c r="E1005" t="inlineStr">
        <is>
          <t>yinchen7758258</t>
        </is>
      </c>
      <c r="F1005" t="inlineStr">
        <is>
          <t>阿杰学长（历史&amp;区域国别）</t>
        </is>
      </c>
      <c r="G1005" t="inlineStr">
        <is>
          <t>云南 临沧 沧源佤族自治县</t>
        </is>
      </c>
      <c r="H1005"/>
      <c r="I1005" t="inlineStr">
        <is>
          <t>教育</t>
        </is>
      </c>
      <c r="J1005">
        <v>1144</v>
      </c>
      <c r="K1005" t="inlineStr">
        <is>
          <t>0.1</t>
        </is>
      </c>
      <c r="L1005">
        <v>9470</v>
      </c>
      <c r="M1005">
        <v>1980</v>
      </c>
      <c r="N1005">
        <v>152</v>
      </c>
      <c r="O1005">
        <v>200</v>
      </c>
      <c r="P1005">
        <v>0.083</v>
      </c>
      <c r="Q1005">
        <v>0.25</v>
      </c>
      <c r="R1005">
        <v>9470</v>
      </c>
      <c r="S1005">
        <v>1980</v>
      </c>
      <c r="T1005">
        <v>86</v>
      </c>
      <c r="U1005">
        <v>0.4</v>
      </c>
      <c r="V1005">
        <v>200</v>
      </c>
      <c r="W1005">
        <v>0.25</v>
      </c>
      <c r="X1005">
        <v>0.083</v>
      </c>
      <c r="Y1005">
        <v>21.12</v>
      </c>
      <c r="Z1005">
        <v>1.31</v>
      </c>
      <c r="AA1005">
        <v>0</v>
      </c>
      <c r="AB1005">
        <v>0</v>
      </c>
      <c r="AC1005">
        <v>0</v>
      </c>
      <c r="AD1005">
        <v>0</v>
      </c>
      <c r="AE1005">
        <v>400</v>
      </c>
      <c r="AF1005">
        <v>0</v>
      </c>
      <c r="AG1005">
        <v>0</v>
      </c>
      <c r="AH1005">
        <v>0</v>
      </c>
      <c r="AI1005">
        <v>0</v>
      </c>
      <c r="AJ1005">
        <v>0</v>
      </c>
      <c r="AK1005">
        <v>0</v>
      </c>
      <c r="AL1005">
        <v>0</v>
      </c>
      <c r="AM1005">
        <v>0</v>
      </c>
      <c r="AN1005">
        <v>0</v>
      </c>
      <c r="AO1005">
        <v>0</v>
      </c>
      <c r="AP1005">
        <v>0.89</v>
      </c>
      <c r="AQ1005">
        <v>0.104</v>
      </c>
      <c r="AR1005">
        <v>0</v>
      </c>
      <c r="AS1005" s="3">
        <v>46107.776666666665</v>
      </c>
    </row>
    <row r="1006" ht="25.5" customHeight="1">
      <c r="A1006" t="inlineStr">
        <is>
          <t>62b1f0ac000000001b024097</t>
        </is>
      </c>
      <c r="B1006" s="2" t="str">
        <f>=HYPERLINK("https://www.xiaohongshu.com/user/profile/62b1f0ac000000001b024097", "https://www.xiaohongshu.com/user/profile/62b1f0ac000000001b024097")</f>
        <v>https://www.xiaohongshu.com/user/profile/62b1f0ac000000001b024097</v>
      </c>
      <c r="C1006" s="2" t="str">
        <f>=HYPERLINK("https://pgy.xiaohongshu.com/solar/pre-trade/blogger-detail/62b1f0ac000000001b024097", "https://pgy.xiaohongshu.com/solar/pre-trade/blogger-detail/62b1f0ac000000001b024097")</f>
        <v>https://pgy.xiaohongshu.com/solar/pre-trade/blogger-detail/62b1f0ac000000001b024097</v>
      </c>
      <c r="D1006" t="inlineStr">
        <is>
          <t>女</t>
        </is>
      </c>
      <c r="E1006" t="inlineStr">
        <is>
          <t>5674582608</t>
        </is>
      </c>
      <c r="F1006" t="inlineStr">
        <is>
          <t>我想变成树</t>
        </is>
      </c>
      <c r="G1006" t="inlineStr">
        <is>
          <t>重庆</t>
        </is>
      </c>
      <c r="H1006" t="inlineStr">
        <is>
          <t>考研过来人, 学生</t>
        </is>
      </c>
      <c r="I1006" t="inlineStr">
        <is>
          <t>教育</t>
        </is>
      </c>
      <c r="J1006">
        <v>1257</v>
      </c>
      <c r="K1006" t="inlineStr">
        <is>
          <t>0.1</t>
        </is>
      </c>
      <c r="L1006">
        <v>4833</v>
      </c>
      <c r="M1006">
        <v>737</v>
      </c>
      <c r="N1006">
        <v>122</v>
      </c>
      <c r="O1006">
        <v>229</v>
      </c>
      <c r="P1006">
        <v>0.023</v>
      </c>
      <c r="Q1006">
        <v>0.372</v>
      </c>
      <c r="R1006">
        <v>5300</v>
      </c>
      <c r="S1006">
        <v>762</v>
      </c>
      <c r="T1006">
        <v>121</v>
      </c>
      <c r="U1006">
        <v>0.6</v>
      </c>
      <c r="V1006">
        <v>229</v>
      </c>
      <c r="W1006">
        <v>0.372</v>
      </c>
      <c r="X1006">
        <v>0.023</v>
      </c>
      <c r="Y1006">
        <v>43.21</v>
      </c>
      <c r="Z1006">
        <v>1.68</v>
      </c>
      <c r="AA1006">
        <v>0</v>
      </c>
      <c r="AB1006">
        <v>0</v>
      </c>
      <c r="AC1006">
        <v>0</v>
      </c>
      <c r="AD1006">
        <v>0</v>
      </c>
      <c r="AE1006">
        <v>0</v>
      </c>
      <c r="AF1006">
        <v>0</v>
      </c>
      <c r="AG1006">
        <v>0</v>
      </c>
      <c r="AH1006">
        <v>0</v>
      </c>
      <c r="AI1006">
        <v>0</v>
      </c>
      <c r="AJ1006">
        <v>0</v>
      </c>
      <c r="AK1006">
        <v>0</v>
      </c>
      <c r="AL1006">
        <v>0</v>
      </c>
      <c r="AM1006">
        <v>0</v>
      </c>
      <c r="AN1006">
        <v>0</v>
      </c>
      <c r="AO1006">
        <v>0</v>
      </c>
      <c r="AP1006">
        <v>0.94</v>
      </c>
      <c r="AQ1006">
        <v>0.536</v>
      </c>
      <c r="AR1006">
        <v>0</v>
      </c>
      <c r="AS1006" s="3">
        <v>46107.776666666665</v>
      </c>
    </row>
    <row r="1007" ht="25.5" customHeight="1">
      <c r="A1007" t="inlineStr">
        <is>
          <t>6216f27400000000100058c4</t>
        </is>
      </c>
      <c r="B1007" s="2" t="str">
        <f>=HYPERLINK("https://www.xiaohongshu.com/user/profile/6216f27400000000100058c4", "https://www.xiaohongshu.com/user/profile/6216f27400000000100058c4")</f>
        <v>https://www.xiaohongshu.com/user/profile/6216f27400000000100058c4</v>
      </c>
      <c r="C1007" s="2" t="str">
        <f>=HYPERLINK("https://pgy.xiaohongshu.com/solar/pre-trade/blogger-detail/6216f27400000000100058c4", "https://pgy.xiaohongshu.com/solar/pre-trade/blogger-detail/6216f27400000000100058c4")</f>
        <v>https://pgy.xiaohongshu.com/solar/pre-trade/blogger-detail/6216f27400000000100058c4</v>
      </c>
      <c r="D1007" t="inlineStr">
        <is>
          <t>男</t>
        </is>
      </c>
      <c r="E1007" t="inlineStr">
        <is>
          <t>a18253805985</t>
        </is>
      </c>
      <c r="F1007" t="inlineStr">
        <is>
          <t>大大大胖橘</t>
        </is>
      </c>
      <c r="G1007" t="inlineStr">
        <is>
          <t>天津</t>
        </is>
      </c>
      <c r="H1007" t="inlineStr">
        <is>
          <t>考研过来人, 学生</t>
        </is>
      </c>
      <c r="I1007" t="inlineStr">
        <is>
          <t>教育</t>
        </is>
      </c>
      <c r="J1007">
        <v>1738</v>
      </c>
      <c r="K1007" t="inlineStr">
        <is>
          <t>0.2</t>
        </is>
      </c>
      <c r="L1007">
        <v>6267</v>
      </c>
      <c r="M1007">
        <v>1653</v>
      </c>
      <c r="N1007">
        <v>117</v>
      </c>
      <c r="O1007">
        <v>216</v>
      </c>
      <c r="P1007">
        <v>0</v>
      </c>
      <c r="Q1007">
        <v>0</v>
      </c>
      <c r="R1007">
        <v>6267</v>
      </c>
      <c r="S1007">
        <v>1653</v>
      </c>
      <c r="T1007">
        <v>69</v>
      </c>
      <c r="U1007">
        <v>0.43</v>
      </c>
      <c r="V1007">
        <v>216</v>
      </c>
      <c r="W1007">
        <v>0</v>
      </c>
      <c r="X1007">
        <v>0</v>
      </c>
      <c r="Y1007">
        <v>34.47</v>
      </c>
      <c r="Z1007">
        <v>1.85</v>
      </c>
      <c r="AA1007">
        <v>0</v>
      </c>
      <c r="AB1007">
        <v>0</v>
      </c>
      <c r="AC1007">
        <v>0</v>
      </c>
      <c r="AD1007">
        <v>0</v>
      </c>
      <c r="AE1007">
        <v>396</v>
      </c>
      <c r="AF1007">
        <v>0</v>
      </c>
      <c r="AG1007">
        <v>0</v>
      </c>
      <c r="AH1007">
        <v>0</v>
      </c>
      <c r="AI1007">
        <v>0</v>
      </c>
      <c r="AJ1007">
        <v>0</v>
      </c>
      <c r="AK1007">
        <v>0</v>
      </c>
      <c r="AL1007">
        <v>0</v>
      </c>
      <c r="AM1007">
        <v>0</v>
      </c>
      <c r="AN1007">
        <v>0</v>
      </c>
      <c r="AO1007">
        <v>0</v>
      </c>
      <c r="AP1007">
        <v>0.869</v>
      </c>
      <c r="AQ1007">
        <v>0.074</v>
      </c>
      <c r="AR1007">
        <v>0.306</v>
      </c>
      <c r="AS1007" s="3">
        <v>46107.776666666665</v>
      </c>
    </row>
    <row r="1008" ht="25.5" customHeight="1">
      <c r="A1008" t="inlineStr">
        <is>
          <t>691b3127000000003700b730</t>
        </is>
      </c>
      <c r="B1008" s="2" t="str">
        <f>=HYPERLINK("https://www.xiaohongshu.com/user/profile/691b3127000000003700b730", "https://www.xiaohongshu.com/user/profile/691b3127000000003700b730")</f>
        <v>https://www.xiaohongshu.com/user/profile/691b3127000000003700b730</v>
      </c>
      <c r="C1008" s="2" t="str">
        <f>=HYPERLINK("https://pgy.xiaohongshu.com/solar/pre-trade/blogger-detail/691b3127000000003700b730", "https://pgy.xiaohongshu.com/solar/pre-trade/blogger-detail/691b3127000000003700b730")</f>
        <v>https://pgy.xiaohongshu.com/solar/pre-trade/blogger-detail/691b3127000000003700b730</v>
      </c>
      <c r="D1008" t="inlineStr">
        <is>
          <t>男</t>
        </is>
      </c>
      <c r="E1008" t="inlineStr">
        <is>
          <t>42095436371</t>
        </is>
      </c>
      <c r="F1008" t="inlineStr">
        <is>
          <t>Sunday梦想家🏡</t>
        </is>
      </c>
      <c r="G1008" t="inlineStr">
        <is>
          <t>山东 青岛 莱西市</t>
        </is>
      </c>
      <c r="H1008"/>
      <c r="I1008" t="inlineStr">
        <is>
          <t>教育</t>
        </is>
      </c>
      <c r="J1008">
        <v>1514</v>
      </c>
      <c r="K1008" t="inlineStr">
        <is>
          <t>0.2</t>
        </is>
      </c>
      <c r="L1008">
        <v>4989</v>
      </c>
      <c r="M1008">
        <v>388</v>
      </c>
      <c r="N1008">
        <v>158</v>
      </c>
      <c r="O1008">
        <v>300</v>
      </c>
      <c r="P1008">
        <v>0</v>
      </c>
      <c r="Q1008">
        <v>0.5</v>
      </c>
      <c r="R1008">
        <v>4989</v>
      </c>
      <c r="S1008">
        <v>388</v>
      </c>
      <c r="T1008">
        <v>148</v>
      </c>
      <c r="U1008">
        <v>1.07</v>
      </c>
      <c r="V1008">
        <v>300</v>
      </c>
      <c r="W1008">
        <v>0.5</v>
      </c>
      <c r="X1008">
        <v>0</v>
      </c>
      <c r="Y1008">
        <v>60.13</v>
      </c>
      <c r="Z1008">
        <v>1.89</v>
      </c>
      <c r="AA1008">
        <v>0</v>
      </c>
      <c r="AB1008">
        <v>0</v>
      </c>
      <c r="AC1008">
        <v>0</v>
      </c>
      <c r="AD1008">
        <v>0</v>
      </c>
      <c r="AE1008">
        <v>500</v>
      </c>
      <c r="AF1008">
        <v>0</v>
      </c>
      <c r="AG1008">
        <v>0</v>
      </c>
      <c r="AH1008">
        <v>0</v>
      </c>
      <c r="AI1008">
        <v>0</v>
      </c>
      <c r="AJ1008">
        <v>0</v>
      </c>
      <c r="AK1008">
        <v>0</v>
      </c>
      <c r="AL1008">
        <v>0</v>
      </c>
      <c r="AM1008">
        <v>0</v>
      </c>
      <c r="AN1008">
        <v>0</v>
      </c>
      <c r="AO1008">
        <v>0</v>
      </c>
      <c r="AP1008">
        <v>0.976</v>
      </c>
      <c r="AQ1008">
        <v>0.144</v>
      </c>
      <c r="AR1008">
        <v>0</v>
      </c>
      <c r="AS1008" s="3">
        <v>46107.776666666665</v>
      </c>
    </row>
    <row r="1009" ht="25.5" customHeight="1">
      <c r="A1009" t="inlineStr">
        <is>
          <t>659d3f9d0000000022017e16</t>
        </is>
      </c>
      <c r="B1009" s="2" t="str">
        <f>=HYPERLINK("https://www.xiaohongshu.com/user/profile/659d3f9d0000000022017e16", "https://www.xiaohongshu.com/user/profile/659d3f9d0000000022017e16")</f>
        <v>https://www.xiaohongshu.com/user/profile/659d3f9d0000000022017e16</v>
      </c>
      <c r="C1009" s="2" t="str">
        <f>=HYPERLINK("https://pgy.xiaohongshu.com/solar/pre-trade/blogger-detail/659d3f9d0000000022017e16", "https://pgy.xiaohongshu.com/solar/pre-trade/blogger-detail/659d3f9d0000000022017e16")</f>
        <v>https://pgy.xiaohongshu.com/solar/pre-trade/blogger-detail/659d3f9d0000000022017e16</v>
      </c>
      <c r="D1009" t="inlineStr">
        <is>
          <t>女</t>
        </is>
      </c>
      <c r="E1009" t="inlineStr">
        <is>
          <t>8281856728</t>
        </is>
      </c>
      <c r="F1009" t="inlineStr">
        <is>
          <t>请叫我沐亚</t>
        </is>
      </c>
      <c r="G1009" t="inlineStr">
        <is>
          <t>甘肃 兰州 城关区</t>
        </is>
      </c>
      <c r="H1009" t="inlineStr">
        <is>
          <t>考研过来人, 法考过来人, 学生</t>
        </is>
      </c>
      <c r="I1009" t="inlineStr">
        <is>
          <t>教育</t>
        </is>
      </c>
      <c r="J1009">
        <v>1438</v>
      </c>
      <c r="K1009" t="inlineStr">
        <is>
          <t>0.1</t>
        </is>
      </c>
      <c r="L1009">
        <v>9075</v>
      </c>
      <c r="M1009">
        <v>1125</v>
      </c>
      <c r="N1009">
        <v>215</v>
      </c>
      <c r="O1009">
        <v>150</v>
      </c>
      <c r="P1009">
        <v>0.111</v>
      </c>
      <c r="Q1009">
        <v>0.556</v>
      </c>
      <c r="R1009">
        <v>1677</v>
      </c>
      <c r="S1009">
        <v>284</v>
      </c>
      <c r="T1009">
        <v>37</v>
      </c>
      <c r="U1009">
        <v>0.83</v>
      </c>
      <c r="V1009">
        <v>150</v>
      </c>
      <c r="W1009">
        <v>0</v>
      </c>
      <c r="X1009">
        <v>0</v>
      </c>
      <c r="Y1009">
        <v>89.45</v>
      </c>
      <c r="Z1009">
        <v>3.53</v>
      </c>
      <c r="AA1009">
        <v>13069</v>
      </c>
      <c r="AB1009">
        <v>2266</v>
      </c>
      <c r="AC1009">
        <v>299</v>
      </c>
      <c r="AD1009">
        <v>1.59</v>
      </c>
      <c r="AE1009">
        <v>200</v>
      </c>
      <c r="AF1009">
        <v>0.714</v>
      </c>
      <c r="AG1009">
        <v>0.143</v>
      </c>
      <c r="AH1009">
        <v>0.05</v>
      </c>
      <c r="AI1009">
        <v>15.3</v>
      </c>
      <c r="AJ1009">
        <v>0.61</v>
      </c>
      <c r="AK1009">
        <v>0</v>
      </c>
      <c r="AL1009">
        <v>0</v>
      </c>
      <c r="AM1009">
        <v>0</v>
      </c>
      <c r="AN1009">
        <v>0</v>
      </c>
      <c r="AO1009">
        <v>0</v>
      </c>
      <c r="AP1009">
        <v>0.899</v>
      </c>
      <c r="AQ1009">
        <v>0.214</v>
      </c>
      <c r="AR1009">
        <v>0.453999999999999</v>
      </c>
      <c r="AS1009" s="3">
        <v>46107.776666666665</v>
      </c>
    </row>
    <row r="1010" ht="25.5" customHeight="1">
      <c r="A1010" t="inlineStr">
        <is>
          <t>68aee301000000001901bcc9</t>
        </is>
      </c>
      <c r="B1010" s="2" t="str">
        <f>=HYPERLINK("https://www.xiaohongshu.com/user/profile/68aee301000000001901bcc9", "https://www.xiaohongshu.com/user/profile/68aee301000000001901bcc9")</f>
        <v>https://www.xiaohongshu.com/user/profile/68aee301000000001901bcc9</v>
      </c>
      <c r="C1010" s="2" t="str">
        <f>=HYPERLINK("https://pgy.xiaohongshu.com/solar/pre-trade/blogger-detail/68aee301000000001901bcc9", "https://pgy.xiaohongshu.com/solar/pre-trade/blogger-detail/68aee301000000001901bcc9")</f>
        <v>https://pgy.xiaohongshu.com/solar/pre-trade/blogger-detail/68aee301000000001901bcc9</v>
      </c>
      <c r="D1010" t="inlineStr">
        <is>
          <t>男</t>
        </is>
      </c>
      <c r="E1010" t="inlineStr">
        <is>
          <t>26842554056</t>
        </is>
      </c>
      <c r="F1010" t="inlineStr">
        <is>
          <t>每日英语学</t>
        </is>
      </c>
      <c r="G1010" t="inlineStr">
        <is>
          <t>安徽 蚌埠 五河县</t>
        </is>
      </c>
      <c r="H1010"/>
      <c r="I1010" t="inlineStr">
        <is>
          <t>教育</t>
        </is>
      </c>
      <c r="J1010">
        <v>9309</v>
      </c>
      <c r="K1010" t="inlineStr">
        <is>
          <t>0.9</t>
        </is>
      </c>
      <c r="L1010">
        <v>2880</v>
      </c>
      <c r="M1010">
        <v>1376</v>
      </c>
      <c r="N1010">
        <v>135</v>
      </c>
      <c r="O1010">
        <v>120</v>
      </c>
      <c r="P1010">
        <v>0</v>
      </c>
      <c r="Q1010">
        <v>0.091</v>
      </c>
      <c r="R1010">
        <v>0</v>
      </c>
      <c r="S1010">
        <v>0</v>
      </c>
      <c r="T1010">
        <v>0</v>
      </c>
      <c r="U1010">
        <v>0</v>
      </c>
      <c r="V1010">
        <v>120</v>
      </c>
      <c r="W1010">
        <v>0</v>
      </c>
      <c r="X1010">
        <v>0</v>
      </c>
      <c r="Y1010">
        <v>0</v>
      </c>
      <c r="Z1010">
        <v>0</v>
      </c>
      <c r="AA1010">
        <v>2880</v>
      </c>
      <c r="AB1010">
        <v>1376</v>
      </c>
      <c r="AC1010">
        <v>72</v>
      </c>
      <c r="AD1010">
        <v>0</v>
      </c>
      <c r="AE1010">
        <v>0</v>
      </c>
      <c r="AF1010">
        <v>0.091</v>
      </c>
      <c r="AG1010">
        <v>0</v>
      </c>
      <c r="AH1010">
        <v>0.534</v>
      </c>
      <c r="AI1010">
        <v>0</v>
      </c>
      <c r="AJ1010">
        <v>0</v>
      </c>
      <c r="AK1010">
        <v>0</v>
      </c>
      <c r="AL1010">
        <v>0</v>
      </c>
      <c r="AM1010">
        <v>0</v>
      </c>
      <c r="AN1010">
        <v>0</v>
      </c>
      <c r="AO1010">
        <v>0</v>
      </c>
      <c r="AP1010">
        <v>0.952</v>
      </c>
      <c r="AQ1010">
        <v>0.092</v>
      </c>
      <c r="AR1010">
        <v>0.366</v>
      </c>
      <c r="AS1010" s="3">
        <v>46107.776666666665</v>
      </c>
    </row>
    <row r="1011" ht="25.5" customHeight="1">
      <c r="A1011" t="inlineStr">
        <is>
          <t>635fb130000000001802cbdf</t>
        </is>
      </c>
      <c r="B1011" s="2" t="str">
        <f>=HYPERLINK("https://www.xiaohongshu.com/user/profile/635fb130000000001802cbdf", "https://www.xiaohongshu.com/user/profile/635fb130000000001802cbdf")</f>
        <v>https://www.xiaohongshu.com/user/profile/635fb130000000001802cbdf</v>
      </c>
      <c r="C1011" s="2" t="str">
        <f>=HYPERLINK("https://pgy.xiaohongshu.com/solar/pre-trade/blogger-detail/635fb130000000001802cbdf", "https://pgy.xiaohongshu.com/solar/pre-trade/blogger-detail/635fb130000000001802cbdf")</f>
        <v>https://pgy.xiaohongshu.com/solar/pre-trade/blogger-detail/635fb130000000001802cbdf</v>
      </c>
      <c r="D1011" t="inlineStr">
        <is>
          <t>男</t>
        </is>
      </c>
      <c r="E1011" t="inlineStr">
        <is>
          <t>4171830744</t>
        </is>
      </c>
      <c r="F1011" t="inlineStr">
        <is>
          <t>略懂民商法的小菜鸟</t>
        </is>
      </c>
      <c r="G1011" t="inlineStr">
        <is>
          <t>北京</t>
        </is>
      </c>
      <c r="H1011" t="inlineStr">
        <is>
          <t>学生</t>
        </is>
      </c>
      <c r="I1011" t="inlineStr">
        <is>
          <t>教育</t>
        </is>
      </c>
      <c r="J1011">
        <v>6627</v>
      </c>
      <c r="K1011" t="inlineStr">
        <is>
          <t>0.7</t>
        </is>
      </c>
      <c r="L1011">
        <v>10153</v>
      </c>
      <c r="M1011">
        <v>2082</v>
      </c>
      <c r="N1011">
        <v>156</v>
      </c>
      <c r="O1011">
        <v>438</v>
      </c>
      <c r="P1011">
        <v>0.125</v>
      </c>
      <c r="Q1011">
        <v>0.375</v>
      </c>
      <c r="R1011">
        <v>10153</v>
      </c>
      <c r="S1011">
        <v>2082</v>
      </c>
      <c r="T1011">
        <v>129</v>
      </c>
      <c r="U1011">
        <v>0.51</v>
      </c>
      <c r="V1011">
        <v>438</v>
      </c>
      <c r="W1011">
        <v>0.375</v>
      </c>
      <c r="X1011">
        <v>0.125</v>
      </c>
      <c r="Y1011">
        <v>43.14</v>
      </c>
      <c r="Z1011">
        <v>2.81</v>
      </c>
      <c r="AA1011">
        <v>0</v>
      </c>
      <c r="AB1011">
        <v>0</v>
      </c>
      <c r="AC1011">
        <v>0</v>
      </c>
      <c r="AD1011">
        <v>0</v>
      </c>
      <c r="AE1011">
        <v>730</v>
      </c>
      <c r="AF1011">
        <v>0</v>
      </c>
      <c r="AG1011">
        <v>0</v>
      </c>
      <c r="AH1011">
        <v>0</v>
      </c>
      <c r="AI1011">
        <v>0</v>
      </c>
      <c r="AJ1011">
        <v>0</v>
      </c>
      <c r="AK1011">
        <v>0</v>
      </c>
      <c r="AL1011">
        <v>0</v>
      </c>
      <c r="AM1011">
        <v>0</v>
      </c>
      <c r="AN1011">
        <v>0</v>
      </c>
      <c r="AO1011">
        <v>0</v>
      </c>
      <c r="AP1011">
        <v>0.895999999999999</v>
      </c>
      <c r="AQ1011">
        <v>0.072</v>
      </c>
      <c r="AR1011">
        <v>0.042</v>
      </c>
      <c r="AS1011" s="3">
        <v>46107.776666666665</v>
      </c>
    </row>
    <row r="1012" ht="25.5" customHeight="1">
      <c r="A1012" t="inlineStr">
        <is>
          <t>5d09e8a50000000016008e51</t>
        </is>
      </c>
      <c r="B1012" s="2" t="str">
        <f>=HYPERLINK("https://www.xiaohongshu.com/user/profile/5d09e8a50000000016008e51", "https://www.xiaohongshu.com/user/profile/5d09e8a50000000016008e51")</f>
        <v>https://www.xiaohongshu.com/user/profile/5d09e8a50000000016008e51</v>
      </c>
      <c r="C1012" s="2" t="str">
        <f>=HYPERLINK("https://pgy.xiaohongshu.com/solar/pre-trade/blogger-detail/5d09e8a50000000016008e51", "https://pgy.xiaohongshu.com/solar/pre-trade/blogger-detail/5d09e8a50000000016008e51")</f>
        <v>https://pgy.xiaohongshu.com/solar/pre-trade/blogger-detail/5d09e8a50000000016008e51</v>
      </c>
      <c r="D1012" t="inlineStr">
        <is>
          <t>女</t>
        </is>
      </c>
      <c r="E1012" t="inlineStr">
        <is>
          <t>779625943</t>
        </is>
      </c>
      <c r="F1012" t="inlineStr">
        <is>
          <t>Lily是安然呀</t>
        </is>
      </c>
      <c r="G1012" t="inlineStr">
        <is>
          <t>四川 广元 利州区</t>
        </is>
      </c>
      <c r="H1012" t="inlineStr">
        <is>
          <t>妈妈, 萌娃, 家庭</t>
        </is>
      </c>
      <c r="I1012" t="inlineStr">
        <is>
          <t>教育</t>
        </is>
      </c>
      <c r="J1012">
        <v>8770</v>
      </c>
      <c r="K1012" t="inlineStr">
        <is>
          <t>0.9</t>
        </is>
      </c>
      <c r="L1012">
        <v>4672</v>
      </c>
      <c r="M1012">
        <v>1425</v>
      </c>
      <c r="N1012">
        <v>225</v>
      </c>
      <c r="O1012">
        <v>193</v>
      </c>
      <c r="P1012">
        <v>0</v>
      </c>
      <c r="Q1012">
        <v>0.5</v>
      </c>
      <c r="R1012">
        <v>0</v>
      </c>
      <c r="S1012">
        <v>0</v>
      </c>
      <c r="T1012">
        <v>0</v>
      </c>
      <c r="U1012">
        <v>0</v>
      </c>
      <c r="V1012">
        <v>193</v>
      </c>
      <c r="W1012">
        <v>0</v>
      </c>
      <c r="X1012">
        <v>0</v>
      </c>
      <c r="Y1012">
        <v>0</v>
      </c>
      <c r="Z1012">
        <v>0</v>
      </c>
      <c r="AA1012">
        <v>4672</v>
      </c>
      <c r="AB1012">
        <v>1425</v>
      </c>
      <c r="AC1012">
        <v>193</v>
      </c>
      <c r="AD1012">
        <v>2.08</v>
      </c>
      <c r="AE1012">
        <v>831</v>
      </c>
      <c r="AF1012">
        <v>0.5</v>
      </c>
      <c r="AG1012">
        <v>0</v>
      </c>
      <c r="AH1012">
        <v>0.205</v>
      </c>
      <c r="AI1012">
        <v>177.85</v>
      </c>
      <c r="AJ1012">
        <v>3.69</v>
      </c>
      <c r="AK1012">
        <v>0</v>
      </c>
      <c r="AL1012">
        <v>0</v>
      </c>
      <c r="AM1012">
        <v>0</v>
      </c>
      <c r="AN1012">
        <v>0</v>
      </c>
      <c r="AO1012">
        <v>0</v>
      </c>
      <c r="AP1012">
        <v>0.957</v>
      </c>
      <c r="AQ1012">
        <v>0.015</v>
      </c>
      <c r="AR1012">
        <v>0.001</v>
      </c>
      <c r="AS1012" s="3">
        <v>46107.776666666665</v>
      </c>
    </row>
    <row r="1013" ht="25.5" customHeight="1">
      <c r="A1013" t="inlineStr">
        <is>
          <t>64d6e8cf0000000002010578</t>
        </is>
      </c>
      <c r="B1013" s="2" t="str">
        <f>=HYPERLINK("https://www.xiaohongshu.com/user/profile/64d6e8cf0000000002010578", "https://www.xiaohongshu.com/user/profile/64d6e8cf0000000002010578")</f>
        <v>https://www.xiaohongshu.com/user/profile/64d6e8cf0000000002010578</v>
      </c>
      <c r="C1013" s="2" t="str">
        <f>=HYPERLINK("https://pgy.xiaohongshu.com/solar/pre-trade/blogger-detail/64d6e8cf0000000002010578", "https://pgy.xiaohongshu.com/solar/pre-trade/blogger-detail/64d6e8cf0000000002010578")</f>
        <v>https://pgy.xiaohongshu.com/solar/pre-trade/blogger-detail/64d6e8cf0000000002010578</v>
      </c>
      <c r="D1013" t="inlineStr">
        <is>
          <t>女</t>
        </is>
      </c>
      <c r="E1013" t="inlineStr">
        <is>
          <t>dalixuezhang100</t>
        </is>
      </c>
      <c r="F1013" t="inlineStr">
        <is>
          <t>羊村的大灰狼</t>
        </is>
      </c>
      <c r="G1013" t="inlineStr">
        <is>
          <t>山东 济宁 曲阜市</t>
        </is>
      </c>
      <c r="H1013" t="inlineStr">
        <is>
          <t>学生</t>
        </is>
      </c>
      <c r="I1013" t="inlineStr">
        <is>
          <t>教育</t>
        </is>
      </c>
      <c r="J1013">
        <v>3768</v>
      </c>
      <c r="K1013" t="inlineStr">
        <is>
          <t>0.4</t>
        </is>
      </c>
      <c r="L1013">
        <v>11070</v>
      </c>
      <c r="M1013">
        <v>1866</v>
      </c>
      <c r="N1013">
        <v>284</v>
      </c>
      <c r="O1013">
        <v>130</v>
      </c>
      <c r="P1013">
        <v>0.071</v>
      </c>
      <c r="Q1013">
        <v>0.785999999999999</v>
      </c>
      <c r="R1013">
        <v>11070</v>
      </c>
      <c r="S1013">
        <v>1866</v>
      </c>
      <c r="T1013">
        <v>245</v>
      </c>
      <c r="U1013">
        <v>0.37</v>
      </c>
      <c r="V1013">
        <v>130</v>
      </c>
      <c r="W1013">
        <v>0.785999999999999</v>
      </c>
      <c r="X1013">
        <v>0.071</v>
      </c>
      <c r="Y1013">
        <v>11.74</v>
      </c>
      <c r="Z1013">
        <v>0.46</v>
      </c>
      <c r="AA1013">
        <v>0</v>
      </c>
      <c r="AB1013">
        <v>0</v>
      </c>
      <c r="AC1013">
        <v>0</v>
      </c>
      <c r="AD1013">
        <v>0</v>
      </c>
      <c r="AE1013">
        <v>219</v>
      </c>
      <c r="AF1013">
        <v>0</v>
      </c>
      <c r="AG1013">
        <v>0</v>
      </c>
      <c r="AH1013">
        <v>0</v>
      </c>
      <c r="AI1013">
        <v>0</v>
      </c>
      <c r="AJ1013">
        <v>0</v>
      </c>
      <c r="AK1013">
        <v>0</v>
      </c>
      <c r="AL1013">
        <v>0</v>
      </c>
      <c r="AM1013">
        <v>0</v>
      </c>
      <c r="AN1013">
        <v>0</v>
      </c>
      <c r="AO1013">
        <v>0</v>
      </c>
      <c r="AP1013">
        <v>0.799</v>
      </c>
      <c r="AQ1013">
        <v>0.133</v>
      </c>
      <c r="AR1013">
        <v>0.147</v>
      </c>
      <c r="AS1013" s="3">
        <v>46107.776666666665</v>
      </c>
    </row>
    <row r="1014" ht="25.5" customHeight="1">
      <c r="A1014" t="inlineStr">
        <is>
          <t>5e6cebc30000000001008d6e</t>
        </is>
      </c>
      <c r="B1014" s="2" t="str">
        <f>=HYPERLINK("https://www.xiaohongshu.com/user/profile/5e6cebc30000000001008d6e", "https://www.xiaohongshu.com/user/profile/5e6cebc30000000001008d6e")</f>
        <v>https://www.xiaohongshu.com/user/profile/5e6cebc30000000001008d6e</v>
      </c>
      <c r="C1014" s="2" t="str">
        <f>=HYPERLINK("https://pgy.xiaohongshu.com/solar/pre-trade/blogger-detail/5e6cebc30000000001008d6e", "https://pgy.xiaohongshu.com/solar/pre-trade/blogger-detail/5e6cebc30000000001008d6e")</f>
        <v>https://pgy.xiaohongshu.com/solar/pre-trade/blogger-detail/5e6cebc30000000001008d6e</v>
      </c>
      <c r="D1014" t="inlineStr">
        <is>
          <t>女</t>
        </is>
      </c>
      <c r="E1014" t="inlineStr">
        <is>
          <t>909533376</t>
        </is>
      </c>
      <c r="F1014" t="inlineStr">
        <is>
          <t>松子麻麻</t>
        </is>
      </c>
      <c r="G1014" t="inlineStr">
        <is>
          <t>山东 临沂 兰山区</t>
        </is>
      </c>
      <c r="H1014" t="inlineStr">
        <is>
          <t>妈妈</t>
        </is>
      </c>
      <c r="I1014" t="inlineStr">
        <is>
          <t>教育</t>
        </is>
      </c>
      <c r="J1014">
        <v>2175</v>
      </c>
      <c r="K1014" t="inlineStr">
        <is>
          <t>0.2</t>
        </is>
      </c>
      <c r="L1014">
        <v>1441</v>
      </c>
      <c r="M1014">
        <v>1020</v>
      </c>
      <c r="N1014">
        <v>125</v>
      </c>
      <c r="O1014">
        <v>165</v>
      </c>
      <c r="P1014">
        <v>0.059</v>
      </c>
      <c r="Q1014">
        <v>0.118</v>
      </c>
      <c r="R1014">
        <v>0</v>
      </c>
      <c r="S1014">
        <v>0</v>
      </c>
      <c r="T1014">
        <v>0</v>
      </c>
      <c r="U1014">
        <v>0</v>
      </c>
      <c r="V1014">
        <v>165</v>
      </c>
      <c r="W1014">
        <v>0</v>
      </c>
      <c r="X1014">
        <v>0</v>
      </c>
      <c r="Y1014">
        <v>0</v>
      </c>
      <c r="Z1014">
        <v>0</v>
      </c>
      <c r="AA1014">
        <v>1441</v>
      </c>
      <c r="AB1014">
        <v>1020</v>
      </c>
      <c r="AC1014">
        <v>106</v>
      </c>
      <c r="AD1014">
        <v>1.74</v>
      </c>
      <c r="AE1014">
        <v>240</v>
      </c>
      <c r="AF1014">
        <v>0.118</v>
      </c>
      <c r="AG1014">
        <v>0.059</v>
      </c>
      <c r="AH1014">
        <v>0.236</v>
      </c>
      <c r="AI1014">
        <v>166.55</v>
      </c>
      <c r="AJ1014">
        <v>1.92</v>
      </c>
      <c r="AK1014">
        <v>0</v>
      </c>
      <c r="AL1014">
        <v>0</v>
      </c>
      <c r="AM1014">
        <v>0</v>
      </c>
      <c r="AN1014">
        <v>0</v>
      </c>
      <c r="AO1014">
        <v>0</v>
      </c>
      <c r="AP1014">
        <v>0.981</v>
      </c>
      <c r="AQ1014">
        <v>0.259</v>
      </c>
      <c r="AR1014">
        <v>0.795999999999999</v>
      </c>
      <c r="AS1014" s="3">
        <v>46107.776666666665</v>
      </c>
    </row>
    <row r="1015" ht="25.5" customHeight="1">
      <c r="A1015" t="inlineStr">
        <is>
          <t>626bceb50000000021021e4d</t>
        </is>
      </c>
      <c r="B1015" s="2" t="str">
        <f>=HYPERLINK("https://www.xiaohongshu.com/user/profile/626bceb50000000021021e4d", "https://www.xiaohongshu.com/user/profile/626bceb50000000021021e4d")</f>
        <v>https://www.xiaohongshu.com/user/profile/626bceb50000000021021e4d</v>
      </c>
      <c r="C1015" s="2" t="str">
        <f>=HYPERLINK("https://pgy.xiaohongshu.com/solar/pre-trade/blogger-detail/626bceb50000000021021e4d", "https://pgy.xiaohongshu.com/solar/pre-trade/blogger-detail/626bceb50000000021021e4d")</f>
        <v>https://pgy.xiaohongshu.com/solar/pre-trade/blogger-detail/626bceb50000000021021e4d</v>
      </c>
      <c r="D1015" t="inlineStr">
        <is>
          <t>女</t>
        </is>
      </c>
      <c r="E1015" t="inlineStr">
        <is>
          <t>4186480499</t>
        </is>
      </c>
      <c r="F1015" t="inlineStr">
        <is>
          <t>困困西</t>
        </is>
      </c>
      <c r="G1015" t="inlineStr">
        <is>
          <t>山西 吕梁 兴县</t>
        </is>
      </c>
      <c r="H1015" t="inlineStr">
        <is>
          <t>学生</t>
        </is>
      </c>
      <c r="I1015" t="inlineStr">
        <is>
          <t>教育</t>
        </is>
      </c>
      <c r="J1015">
        <v>9359</v>
      </c>
      <c r="K1015" t="inlineStr">
        <is>
          <t>0.9</t>
        </is>
      </c>
      <c r="L1015">
        <v>6696</v>
      </c>
      <c r="M1015">
        <v>808</v>
      </c>
      <c r="N1015">
        <v>126</v>
      </c>
      <c r="O1015">
        <v>200</v>
      </c>
      <c r="P1015">
        <v>0</v>
      </c>
      <c r="Q1015">
        <v>0.2</v>
      </c>
      <c r="R1015">
        <v>6696</v>
      </c>
      <c r="S1015">
        <v>808</v>
      </c>
      <c r="T1015">
        <v>101</v>
      </c>
      <c r="U1015">
        <v>0.55</v>
      </c>
      <c r="V1015">
        <v>200</v>
      </c>
      <c r="W1015">
        <v>0.2</v>
      </c>
      <c r="X1015">
        <v>0</v>
      </c>
      <c r="Y1015">
        <v>29.87</v>
      </c>
      <c r="Z1015">
        <v>1.59</v>
      </c>
      <c r="AA1015">
        <v>0</v>
      </c>
      <c r="AB1015">
        <v>0</v>
      </c>
      <c r="AC1015">
        <v>0</v>
      </c>
      <c r="AD1015">
        <v>0</v>
      </c>
      <c r="AE1015">
        <v>200</v>
      </c>
      <c r="AF1015">
        <v>0</v>
      </c>
      <c r="AG1015">
        <v>0</v>
      </c>
      <c r="AH1015">
        <v>0</v>
      </c>
      <c r="AI1015">
        <v>0</v>
      </c>
      <c r="AJ1015">
        <v>0</v>
      </c>
      <c r="AK1015">
        <v>0</v>
      </c>
      <c r="AL1015">
        <v>0</v>
      </c>
      <c r="AM1015">
        <v>0</v>
      </c>
      <c r="AN1015">
        <v>0</v>
      </c>
      <c r="AO1015">
        <v>0</v>
      </c>
      <c r="AP1015">
        <v>0.862</v>
      </c>
      <c r="AQ1015">
        <v>0.086</v>
      </c>
      <c r="AR1015">
        <v>0.0559999999999999</v>
      </c>
      <c r="AS1015" s="3">
        <v>46107.776666666665</v>
      </c>
    </row>
    <row r="1016" ht="25.5" customHeight="1">
      <c r="A1016" t="inlineStr">
        <is>
          <t>65bbafde000000000e02668b</t>
        </is>
      </c>
      <c r="B1016" s="2" t="str">
        <f>=HYPERLINK("https://www.xiaohongshu.com/user/profile/65bbafde000000000e02668b", "https://www.xiaohongshu.com/user/profile/65bbafde000000000e02668b")</f>
        <v>https://www.xiaohongshu.com/user/profile/65bbafde000000000e02668b</v>
      </c>
      <c r="C1016" s="2" t="str">
        <f>=HYPERLINK("https://pgy.xiaohongshu.com/solar/pre-trade/blogger-detail/65bbafde000000000e02668b", "https://pgy.xiaohongshu.com/solar/pre-trade/blogger-detail/65bbafde000000000e02668b")</f>
        <v>https://pgy.xiaohongshu.com/solar/pre-trade/blogger-detail/65bbafde000000000e02668b</v>
      </c>
      <c r="D1016" t="inlineStr">
        <is>
          <t>男</t>
        </is>
      </c>
      <c r="E1016" t="inlineStr">
        <is>
          <t>2572715378</t>
        </is>
      </c>
      <c r="F1016" t="inlineStr">
        <is>
          <t>8.5分多伦多雅思Chelsea</t>
        </is>
      </c>
      <c r="G1016" t="inlineStr">
        <is>
          <t>加拿大</t>
        </is>
      </c>
      <c r="H1016"/>
      <c r="I1016" t="inlineStr">
        <is>
          <t>教育</t>
        </is>
      </c>
      <c r="J1016">
        <v>2581</v>
      </c>
      <c r="K1016" t="inlineStr">
        <is>
          <t>0.3</t>
        </is>
      </c>
      <c r="L1016">
        <v>2857</v>
      </c>
      <c r="M1016">
        <v>1261</v>
      </c>
      <c r="N1016">
        <v>202</v>
      </c>
      <c r="O1016">
        <v>1000</v>
      </c>
      <c r="P1016">
        <v>0</v>
      </c>
      <c r="Q1016">
        <v>0.368</v>
      </c>
      <c r="R1016">
        <v>0</v>
      </c>
      <c r="S1016">
        <v>0</v>
      </c>
      <c r="T1016">
        <v>0</v>
      </c>
      <c r="U1016">
        <v>0</v>
      </c>
      <c r="V1016">
        <v>1000</v>
      </c>
      <c r="W1016">
        <v>0</v>
      </c>
      <c r="X1016">
        <v>0</v>
      </c>
      <c r="Y1016">
        <v>0</v>
      </c>
      <c r="Z1016">
        <v>0</v>
      </c>
      <c r="AA1016">
        <v>2857</v>
      </c>
      <c r="AB1016">
        <v>1261</v>
      </c>
      <c r="AC1016">
        <v>159</v>
      </c>
      <c r="AD1016">
        <v>3.09</v>
      </c>
      <c r="AE1016">
        <v>2000</v>
      </c>
      <c r="AF1016">
        <v>0.368</v>
      </c>
      <c r="AG1016">
        <v>0</v>
      </c>
      <c r="AH1016">
        <v>0.081</v>
      </c>
      <c r="AI1016">
        <v>700.04</v>
      </c>
      <c r="AJ1016">
        <v>9.9</v>
      </c>
      <c r="AK1016">
        <v>0</v>
      </c>
      <c r="AL1016">
        <v>0</v>
      </c>
      <c r="AM1016">
        <v>0</v>
      </c>
      <c r="AN1016">
        <v>0</v>
      </c>
      <c r="AO1016">
        <v>0</v>
      </c>
      <c r="AP1016">
        <v>0.934</v>
      </c>
      <c r="AQ1016">
        <v>0.148</v>
      </c>
      <c r="AR1016">
        <v>0.306</v>
      </c>
      <c r="AS1016" s="3">
        <v>46107.776666666665</v>
      </c>
    </row>
    <row r="1017" ht="25.5" customHeight="1">
      <c r="A1017" t="inlineStr">
        <is>
          <t>5966b5aadb2e602c5d3401dc</t>
        </is>
      </c>
      <c r="B1017" s="2" t="str">
        <f>=HYPERLINK("https://www.xiaohongshu.com/user/profile/5966b5aadb2e602c5d3401dc", "https://www.xiaohongshu.com/user/profile/5966b5aadb2e602c5d3401dc")</f>
        <v>https://www.xiaohongshu.com/user/profile/5966b5aadb2e602c5d3401dc</v>
      </c>
      <c r="C1017" s="2" t="str">
        <f>=HYPERLINK("https://pgy.xiaohongshu.com/solar/pre-trade/blogger-detail/5966b5aadb2e602c5d3401dc", "https://pgy.xiaohongshu.com/solar/pre-trade/blogger-detail/5966b5aadb2e602c5d3401dc")</f>
        <v>https://pgy.xiaohongshu.com/solar/pre-trade/blogger-detail/5966b5aadb2e602c5d3401dc</v>
      </c>
      <c r="D1017" t="inlineStr">
        <is>
          <t>男</t>
        </is>
      </c>
      <c r="E1017" t="inlineStr">
        <is>
          <t>952422002</t>
        </is>
      </c>
      <c r="F1017" t="inlineStr">
        <is>
          <t>基本楠楠</t>
        </is>
      </c>
      <c r="G1017" t="inlineStr">
        <is>
          <t>山西 太原 尖草坪区</t>
        </is>
      </c>
      <c r="H1017"/>
      <c r="I1017" t="inlineStr">
        <is>
          <t>教育</t>
        </is>
      </c>
      <c r="J1017">
        <v>8287</v>
      </c>
      <c r="K1017" t="inlineStr">
        <is>
          <t>0.8</t>
        </is>
      </c>
      <c r="L1017">
        <v>19851</v>
      </c>
      <c r="M1017">
        <v>4876</v>
      </c>
      <c r="N1017">
        <v>587</v>
      </c>
      <c r="O1017">
        <v>800</v>
      </c>
      <c r="P1017">
        <v>0</v>
      </c>
      <c r="Q1017">
        <v>0.6</v>
      </c>
      <c r="R1017">
        <v>61924</v>
      </c>
      <c r="S1017">
        <v>6223</v>
      </c>
      <c r="T1017">
        <v>292</v>
      </c>
      <c r="U1017">
        <v>0.43</v>
      </c>
      <c r="V1017">
        <v>800</v>
      </c>
      <c r="W1017">
        <v>0.5</v>
      </c>
      <c r="X1017">
        <v>0</v>
      </c>
      <c r="Y1017">
        <v>12.92</v>
      </c>
      <c r="Z1017">
        <v>2.11</v>
      </c>
      <c r="AA1017">
        <v>19851</v>
      </c>
      <c r="AB1017">
        <v>4876</v>
      </c>
      <c r="AC1017">
        <v>519</v>
      </c>
      <c r="AD1017">
        <v>1.79</v>
      </c>
      <c r="AE1017">
        <v>1400</v>
      </c>
      <c r="AF1017">
        <v>1</v>
      </c>
      <c r="AG1017">
        <v>0</v>
      </c>
      <c r="AH1017">
        <v>0.105</v>
      </c>
      <c r="AI1017">
        <v>70.53</v>
      </c>
      <c r="AJ1017">
        <v>2.39</v>
      </c>
      <c r="AK1017">
        <v>0</v>
      </c>
      <c r="AL1017">
        <v>0</v>
      </c>
      <c r="AM1017">
        <v>0</v>
      </c>
      <c r="AN1017">
        <v>0</v>
      </c>
      <c r="AO1017">
        <v>0</v>
      </c>
      <c r="AP1017">
        <v>0.95</v>
      </c>
      <c r="AQ1017">
        <v>0.091</v>
      </c>
      <c r="AR1017">
        <v>0.051</v>
      </c>
      <c r="AS1017" s="3">
        <v>46107.776666666665</v>
      </c>
    </row>
    <row r="1018" ht="25.5" customHeight="1">
      <c r="A1018" t="inlineStr">
        <is>
          <t>620a0ce20000000010006e45</t>
        </is>
      </c>
      <c r="B1018" s="2" t="str">
        <f>=HYPERLINK("https://www.xiaohongshu.com/user/profile/620a0ce20000000010006e45", "https://www.xiaohongshu.com/user/profile/620a0ce20000000010006e45")</f>
        <v>https://www.xiaohongshu.com/user/profile/620a0ce20000000010006e45</v>
      </c>
      <c r="C1018" s="2" t="str">
        <f>=HYPERLINK("https://pgy.xiaohongshu.com/solar/pre-trade/blogger-detail/620a0ce20000000010006e45", "https://pgy.xiaohongshu.com/solar/pre-trade/blogger-detail/620a0ce20000000010006e45")</f>
        <v>https://pgy.xiaohongshu.com/solar/pre-trade/blogger-detail/620a0ce20000000010006e45</v>
      </c>
      <c r="D1018" t="inlineStr">
        <is>
          <t>女</t>
        </is>
      </c>
      <c r="E1018" t="inlineStr">
        <is>
          <t>4727210039</t>
        </is>
      </c>
      <c r="F1018" t="inlineStr">
        <is>
          <t>小熊不腻检验版</t>
        </is>
      </c>
      <c r="G1018" t="inlineStr">
        <is>
          <t>广东 深圳 宝安区</t>
        </is>
      </c>
      <c r="H1018" t="inlineStr">
        <is>
          <t>学生</t>
        </is>
      </c>
      <c r="I1018" t="inlineStr">
        <is>
          <t>教育, 健康养生</t>
        </is>
      </c>
      <c r="J1018">
        <v>3883</v>
      </c>
      <c r="K1018" t="inlineStr">
        <is>
          <t>0.4</t>
        </is>
      </c>
      <c r="L1018">
        <v>7890</v>
      </c>
      <c r="M1018">
        <v>1059</v>
      </c>
      <c r="N1018">
        <v>238</v>
      </c>
      <c r="O1018">
        <v>220</v>
      </c>
      <c r="P1018">
        <v>0</v>
      </c>
      <c r="Q1018">
        <v>0.4</v>
      </c>
      <c r="R1018">
        <v>7973</v>
      </c>
      <c r="S1018">
        <v>1246</v>
      </c>
      <c r="T1018">
        <v>229</v>
      </c>
      <c r="U1018">
        <v>0.48</v>
      </c>
      <c r="V1018">
        <v>220</v>
      </c>
      <c r="W1018">
        <v>0.5</v>
      </c>
      <c r="X1018">
        <v>0</v>
      </c>
      <c r="Y1018">
        <v>27.59</v>
      </c>
      <c r="Z1018">
        <v>0.86</v>
      </c>
      <c r="AA1018">
        <v>3208</v>
      </c>
      <c r="AB1018">
        <v>676</v>
      </c>
      <c r="AC1018">
        <v>25</v>
      </c>
      <c r="AD1018">
        <v>1.97</v>
      </c>
      <c r="AE1018">
        <v>320</v>
      </c>
      <c r="AF1018">
        <v>0</v>
      </c>
      <c r="AG1018">
        <v>0</v>
      </c>
      <c r="AH1018">
        <v>0.095</v>
      </c>
      <c r="AI1018">
        <v>99.75</v>
      </c>
      <c r="AJ1018">
        <v>11.85</v>
      </c>
      <c r="AK1018">
        <v>0</v>
      </c>
      <c r="AL1018">
        <v>0</v>
      </c>
      <c r="AM1018">
        <v>0</v>
      </c>
      <c r="AN1018">
        <v>0</v>
      </c>
      <c r="AO1018">
        <v>0</v>
      </c>
      <c r="AP1018">
        <v>0.824</v>
      </c>
      <c r="AQ1018">
        <v>0.036</v>
      </c>
      <c r="AR1018">
        <v>0.037</v>
      </c>
      <c r="AS1018" s="3">
        <v>46107.776666666665</v>
      </c>
    </row>
    <row r="1019" ht="25.5" customHeight="1">
      <c r="A1019" t="inlineStr">
        <is>
          <t>58eba0ce5e87e71ab34e1a8a</t>
        </is>
      </c>
      <c r="B1019" s="2" t="str">
        <f>=HYPERLINK("https://www.xiaohongshu.com/user/profile/58eba0ce5e87e71ab34e1a8a", "https://www.xiaohongshu.com/user/profile/58eba0ce5e87e71ab34e1a8a")</f>
        <v>https://www.xiaohongshu.com/user/profile/58eba0ce5e87e71ab34e1a8a</v>
      </c>
      <c r="C1019" s="2" t="str">
        <f>=HYPERLINK("https://pgy.xiaohongshu.com/solar/pre-trade/blogger-detail/58eba0ce5e87e71ab34e1a8a", "https://pgy.xiaohongshu.com/solar/pre-trade/blogger-detail/58eba0ce5e87e71ab34e1a8a")</f>
        <v>https://pgy.xiaohongshu.com/solar/pre-trade/blogger-detail/58eba0ce5e87e71ab34e1a8a</v>
      </c>
      <c r="D1019" t="inlineStr">
        <is>
          <t>女</t>
        </is>
      </c>
      <c r="E1019" t="inlineStr">
        <is>
          <t>wannengmamasg</t>
        </is>
      </c>
      <c r="F1019" t="inlineStr">
        <is>
          <t>万能妈妈SG</t>
        </is>
      </c>
      <c r="G1019" t="inlineStr">
        <is>
          <t>新加坡</t>
        </is>
      </c>
      <c r="H1019" t="inlineStr">
        <is>
          <t>6-12岁, 妈妈, 海外华人, 教练</t>
        </is>
      </c>
      <c r="I1019" t="inlineStr">
        <is>
          <t>美食</t>
        </is>
      </c>
      <c r="J1019">
        <v>3588</v>
      </c>
      <c r="K1019" t="inlineStr">
        <is>
          <t>0.4</t>
        </is>
      </c>
      <c r="L1019">
        <v>2090</v>
      </c>
      <c r="M1019">
        <v>279</v>
      </c>
      <c r="N1019">
        <v>123</v>
      </c>
      <c r="O1019">
        <v>295</v>
      </c>
      <c r="P1019">
        <v>0</v>
      </c>
      <c r="Q1019">
        <v>0.276</v>
      </c>
      <c r="R1019">
        <v>2094</v>
      </c>
      <c r="S1019">
        <v>293</v>
      </c>
      <c r="T1019">
        <v>94</v>
      </c>
      <c r="U1019">
        <v>1.36</v>
      </c>
      <c r="V1019">
        <v>295</v>
      </c>
      <c r="W1019">
        <v>0.25</v>
      </c>
      <c r="X1019">
        <v>0</v>
      </c>
      <c r="Y1019">
        <v>141.15</v>
      </c>
      <c r="Z1019">
        <v>2.66</v>
      </c>
      <c r="AA1019">
        <v>1426</v>
      </c>
      <c r="AB1019">
        <v>278</v>
      </c>
      <c r="AC1019">
        <v>130</v>
      </c>
      <c r="AD1019">
        <v>3.62</v>
      </c>
      <c r="AE1019">
        <v>589</v>
      </c>
      <c r="AF1019">
        <v>0.332999999999999</v>
      </c>
      <c r="AG1019">
        <v>0</v>
      </c>
      <c r="AH1019">
        <v>0.106</v>
      </c>
      <c r="AI1019">
        <v>413.04</v>
      </c>
      <c r="AJ1019">
        <v>4.21</v>
      </c>
      <c r="AK1019">
        <v>1555</v>
      </c>
      <c r="AL1019">
        <v>207</v>
      </c>
      <c r="AM1019">
        <v>100</v>
      </c>
      <c r="AN1019">
        <v>0</v>
      </c>
      <c r="AO1019">
        <v>0</v>
      </c>
      <c r="AP1019">
        <v>0.773</v>
      </c>
      <c r="AQ1019">
        <v>0.043</v>
      </c>
      <c r="AR1019">
        <v>0.03</v>
      </c>
      <c r="AS1019" s="3">
        <v>46107.776666666665</v>
      </c>
    </row>
    <row r="1020" ht="25.5" customHeight="1">
      <c r="A1020" t="inlineStr">
        <is>
          <t>664b888f0000000007005367</t>
        </is>
      </c>
      <c r="B1020" s="2" t="str">
        <f>=HYPERLINK("https://www.xiaohongshu.com/user/profile/664b888f0000000007005367", "https://www.xiaohongshu.com/user/profile/664b888f0000000007005367")</f>
        <v>https://www.xiaohongshu.com/user/profile/664b888f0000000007005367</v>
      </c>
      <c r="C1020" s="2" t="str">
        <f>=HYPERLINK("https://pgy.xiaohongshu.com/solar/pre-trade/blogger-detail/664b888f0000000007005367", "https://pgy.xiaohongshu.com/solar/pre-trade/blogger-detail/664b888f0000000007005367")</f>
        <v>https://pgy.xiaohongshu.com/solar/pre-trade/blogger-detail/664b888f0000000007005367</v>
      </c>
      <c r="D1020" t="inlineStr">
        <is>
          <t>女</t>
        </is>
      </c>
      <c r="E1020" t="inlineStr">
        <is>
          <t>Chill_Mum_LDN</t>
        </is>
      </c>
      <c r="F1020" t="inlineStr">
        <is>
          <t>伦敦二娃不辣妈Catherine</t>
        </is>
      </c>
      <c r="G1020" t="inlineStr">
        <is>
          <t>英国</t>
        </is>
      </c>
      <c r="H1020" t="inlineStr">
        <is>
          <t>6-12岁, 妈妈, 留学背景, 海外华人, 家庭</t>
        </is>
      </c>
      <c r="I1020" t="inlineStr">
        <is>
          <t>教育, 母婴</t>
        </is>
      </c>
      <c r="J1020">
        <v>28592</v>
      </c>
      <c r="K1020" t="inlineStr">
        <is>
          <t>2.9</t>
        </is>
      </c>
      <c r="L1020">
        <v>13777</v>
      </c>
      <c r="M1020">
        <v>3807</v>
      </c>
      <c r="N1020">
        <v>122</v>
      </c>
      <c r="O1020">
        <v>1500</v>
      </c>
      <c r="P1020">
        <v>0.091</v>
      </c>
      <c r="Q1020">
        <v>0.364</v>
      </c>
      <c r="R1020">
        <v>7054</v>
      </c>
      <c r="S1020">
        <v>870</v>
      </c>
      <c r="T1020">
        <v>16</v>
      </c>
      <c r="U1020">
        <v>2.02</v>
      </c>
      <c r="V1020">
        <v>1500</v>
      </c>
      <c r="W1020">
        <v>0</v>
      </c>
      <c r="X1020">
        <v>0</v>
      </c>
      <c r="Y1020">
        <v>212.65</v>
      </c>
      <c r="Z1020">
        <v>83.33</v>
      </c>
      <c r="AA1020">
        <v>14457</v>
      </c>
      <c r="AB1020">
        <v>4162</v>
      </c>
      <c r="AC1020">
        <v>106</v>
      </c>
      <c r="AD1020">
        <v>2.1</v>
      </c>
      <c r="AE1020">
        <v>2500</v>
      </c>
      <c r="AF1020">
        <v>0.4</v>
      </c>
      <c r="AG1020">
        <v>0.1</v>
      </c>
      <c r="AH1020">
        <v>0.162</v>
      </c>
      <c r="AI1020">
        <v>172.93</v>
      </c>
      <c r="AJ1020">
        <v>19.61</v>
      </c>
      <c r="AK1020">
        <v>0</v>
      </c>
      <c r="AL1020">
        <v>0</v>
      </c>
      <c r="AM1020">
        <v>0</v>
      </c>
      <c r="AN1020">
        <v>0</v>
      </c>
      <c r="AO1020">
        <v>0</v>
      </c>
      <c r="AP1020">
        <v>0.968</v>
      </c>
      <c r="AQ1020">
        <v>0.226</v>
      </c>
      <c r="AR1020">
        <v>1.76199999999999</v>
      </c>
      <c r="AS1020" s="3">
        <v>46107.776666666665</v>
      </c>
    </row>
    <row r="1021" ht="25.5" customHeight="1">
      <c r="A1021" t="inlineStr">
        <is>
          <t>5b62d19e4eacab351090decc</t>
        </is>
      </c>
      <c r="B1021" s="2" t="str">
        <f>=HYPERLINK("https://www.xiaohongshu.com/user/profile/5b62d19e4eacab351090decc", "https://www.xiaohongshu.com/user/profile/5b62d19e4eacab351090decc")</f>
        <v>https://www.xiaohongshu.com/user/profile/5b62d19e4eacab351090decc</v>
      </c>
      <c r="C1021" s="2" t="str">
        <f>=HYPERLINK("https://pgy.xiaohongshu.com/solar/pre-trade/blogger-detail/5b62d19e4eacab351090decc", "https://pgy.xiaohongshu.com/solar/pre-trade/blogger-detail/5b62d19e4eacab351090decc")</f>
        <v>https://pgy.xiaohongshu.com/solar/pre-trade/blogger-detail/5b62d19e4eacab351090decc</v>
      </c>
      <c r="D1021" t="inlineStr">
        <is>
          <t>女</t>
        </is>
      </c>
      <c r="E1021" t="inlineStr">
        <is>
          <t>808016703</t>
        </is>
      </c>
      <c r="F1021" t="inlineStr">
        <is>
          <t>吧啦吧啦</t>
        </is>
      </c>
      <c r="G1021" t="inlineStr">
        <is>
          <t>云南 昆明 呈贡区</t>
        </is>
      </c>
      <c r="H1021"/>
      <c r="I1021" t="inlineStr">
        <is>
          <t>教育</t>
        </is>
      </c>
      <c r="J1021">
        <v>1921</v>
      </c>
      <c r="K1021" t="inlineStr">
        <is>
          <t>0.2</t>
        </is>
      </c>
      <c r="L1021">
        <v>11715</v>
      </c>
      <c r="M1021">
        <v>2617</v>
      </c>
      <c r="N1021">
        <v>305</v>
      </c>
      <c r="O1021">
        <v>200</v>
      </c>
      <c r="P1021">
        <v>0.2</v>
      </c>
      <c r="Q1021">
        <v>0.68</v>
      </c>
      <c r="R1021">
        <v>0</v>
      </c>
      <c r="S1021">
        <v>0</v>
      </c>
      <c r="T1021">
        <v>0</v>
      </c>
      <c r="U1021">
        <v>0</v>
      </c>
      <c r="V1021">
        <v>200</v>
      </c>
      <c r="W1021">
        <v>0</v>
      </c>
      <c r="X1021">
        <v>0</v>
      </c>
      <c r="Y1021">
        <v>0</v>
      </c>
      <c r="Z1021">
        <v>0</v>
      </c>
      <c r="AA1021">
        <v>11715</v>
      </c>
      <c r="AB1021">
        <v>2617</v>
      </c>
      <c r="AC1021">
        <v>279</v>
      </c>
      <c r="AD1021">
        <v>1.69</v>
      </c>
      <c r="AE1021">
        <v>500</v>
      </c>
      <c r="AF1021">
        <v>0.68</v>
      </c>
      <c r="AG1021">
        <v>0.2</v>
      </c>
      <c r="AH1021">
        <v>0.109</v>
      </c>
      <c r="AI1021">
        <v>42.68</v>
      </c>
      <c r="AJ1021">
        <v>1.64</v>
      </c>
      <c r="AK1021">
        <v>0</v>
      </c>
      <c r="AL1021">
        <v>0</v>
      </c>
      <c r="AM1021">
        <v>0</v>
      </c>
      <c r="AN1021">
        <v>0</v>
      </c>
      <c r="AO1021">
        <v>0</v>
      </c>
      <c r="AP1021">
        <v>0.920999999999999</v>
      </c>
      <c r="AQ1021">
        <v>0.332999999999999</v>
      </c>
      <c r="AR1021">
        <v>0</v>
      </c>
      <c r="AS1021" s="3">
        <v>46107.77685185185</v>
      </c>
    </row>
    <row r="1022" ht="25.5" customHeight="1">
      <c r="A1022" t="inlineStr">
        <is>
          <t>5b6b83855adbba000162221c</t>
        </is>
      </c>
      <c r="B1022" s="2" t="str">
        <f>=HYPERLINK("https://www.xiaohongshu.com/user/profile/5b6b83855adbba000162221c", "https://www.xiaohongshu.com/user/profile/5b6b83855adbba000162221c")</f>
        <v>https://www.xiaohongshu.com/user/profile/5b6b83855adbba000162221c</v>
      </c>
      <c r="C1022" s="2" t="str">
        <f>=HYPERLINK("https://pgy.xiaohongshu.com/solar/pre-trade/blogger-detail/5b6b83855adbba000162221c", "https://pgy.xiaohongshu.com/solar/pre-trade/blogger-detail/5b6b83855adbba000162221c")</f>
        <v>https://pgy.xiaohongshu.com/solar/pre-trade/blogger-detail/5b6b83855adbba000162221c</v>
      </c>
      <c r="D1022" t="inlineStr">
        <is>
          <t>男</t>
        </is>
      </c>
      <c r="E1022" t="inlineStr">
        <is>
          <t>606360872</t>
        </is>
      </c>
      <c r="F1022" t="inlineStr">
        <is>
          <t>Eric | 的英语实验室</t>
        </is>
      </c>
      <c r="G1022" t="inlineStr">
        <is>
          <t>吉林 长春 朝阳区</t>
        </is>
      </c>
      <c r="H1022"/>
      <c r="I1022" t="inlineStr">
        <is>
          <t>教育</t>
        </is>
      </c>
      <c r="J1022">
        <v>11821</v>
      </c>
      <c r="K1022" t="inlineStr">
        <is>
          <t>1.2</t>
        </is>
      </c>
      <c r="L1022">
        <v>9870</v>
      </c>
      <c r="M1022">
        <v>893</v>
      </c>
      <c r="N1022">
        <v>111</v>
      </c>
      <c r="O1022">
        <v>500</v>
      </c>
      <c r="P1022">
        <v>0.034</v>
      </c>
      <c r="Q1022">
        <v>0.276</v>
      </c>
      <c r="R1022">
        <v>10036</v>
      </c>
      <c r="S1022">
        <v>904</v>
      </c>
      <c r="T1022">
        <v>92</v>
      </c>
      <c r="U1022">
        <v>0.85</v>
      </c>
      <c r="V1022">
        <v>500</v>
      </c>
      <c r="W1022">
        <v>0.276</v>
      </c>
      <c r="X1022">
        <v>0.034</v>
      </c>
      <c r="Y1022">
        <v>49.82</v>
      </c>
      <c r="Z1022">
        <v>4.46</v>
      </c>
      <c r="AA1022">
        <v>0</v>
      </c>
      <c r="AB1022">
        <v>0</v>
      </c>
      <c r="AC1022">
        <v>0</v>
      </c>
      <c r="AD1022">
        <v>0</v>
      </c>
      <c r="AE1022">
        <v>700</v>
      </c>
      <c r="AF1022">
        <v>0</v>
      </c>
      <c r="AG1022">
        <v>0</v>
      </c>
      <c r="AH1022">
        <v>0</v>
      </c>
      <c r="AI1022">
        <v>0</v>
      </c>
      <c r="AJ1022">
        <v>0</v>
      </c>
      <c r="AK1022">
        <v>0</v>
      </c>
      <c r="AL1022">
        <v>0</v>
      </c>
      <c r="AM1022">
        <v>0</v>
      </c>
      <c r="AN1022">
        <v>0</v>
      </c>
      <c r="AO1022">
        <v>0</v>
      </c>
      <c r="AP1022">
        <v>0.972</v>
      </c>
      <c r="AQ1022">
        <v>0.102</v>
      </c>
      <c r="AR1022">
        <v>0.251</v>
      </c>
      <c r="AS1022" s="3">
        <v>46107.77685185185</v>
      </c>
    </row>
    <row r="1023" ht="25.5" customHeight="1">
      <c r="A1023" t="inlineStr">
        <is>
          <t>5adb4a8b11be105c2fab7929</t>
        </is>
      </c>
      <c r="B1023" s="2" t="str">
        <f>=HYPERLINK("https://www.xiaohongshu.com/user/profile/5adb4a8b11be105c2fab7929", "https://www.xiaohongshu.com/user/profile/5adb4a8b11be105c2fab7929")</f>
        <v>https://www.xiaohongshu.com/user/profile/5adb4a8b11be105c2fab7929</v>
      </c>
      <c r="C1023" s="2" t="str">
        <f>=HYPERLINK("https://pgy.xiaohongshu.com/solar/pre-trade/blogger-detail/5adb4a8b11be105c2fab7929", "https://pgy.xiaohongshu.com/solar/pre-trade/blogger-detail/5adb4a8b11be105c2fab7929")</f>
        <v>https://pgy.xiaohongshu.com/solar/pre-trade/blogger-detail/5adb4a8b11be105c2fab7929</v>
      </c>
      <c r="D1023" t="inlineStr">
        <is>
          <t>男</t>
        </is>
      </c>
      <c r="E1023" t="inlineStr">
        <is>
          <t>491023172</t>
        </is>
      </c>
      <c r="F1023" t="inlineStr">
        <is>
          <t>卿卿YANQING</t>
        </is>
      </c>
      <c r="G1023" t="inlineStr">
        <is>
          <t>英国</t>
        </is>
      </c>
      <c r="H1023" t="inlineStr">
        <is>
          <t>留学背景, 学生</t>
        </is>
      </c>
      <c r="I1023" t="inlineStr">
        <is>
          <t>教育</t>
        </is>
      </c>
      <c r="J1023">
        <v>249812</v>
      </c>
      <c r="K1023" t="inlineStr">
        <is>
          <t>25.0</t>
        </is>
      </c>
      <c r="L1023">
        <v>562297</v>
      </c>
      <c r="M1023">
        <v>162319</v>
      </c>
      <c r="N1023">
        <v>11431</v>
      </c>
      <c r="O1023">
        <v>31000</v>
      </c>
      <c r="P1023">
        <v>1</v>
      </c>
      <c r="Q1023">
        <v>1</v>
      </c>
      <c r="R1023">
        <v>0</v>
      </c>
      <c r="S1023">
        <v>0</v>
      </c>
      <c r="T1023">
        <v>0</v>
      </c>
      <c r="U1023">
        <v>0</v>
      </c>
      <c r="V1023">
        <v>12000</v>
      </c>
      <c r="W1023">
        <v>0</v>
      </c>
      <c r="X1023">
        <v>0</v>
      </c>
      <c r="Y1023">
        <v>0</v>
      </c>
      <c r="Z1023">
        <v>0</v>
      </c>
      <c r="AA1023">
        <v>562297</v>
      </c>
      <c r="AB1023">
        <v>162319</v>
      </c>
      <c r="AC1023">
        <v>9052</v>
      </c>
      <c r="AD1023">
        <v>1.69</v>
      </c>
      <c r="AE1023">
        <v>31000</v>
      </c>
      <c r="AF1023">
        <v>1</v>
      </c>
      <c r="AG1023">
        <v>1</v>
      </c>
      <c r="AH1023">
        <v>0.145</v>
      </c>
      <c r="AI1023">
        <v>55.13</v>
      </c>
      <c r="AJ1023">
        <v>2.71</v>
      </c>
      <c r="AK1023">
        <v>0</v>
      </c>
      <c r="AL1023">
        <v>0</v>
      </c>
      <c r="AM1023">
        <v>0</v>
      </c>
      <c r="AN1023">
        <v>0</v>
      </c>
      <c r="AO1023">
        <v>0</v>
      </c>
      <c r="AP1023">
        <v>0.767</v>
      </c>
      <c r="AQ1023">
        <v>0.026</v>
      </c>
      <c r="AR1023">
        <v>0.017</v>
      </c>
      <c r="AS1023" s="3">
        <v>46107.77685185185</v>
      </c>
    </row>
    <row r="1024" ht="25.5" customHeight="1">
      <c r="A1024" t="inlineStr">
        <is>
          <t>636e0313000000002302a4c2</t>
        </is>
      </c>
      <c r="B1024" s="2" t="str">
        <f>=HYPERLINK("https://www.xiaohongshu.com/user/profile/636e0313000000002302a4c2", "https://www.xiaohongshu.com/user/profile/636e0313000000002302a4c2")</f>
        <v>https://www.xiaohongshu.com/user/profile/636e0313000000002302a4c2</v>
      </c>
      <c r="C1024" s="2" t="str">
        <f>=HYPERLINK("https://pgy.xiaohongshu.com/solar/pre-trade/blogger-detail/636e0313000000002302a4c2", "https://pgy.xiaohongshu.com/solar/pre-trade/blogger-detail/636e0313000000002302a4c2")</f>
        <v>https://pgy.xiaohongshu.com/solar/pre-trade/blogger-detail/636e0313000000002302a4c2</v>
      </c>
      <c r="D1024" t="inlineStr">
        <is>
          <t>女</t>
        </is>
      </c>
      <c r="E1024" t="inlineStr">
        <is>
          <t>3824445356</t>
        </is>
      </c>
      <c r="F1024" t="inlineStr">
        <is>
          <t>西西里风（读研版</t>
        </is>
      </c>
      <c r="G1024" t="inlineStr">
        <is>
          <t>广东 汕头 澄海区</t>
        </is>
      </c>
      <c r="H1024"/>
      <c r="I1024" t="inlineStr">
        <is>
          <t>教育</t>
        </is>
      </c>
      <c r="J1024">
        <v>1394</v>
      </c>
      <c r="K1024" t="inlineStr">
        <is>
          <t>0.1</t>
        </is>
      </c>
      <c r="L1024">
        <v>8374</v>
      </c>
      <c r="M1024">
        <v>2434</v>
      </c>
      <c r="N1024">
        <v>263</v>
      </c>
      <c r="O1024">
        <v>450</v>
      </c>
      <c r="P1024">
        <v>0</v>
      </c>
      <c r="Q1024">
        <v>0.5</v>
      </c>
      <c r="R1024">
        <v>8374</v>
      </c>
      <c r="S1024">
        <v>2434</v>
      </c>
      <c r="T1024">
        <v>206</v>
      </c>
      <c r="U1024">
        <v>0.48</v>
      </c>
      <c r="V1024">
        <v>450</v>
      </c>
      <c r="W1024">
        <v>0.5</v>
      </c>
      <c r="X1024">
        <v>0</v>
      </c>
      <c r="Y1024">
        <v>53.74</v>
      </c>
      <c r="Z1024">
        <v>1.71</v>
      </c>
      <c r="AA1024">
        <v>0</v>
      </c>
      <c r="AB1024">
        <v>0</v>
      </c>
      <c r="AC1024">
        <v>0</v>
      </c>
      <c r="AD1024">
        <v>0</v>
      </c>
      <c r="AE1024">
        <v>600</v>
      </c>
      <c r="AF1024">
        <v>0</v>
      </c>
      <c r="AG1024">
        <v>0</v>
      </c>
      <c r="AH1024">
        <v>0</v>
      </c>
      <c r="AI1024">
        <v>0</v>
      </c>
      <c r="AJ1024">
        <v>0</v>
      </c>
      <c r="AK1024">
        <v>0</v>
      </c>
      <c r="AL1024">
        <v>0</v>
      </c>
      <c r="AM1024">
        <v>0</v>
      </c>
      <c r="AN1024">
        <v>0</v>
      </c>
      <c r="AO1024">
        <v>0</v>
      </c>
      <c r="AP1024">
        <v>0.75</v>
      </c>
      <c r="AQ1024">
        <v>0.037</v>
      </c>
      <c r="AR1024">
        <v>0.069</v>
      </c>
      <c r="AS1024" s="3">
        <v>46107.77685185185</v>
      </c>
    </row>
    <row r="1025" ht="25.5" customHeight="1">
      <c r="A1025" t="inlineStr">
        <is>
          <t>5a8edc4b4eacab3ac62f3804</t>
        </is>
      </c>
      <c r="B1025" s="2" t="str">
        <f>=HYPERLINK("https://www.xiaohongshu.com/user/profile/5a8edc4b4eacab3ac62f3804", "https://www.xiaohongshu.com/user/profile/5a8edc4b4eacab3ac62f3804")</f>
        <v>https://www.xiaohongshu.com/user/profile/5a8edc4b4eacab3ac62f3804</v>
      </c>
      <c r="C1025" s="2" t="str">
        <f>=HYPERLINK("https://pgy.xiaohongshu.com/solar/pre-trade/blogger-detail/5a8edc4b4eacab3ac62f3804", "https://pgy.xiaohongshu.com/solar/pre-trade/blogger-detail/5a8edc4b4eacab3ac62f3804")</f>
        <v>https://pgy.xiaohongshu.com/solar/pre-trade/blogger-detail/5a8edc4b4eacab3ac62f3804</v>
      </c>
      <c r="D1025" t="inlineStr">
        <is>
          <t>女</t>
        </is>
      </c>
      <c r="E1025" t="inlineStr">
        <is>
          <t>493469016</t>
        </is>
      </c>
      <c r="F1025" t="inlineStr">
        <is>
          <t>脸特别圆（晕碳中）</t>
        </is>
      </c>
      <c r="G1025" t="inlineStr">
        <is>
          <t>韩国</t>
        </is>
      </c>
      <c r="H1025" t="inlineStr">
        <is>
          <t>学生, 留学背景</t>
        </is>
      </c>
      <c r="I1025" t="inlineStr">
        <is>
          <t>美食</t>
        </is>
      </c>
      <c r="J1025">
        <v>44562</v>
      </c>
      <c r="K1025" t="inlineStr">
        <is>
          <t>4.5</t>
        </is>
      </c>
      <c r="L1025">
        <v>55903</v>
      </c>
      <c r="M1025">
        <v>10823</v>
      </c>
      <c r="N1025">
        <v>509</v>
      </c>
      <c r="O1025">
        <v>1000</v>
      </c>
      <c r="P1025">
        <v>0.143</v>
      </c>
      <c r="Q1025">
        <v>1</v>
      </c>
      <c r="R1025">
        <v>0</v>
      </c>
      <c r="S1025">
        <v>0</v>
      </c>
      <c r="T1025">
        <v>0</v>
      </c>
      <c r="U1025">
        <v>0</v>
      </c>
      <c r="V1025">
        <v>1000</v>
      </c>
      <c r="W1025">
        <v>0</v>
      </c>
      <c r="X1025">
        <v>0</v>
      </c>
      <c r="Y1025">
        <v>0</v>
      </c>
      <c r="Z1025">
        <v>0</v>
      </c>
      <c r="AA1025">
        <v>55903</v>
      </c>
      <c r="AB1025">
        <v>10823</v>
      </c>
      <c r="AC1025">
        <v>480</v>
      </c>
      <c r="AD1025">
        <v>1.61</v>
      </c>
      <c r="AE1025">
        <v>1200</v>
      </c>
      <c r="AF1025">
        <v>1</v>
      </c>
      <c r="AG1025">
        <v>0.143</v>
      </c>
      <c r="AH1025">
        <v>0.149</v>
      </c>
      <c r="AI1025">
        <v>21.47</v>
      </c>
      <c r="AJ1025">
        <v>2.36</v>
      </c>
      <c r="AK1025">
        <v>0</v>
      </c>
      <c r="AL1025">
        <v>0</v>
      </c>
      <c r="AM1025">
        <v>0</v>
      </c>
      <c r="AN1025">
        <v>0</v>
      </c>
      <c r="AO1025">
        <v>0</v>
      </c>
      <c r="AP1025">
        <v>0.832</v>
      </c>
      <c r="AQ1025">
        <v>0.027</v>
      </c>
      <c r="AR1025">
        <v>0.001</v>
      </c>
      <c r="AS1025" s="3">
        <v>46107.77685185185</v>
      </c>
    </row>
    <row r="1026" ht="25.5" customHeight="1">
      <c r="A1026" t="inlineStr">
        <is>
          <t>69511d2a000000003702fc7e</t>
        </is>
      </c>
      <c r="B1026" s="2" t="str">
        <f>=HYPERLINK("https://www.xiaohongshu.com/user/profile/69511d2a000000003702fc7e", "https://www.xiaohongshu.com/user/profile/69511d2a000000003702fc7e")</f>
        <v>https://www.xiaohongshu.com/user/profile/69511d2a000000003702fc7e</v>
      </c>
      <c r="C1026" s="2" t="str">
        <f>=HYPERLINK("https://pgy.xiaohongshu.com/solar/pre-trade/blogger-detail/69511d2a000000003702fc7e", "https://pgy.xiaohongshu.com/solar/pre-trade/blogger-detail/69511d2a000000003702fc7e")</f>
        <v>https://pgy.xiaohongshu.com/solar/pre-trade/blogger-detail/69511d2a000000003702fc7e</v>
      </c>
      <c r="D1026" t="inlineStr">
        <is>
          <t>女</t>
        </is>
      </c>
      <c r="E1026" t="inlineStr">
        <is>
          <t>63520618697</t>
        </is>
      </c>
      <c r="F1026" t="inlineStr">
        <is>
          <t>雅思口语Daily</t>
        </is>
      </c>
      <c r="G1026" t="inlineStr">
        <is>
          <t>湖北 武汉 江夏区</t>
        </is>
      </c>
      <c r="H1026"/>
      <c r="I1026" t="inlineStr">
        <is>
          <t>教育</t>
        </is>
      </c>
      <c r="J1026">
        <v>46440</v>
      </c>
      <c r="K1026" t="inlineStr">
        <is>
          <t>4.6</t>
        </is>
      </c>
      <c r="L1026">
        <v>36854</v>
      </c>
      <c r="M1026">
        <v>4178</v>
      </c>
      <c r="N1026">
        <v>357</v>
      </c>
      <c r="O1026">
        <v>500</v>
      </c>
      <c r="P1026">
        <v>0</v>
      </c>
      <c r="Q1026">
        <v>0.857</v>
      </c>
      <c r="R1026">
        <v>36854</v>
      </c>
      <c r="S1026">
        <v>4178</v>
      </c>
      <c r="T1026">
        <v>303</v>
      </c>
      <c r="U1026">
        <v>0.42</v>
      </c>
      <c r="V1026">
        <v>500</v>
      </c>
      <c r="W1026">
        <v>0.857</v>
      </c>
      <c r="X1026">
        <v>0</v>
      </c>
      <c r="Y1026">
        <v>13.57</v>
      </c>
      <c r="Z1026">
        <v>1.4</v>
      </c>
      <c r="AA1026">
        <v>0</v>
      </c>
      <c r="AB1026">
        <v>0</v>
      </c>
      <c r="AC1026">
        <v>0</v>
      </c>
      <c r="AD1026">
        <v>0</v>
      </c>
      <c r="AE1026">
        <v>0</v>
      </c>
      <c r="AF1026">
        <v>0</v>
      </c>
      <c r="AG1026">
        <v>0</v>
      </c>
      <c r="AH1026">
        <v>0</v>
      </c>
      <c r="AI1026">
        <v>0</v>
      </c>
      <c r="AJ1026">
        <v>0</v>
      </c>
      <c r="AK1026">
        <v>0</v>
      </c>
      <c r="AL1026">
        <v>0</v>
      </c>
      <c r="AM1026">
        <v>0</v>
      </c>
      <c r="AN1026">
        <v>0</v>
      </c>
      <c r="AO1026">
        <v>0</v>
      </c>
      <c r="AP1026">
        <v>0.99</v>
      </c>
      <c r="AQ1026">
        <v>0.104</v>
      </c>
      <c r="AR1026">
        <v>0.358</v>
      </c>
      <c r="AS1026" s="3">
        <v>46107.77685185185</v>
      </c>
    </row>
    <row r="1027" ht="25.5" customHeight="1">
      <c r="A1027" t="inlineStr">
        <is>
          <t>63a9540f000000002702879e</t>
        </is>
      </c>
      <c r="B1027" s="2" t="str">
        <f>=HYPERLINK("https://www.xiaohongshu.com/user/profile/63a9540f000000002702879e", "https://www.xiaohongshu.com/user/profile/63a9540f000000002702879e")</f>
        <v>https://www.xiaohongshu.com/user/profile/63a9540f000000002702879e</v>
      </c>
      <c r="C1027" s="2" t="str">
        <f>=HYPERLINK("https://pgy.xiaohongshu.com/solar/pre-trade/blogger-detail/63a9540f000000002702879e", "https://pgy.xiaohongshu.com/solar/pre-trade/blogger-detail/63a9540f000000002702879e")</f>
        <v>https://pgy.xiaohongshu.com/solar/pre-trade/blogger-detail/63a9540f000000002702879e</v>
      </c>
      <c r="D1027" t="inlineStr">
        <is>
          <t>女</t>
        </is>
      </c>
      <c r="E1027" t="inlineStr">
        <is>
          <t>3881045309</t>
        </is>
      </c>
      <c r="F1027" t="inlineStr">
        <is>
          <t>栓Q女人</t>
        </is>
      </c>
      <c r="G1027" t="inlineStr">
        <is>
          <t>江苏 南京 栖霞区</t>
        </is>
      </c>
      <c r="H1027" t="inlineStr">
        <is>
          <t>户外爱好者, 学生</t>
        </is>
      </c>
      <c r="I1027" t="inlineStr">
        <is>
          <t>教育</t>
        </is>
      </c>
      <c r="J1027">
        <v>3155</v>
      </c>
      <c r="K1027" t="inlineStr">
        <is>
          <t>0.3</t>
        </is>
      </c>
      <c r="L1027">
        <v>3808</v>
      </c>
      <c r="M1027">
        <v>417</v>
      </c>
      <c r="N1027">
        <v>150</v>
      </c>
      <c r="O1027">
        <v>100</v>
      </c>
      <c r="P1027">
        <v>0</v>
      </c>
      <c r="Q1027">
        <v>0.332999999999999</v>
      </c>
      <c r="R1027">
        <v>3808</v>
      </c>
      <c r="S1027">
        <v>417</v>
      </c>
      <c r="T1027">
        <v>136</v>
      </c>
      <c r="U1027">
        <v>0.54</v>
      </c>
      <c r="V1027">
        <v>100</v>
      </c>
      <c r="W1027">
        <v>0.332999999999999</v>
      </c>
      <c r="X1027">
        <v>0</v>
      </c>
      <c r="Y1027">
        <v>26.26</v>
      </c>
      <c r="Z1027">
        <v>0.67</v>
      </c>
      <c r="AA1027">
        <v>0</v>
      </c>
      <c r="AB1027">
        <v>0</v>
      </c>
      <c r="AC1027">
        <v>0</v>
      </c>
      <c r="AD1027">
        <v>0</v>
      </c>
      <c r="AE1027">
        <v>197</v>
      </c>
      <c r="AF1027">
        <v>0</v>
      </c>
      <c r="AG1027">
        <v>0</v>
      </c>
      <c r="AH1027">
        <v>0</v>
      </c>
      <c r="AI1027">
        <v>0</v>
      </c>
      <c r="AJ1027">
        <v>0</v>
      </c>
      <c r="AK1027">
        <v>0</v>
      </c>
      <c r="AL1027">
        <v>0</v>
      </c>
      <c r="AM1027">
        <v>0</v>
      </c>
      <c r="AN1027">
        <v>0</v>
      </c>
      <c r="AO1027">
        <v>0</v>
      </c>
      <c r="AP1027">
        <v>0.862</v>
      </c>
      <c r="AQ1027">
        <v>0.043</v>
      </c>
      <c r="AR1027">
        <v>0.053</v>
      </c>
      <c r="AS1027" s="3">
        <v>46107.77685185185</v>
      </c>
    </row>
    <row r="1028" ht="25.5" customHeight="1">
      <c r="A1028" t="inlineStr">
        <is>
          <t>62ea717f000000001f0059ed</t>
        </is>
      </c>
      <c r="B1028" s="2" t="str">
        <f>=HYPERLINK("https://www.xiaohongshu.com/user/profile/62ea717f000000001f0059ed", "https://www.xiaohongshu.com/user/profile/62ea717f000000001f0059ed")</f>
        <v>https://www.xiaohongshu.com/user/profile/62ea717f000000001f0059ed</v>
      </c>
      <c r="C1028" s="2" t="str">
        <f>=HYPERLINK("https://pgy.xiaohongshu.com/solar/pre-trade/blogger-detail/62ea717f000000001f0059ed", "https://pgy.xiaohongshu.com/solar/pre-trade/blogger-detail/62ea717f000000001f0059ed")</f>
        <v>https://pgy.xiaohongshu.com/solar/pre-trade/blogger-detail/62ea717f000000001f0059ed</v>
      </c>
      <c r="D1028" t="inlineStr">
        <is>
          <t>女</t>
        </is>
      </c>
      <c r="E1028" t="inlineStr">
        <is>
          <t>5354867226</t>
        </is>
      </c>
      <c r="F1028" t="inlineStr">
        <is>
          <t>水冗ruoyun</t>
        </is>
      </c>
      <c r="G1028" t="inlineStr">
        <is>
          <t>山西 太原 小店区</t>
        </is>
      </c>
      <c r="H1028"/>
      <c r="I1028" t="inlineStr">
        <is>
          <t>影视综资讯, 兴趣爱好, 教育</t>
        </is>
      </c>
      <c r="J1028">
        <v>1895</v>
      </c>
      <c r="K1028" t="inlineStr">
        <is>
          <t>0.2</t>
        </is>
      </c>
      <c r="L1028">
        <v>11413</v>
      </c>
      <c r="M1028">
        <v>3523</v>
      </c>
      <c r="N1028">
        <v>217</v>
      </c>
      <c r="O1028">
        <v>150</v>
      </c>
      <c r="P1028">
        <v>0</v>
      </c>
      <c r="Q1028">
        <v>0.5</v>
      </c>
      <c r="R1028">
        <v>11413</v>
      </c>
      <c r="S1028">
        <v>3523</v>
      </c>
      <c r="T1028">
        <v>171</v>
      </c>
      <c r="U1028">
        <v>0.39</v>
      </c>
      <c r="V1028">
        <v>150</v>
      </c>
      <c r="W1028">
        <v>0.5</v>
      </c>
      <c r="X1028">
        <v>0</v>
      </c>
      <c r="Y1028">
        <v>29.22</v>
      </c>
      <c r="Z1028">
        <v>3.06</v>
      </c>
      <c r="AA1028">
        <v>0</v>
      </c>
      <c r="AB1028">
        <v>0</v>
      </c>
      <c r="AC1028">
        <v>0</v>
      </c>
      <c r="AD1028">
        <v>0</v>
      </c>
      <c r="AE1028">
        <v>360</v>
      </c>
      <c r="AF1028">
        <v>0</v>
      </c>
      <c r="AG1028">
        <v>0</v>
      </c>
      <c r="AH1028">
        <v>0</v>
      </c>
      <c r="AI1028">
        <v>0</v>
      </c>
      <c r="AJ1028">
        <v>0</v>
      </c>
      <c r="AK1028">
        <v>622</v>
      </c>
      <c r="AL1028">
        <v>60</v>
      </c>
      <c r="AM1028">
        <v>3</v>
      </c>
      <c r="AN1028">
        <v>0</v>
      </c>
      <c r="AO1028">
        <v>0</v>
      </c>
      <c r="AP1028">
        <v>0.65</v>
      </c>
      <c r="AQ1028">
        <v>0.03</v>
      </c>
      <c r="AR1028">
        <v>0.048</v>
      </c>
      <c r="AS1028" s="3">
        <v>46107.77685185185</v>
      </c>
    </row>
    <row r="1029" ht="25.5" customHeight="1">
      <c r="A1029" t="inlineStr">
        <is>
          <t>64c75c37000000000e024a85</t>
        </is>
      </c>
      <c r="B1029" s="2" t="str">
        <f>=HYPERLINK("https://www.xiaohongshu.com/user/profile/64c75c37000000000e024a85", "https://www.xiaohongshu.com/user/profile/64c75c37000000000e024a85")</f>
        <v>https://www.xiaohongshu.com/user/profile/64c75c37000000000e024a85</v>
      </c>
      <c r="C1029" s="2" t="str">
        <f>=HYPERLINK("https://pgy.xiaohongshu.com/solar/pre-trade/blogger-detail/64c75c37000000000e024a85", "https://pgy.xiaohongshu.com/solar/pre-trade/blogger-detail/64c75c37000000000e024a85")</f>
        <v>https://pgy.xiaohongshu.com/solar/pre-trade/blogger-detail/64c75c37000000000e024a85</v>
      </c>
      <c r="D1029" t="inlineStr">
        <is>
          <t>女</t>
        </is>
      </c>
      <c r="E1029" t="inlineStr">
        <is>
          <t>yhy2023yhy</t>
        </is>
      </c>
      <c r="F1029" t="inlineStr">
        <is>
          <t>独走人海</t>
        </is>
      </c>
      <c r="G1029" t="inlineStr">
        <is>
          <t>韩国</t>
        </is>
      </c>
      <c r="H1029" t="inlineStr">
        <is>
          <t>海外华人, 独居人群, 留学背景</t>
        </is>
      </c>
      <c r="I1029" t="inlineStr">
        <is>
          <t>教育, 生活记录</t>
        </is>
      </c>
      <c r="J1029">
        <v>2638</v>
      </c>
      <c r="K1029" t="inlineStr">
        <is>
          <t>0.3</t>
        </is>
      </c>
      <c r="L1029">
        <v>7787</v>
      </c>
      <c r="M1029">
        <v>1204</v>
      </c>
      <c r="N1029">
        <v>113</v>
      </c>
      <c r="O1029">
        <v>500</v>
      </c>
      <c r="P1029">
        <v>0</v>
      </c>
      <c r="Q1029">
        <v>0.332999999999999</v>
      </c>
      <c r="R1029">
        <v>7787</v>
      </c>
      <c r="S1029">
        <v>1204</v>
      </c>
      <c r="T1029">
        <v>78</v>
      </c>
      <c r="U1029">
        <v>0.72</v>
      </c>
      <c r="V1029">
        <v>500</v>
      </c>
      <c r="W1029">
        <v>0.332999999999999</v>
      </c>
      <c r="X1029">
        <v>0</v>
      </c>
      <c r="Y1029">
        <v>64.21</v>
      </c>
      <c r="Z1029">
        <v>4.41</v>
      </c>
      <c r="AA1029">
        <v>0</v>
      </c>
      <c r="AB1029">
        <v>0</v>
      </c>
      <c r="AC1029">
        <v>0</v>
      </c>
      <c r="AD1029">
        <v>0</v>
      </c>
      <c r="AE1029">
        <v>600</v>
      </c>
      <c r="AF1029">
        <v>0</v>
      </c>
      <c r="AG1029">
        <v>0</v>
      </c>
      <c r="AH1029">
        <v>0</v>
      </c>
      <c r="AI1029">
        <v>0</v>
      </c>
      <c r="AJ1029">
        <v>0</v>
      </c>
      <c r="AK1029">
        <v>0</v>
      </c>
      <c r="AL1029">
        <v>0</v>
      </c>
      <c r="AM1029">
        <v>0</v>
      </c>
      <c r="AN1029">
        <v>0</v>
      </c>
      <c r="AO1029">
        <v>0</v>
      </c>
      <c r="AP1029">
        <v>0.842</v>
      </c>
      <c r="AQ1029">
        <v>0.068</v>
      </c>
      <c r="AR1029">
        <v>0.023</v>
      </c>
      <c r="AS1029" s="3">
        <v>46107.77685185185</v>
      </c>
    </row>
    <row r="1030" ht="25.5" customHeight="1">
      <c r="A1030" t="inlineStr">
        <is>
          <t>5d2c8aaf0000000016036bd2</t>
        </is>
      </c>
      <c r="B1030" s="2" t="str">
        <f>=HYPERLINK("https://www.xiaohongshu.com/user/profile/5d2c8aaf0000000016036bd2", "https://www.xiaohongshu.com/user/profile/5d2c8aaf0000000016036bd2")</f>
        <v>https://www.xiaohongshu.com/user/profile/5d2c8aaf0000000016036bd2</v>
      </c>
      <c r="C1030" s="2" t="str">
        <f>=HYPERLINK("https://pgy.xiaohongshu.com/solar/pre-trade/blogger-detail/5d2c8aaf0000000016036bd2", "https://pgy.xiaohongshu.com/solar/pre-trade/blogger-detail/5d2c8aaf0000000016036bd2")</f>
        <v>https://pgy.xiaohongshu.com/solar/pre-trade/blogger-detail/5d2c8aaf0000000016036bd2</v>
      </c>
      <c r="D1030" t="inlineStr">
        <is>
          <t>女</t>
        </is>
      </c>
      <c r="E1030" t="inlineStr">
        <is>
          <t>818756364</t>
        </is>
      </c>
      <c r="F1030" t="inlineStr">
        <is>
          <t>天天想困告💤</t>
        </is>
      </c>
      <c r="G1030" t="inlineStr">
        <is>
          <t>江西 上饶 鄱阳县</t>
        </is>
      </c>
      <c r="H1030" t="inlineStr">
        <is>
          <t>考研过来人, 学生</t>
        </is>
      </c>
      <c r="I1030" t="inlineStr">
        <is>
          <t>教育, 生活记录</t>
        </is>
      </c>
      <c r="J1030">
        <v>2631</v>
      </c>
      <c r="K1030" t="inlineStr">
        <is>
          <t>0.3</t>
        </is>
      </c>
      <c r="L1030">
        <v>16112</v>
      </c>
      <c r="M1030">
        <v>4244</v>
      </c>
      <c r="N1030">
        <v>181</v>
      </c>
      <c r="O1030">
        <v>160</v>
      </c>
      <c r="P1030">
        <v>0</v>
      </c>
      <c r="Q1030">
        <v>0.5</v>
      </c>
      <c r="R1030">
        <v>16112</v>
      </c>
      <c r="S1030">
        <v>4244</v>
      </c>
      <c r="T1030">
        <v>156</v>
      </c>
      <c r="U1030">
        <v>0.34</v>
      </c>
      <c r="V1030">
        <v>160</v>
      </c>
      <c r="W1030">
        <v>0.5</v>
      </c>
      <c r="X1030">
        <v>0</v>
      </c>
      <c r="Y1030">
        <v>9.93</v>
      </c>
      <c r="Z1030">
        <v>0.88</v>
      </c>
      <c r="AA1030">
        <v>0</v>
      </c>
      <c r="AB1030">
        <v>0</v>
      </c>
      <c r="AC1030">
        <v>0</v>
      </c>
      <c r="AD1030">
        <v>0</v>
      </c>
      <c r="AE1030">
        <v>280</v>
      </c>
      <c r="AF1030">
        <v>0</v>
      </c>
      <c r="AG1030">
        <v>0</v>
      </c>
      <c r="AH1030">
        <v>0</v>
      </c>
      <c r="AI1030">
        <v>0</v>
      </c>
      <c r="AJ1030">
        <v>0</v>
      </c>
      <c r="AK1030">
        <v>0</v>
      </c>
      <c r="AL1030">
        <v>0</v>
      </c>
      <c r="AM1030">
        <v>0</v>
      </c>
      <c r="AN1030">
        <v>0</v>
      </c>
      <c r="AO1030">
        <v>0</v>
      </c>
      <c r="AP1030">
        <v>0.800999999999999</v>
      </c>
      <c r="AQ1030">
        <v>0.021</v>
      </c>
      <c r="AR1030">
        <v>0.023</v>
      </c>
      <c r="AS1030" s="3">
        <v>46107.77685185185</v>
      </c>
    </row>
    <row r="1031" ht="25.5" customHeight="1">
      <c r="A1031" t="inlineStr">
        <is>
          <t>6346d323000000001901feb3</t>
        </is>
      </c>
      <c r="B1031" s="2" t="str">
        <f>=HYPERLINK("https://www.xiaohongshu.com/user/profile/6346d323000000001901feb3", "https://www.xiaohongshu.com/user/profile/6346d323000000001901feb3")</f>
        <v>https://www.xiaohongshu.com/user/profile/6346d323000000001901feb3</v>
      </c>
      <c r="C1031" s="2" t="str">
        <f>=HYPERLINK("https://pgy.xiaohongshu.com/solar/pre-trade/blogger-detail/6346d323000000001901feb3", "https://pgy.xiaohongshu.com/solar/pre-trade/blogger-detail/6346d323000000001901feb3")</f>
        <v>https://pgy.xiaohongshu.com/solar/pre-trade/blogger-detail/6346d323000000001901feb3</v>
      </c>
      <c r="D1031" t="inlineStr">
        <is>
          <t>女</t>
        </is>
      </c>
      <c r="E1031" t="inlineStr">
        <is>
          <t>4194695589</t>
        </is>
      </c>
      <c r="F1031" t="inlineStr">
        <is>
          <t>阿鱼鱼鱼鱼</t>
        </is>
      </c>
      <c r="G1031" t="inlineStr">
        <is>
          <t>山东 青岛 黄岛区</t>
        </is>
      </c>
      <c r="H1031"/>
      <c r="I1031" t="inlineStr">
        <is>
          <t>教育</t>
        </is>
      </c>
      <c r="J1031">
        <v>2304</v>
      </c>
      <c r="K1031" t="inlineStr">
        <is>
          <t>0.2</t>
        </is>
      </c>
      <c r="L1031">
        <v>4736</v>
      </c>
      <c r="M1031">
        <v>1400</v>
      </c>
      <c r="N1031">
        <v>111</v>
      </c>
      <c r="O1031">
        <v>230</v>
      </c>
      <c r="P1031">
        <v>0</v>
      </c>
      <c r="Q1031">
        <v>0</v>
      </c>
      <c r="R1031">
        <v>0</v>
      </c>
      <c r="S1031">
        <v>0</v>
      </c>
      <c r="T1031">
        <v>0</v>
      </c>
      <c r="U1031">
        <v>0</v>
      </c>
      <c r="V1031">
        <v>230</v>
      </c>
      <c r="W1031">
        <v>0</v>
      </c>
      <c r="X1031">
        <v>0</v>
      </c>
      <c r="Y1031">
        <v>0</v>
      </c>
      <c r="Z1031">
        <v>0</v>
      </c>
      <c r="AA1031">
        <v>4736</v>
      </c>
      <c r="AB1031">
        <v>1400</v>
      </c>
      <c r="AC1031">
        <v>106</v>
      </c>
      <c r="AD1031">
        <v>1.74</v>
      </c>
      <c r="AE1031">
        <v>332</v>
      </c>
      <c r="AF1031">
        <v>0</v>
      </c>
      <c r="AG1031">
        <v>0</v>
      </c>
      <c r="AH1031">
        <v>0.036</v>
      </c>
      <c r="AI1031">
        <v>70.1</v>
      </c>
      <c r="AJ1031">
        <v>2.99</v>
      </c>
      <c r="AK1031">
        <v>0</v>
      </c>
      <c r="AL1031">
        <v>0</v>
      </c>
      <c r="AM1031">
        <v>0</v>
      </c>
      <c r="AN1031">
        <v>0</v>
      </c>
      <c r="AO1031">
        <v>0</v>
      </c>
      <c r="AP1031">
        <v>0.951</v>
      </c>
      <c r="AQ1031">
        <v>0.04</v>
      </c>
      <c r="AR1031">
        <v>0.031</v>
      </c>
      <c r="AS1031" s="3">
        <v>46107.77685185185</v>
      </c>
    </row>
    <row r="1032" ht="25.5" customHeight="1">
      <c r="A1032" t="inlineStr">
        <is>
          <t>61ebaa2c000000001000d0b5</t>
        </is>
      </c>
      <c r="B1032" s="2" t="str">
        <f>=HYPERLINK("https://www.xiaohongshu.com/user/profile/61ebaa2c000000001000d0b5", "https://www.xiaohongshu.com/user/profile/61ebaa2c000000001000d0b5")</f>
        <v>https://www.xiaohongshu.com/user/profile/61ebaa2c000000001000d0b5</v>
      </c>
      <c r="C1032" s="2" t="str">
        <f>=HYPERLINK("https://pgy.xiaohongshu.com/solar/pre-trade/blogger-detail/61ebaa2c000000001000d0b5", "https://pgy.xiaohongshu.com/solar/pre-trade/blogger-detail/61ebaa2c000000001000d0b5")</f>
        <v>https://pgy.xiaohongshu.com/solar/pre-trade/blogger-detail/61ebaa2c000000001000d0b5</v>
      </c>
      <c r="D1032" t="inlineStr">
        <is>
          <t>女</t>
        </is>
      </c>
      <c r="E1032" t="inlineStr">
        <is>
          <t>6536574539</t>
        </is>
      </c>
      <c r="F1032" t="inlineStr">
        <is>
          <t>我要7兔兔</t>
        </is>
      </c>
      <c r="G1032" t="inlineStr">
        <is>
          <t>北京</t>
        </is>
      </c>
      <c r="H1032" t="inlineStr">
        <is>
          <t>考研过来人, 学生</t>
        </is>
      </c>
      <c r="I1032"/>
      <c r="J1032">
        <v>2356</v>
      </c>
      <c r="K1032" t="inlineStr">
        <is>
          <t>0.2</t>
        </is>
      </c>
      <c r="L1032">
        <v>8915</v>
      </c>
      <c r="M1032">
        <v>1614</v>
      </c>
      <c r="N1032">
        <v>114</v>
      </c>
      <c r="O1032">
        <v>350</v>
      </c>
      <c r="P1032">
        <v>0</v>
      </c>
      <c r="Q1032">
        <v>0</v>
      </c>
      <c r="R1032">
        <v>8915</v>
      </c>
      <c r="S1032">
        <v>1614</v>
      </c>
      <c r="T1032">
        <v>90</v>
      </c>
      <c r="U1032">
        <v>0.52</v>
      </c>
      <c r="V1032">
        <v>350</v>
      </c>
      <c r="W1032">
        <v>0</v>
      </c>
      <c r="X1032">
        <v>0</v>
      </c>
      <c r="Y1032">
        <v>39.26</v>
      </c>
      <c r="Z1032">
        <v>3.07</v>
      </c>
      <c r="AA1032">
        <v>0</v>
      </c>
      <c r="AB1032">
        <v>0</v>
      </c>
      <c r="AC1032">
        <v>0</v>
      </c>
      <c r="AD1032">
        <v>0</v>
      </c>
      <c r="AE1032">
        <v>500</v>
      </c>
      <c r="AF1032">
        <v>0</v>
      </c>
      <c r="AG1032">
        <v>0</v>
      </c>
      <c r="AH1032">
        <v>0</v>
      </c>
      <c r="AI1032">
        <v>0</v>
      </c>
      <c r="AJ1032">
        <v>0</v>
      </c>
      <c r="AK1032">
        <v>0</v>
      </c>
      <c r="AL1032">
        <v>0</v>
      </c>
      <c r="AM1032">
        <v>0</v>
      </c>
      <c r="AN1032">
        <v>0</v>
      </c>
      <c r="AO1032">
        <v>0</v>
      </c>
      <c r="AP1032">
        <v>0.792999999999999</v>
      </c>
      <c r="AQ1032">
        <v>0.017</v>
      </c>
      <c r="AR1032">
        <v>0.001</v>
      </c>
      <c r="AS1032" s="3">
        <v>46107.77685185185</v>
      </c>
    </row>
    <row r="1033" ht="25.5" customHeight="1">
      <c r="A1033" t="inlineStr">
        <is>
          <t>5f8c4ce80000000001006542</t>
        </is>
      </c>
      <c r="B1033" s="2" t="str">
        <f>=HYPERLINK("https://www.xiaohongshu.com/user/profile/5f8c4ce80000000001006542", "https://www.xiaohongshu.com/user/profile/5f8c4ce80000000001006542")</f>
        <v>https://www.xiaohongshu.com/user/profile/5f8c4ce80000000001006542</v>
      </c>
      <c r="C1033" s="2" t="str">
        <f>=HYPERLINK("https://pgy.xiaohongshu.com/solar/pre-trade/blogger-detail/5f8c4ce80000000001006542", "https://pgy.xiaohongshu.com/solar/pre-trade/blogger-detail/5f8c4ce80000000001006542")</f>
        <v>https://pgy.xiaohongshu.com/solar/pre-trade/blogger-detail/5f8c4ce80000000001006542</v>
      </c>
      <c r="D1033" t="inlineStr">
        <is>
          <t>男</t>
        </is>
      </c>
      <c r="E1033" t="inlineStr">
        <is>
          <t>1026694312</t>
        </is>
      </c>
      <c r="F1033" t="inlineStr">
        <is>
          <t>伦伦要书读</t>
        </is>
      </c>
      <c r="G1033" t="inlineStr">
        <is>
          <t>广东 广州 白云区</t>
        </is>
      </c>
      <c r="H1033"/>
      <c r="I1033" t="inlineStr">
        <is>
          <t>职场, 教育, 生活记录</t>
        </is>
      </c>
      <c r="J1033">
        <v>1374</v>
      </c>
      <c r="K1033" t="inlineStr">
        <is>
          <t>0.1</t>
        </is>
      </c>
      <c r="L1033">
        <v>5891</v>
      </c>
      <c r="M1033">
        <v>1189</v>
      </c>
      <c r="N1033">
        <v>144</v>
      </c>
      <c r="O1033">
        <v>200</v>
      </c>
      <c r="P1033">
        <v>0</v>
      </c>
      <c r="Q1033">
        <v>0</v>
      </c>
      <c r="R1033">
        <v>5891</v>
      </c>
      <c r="S1033">
        <v>1189</v>
      </c>
      <c r="T1033">
        <v>120</v>
      </c>
      <c r="U1033">
        <v>0.47</v>
      </c>
      <c r="V1033">
        <v>200</v>
      </c>
      <c r="W1033">
        <v>0</v>
      </c>
      <c r="X1033">
        <v>0</v>
      </c>
      <c r="Y1033">
        <v>33.95</v>
      </c>
      <c r="Z1033">
        <v>1.39</v>
      </c>
      <c r="AA1033">
        <v>0</v>
      </c>
      <c r="AB1033">
        <v>0</v>
      </c>
      <c r="AC1033">
        <v>0</v>
      </c>
      <c r="AD1033">
        <v>0</v>
      </c>
      <c r="AE1033">
        <v>500</v>
      </c>
      <c r="AF1033">
        <v>0</v>
      </c>
      <c r="AG1033">
        <v>0</v>
      </c>
      <c r="AH1033">
        <v>0</v>
      </c>
      <c r="AI1033">
        <v>0</v>
      </c>
      <c r="AJ1033">
        <v>0</v>
      </c>
      <c r="AK1033">
        <v>0</v>
      </c>
      <c r="AL1033">
        <v>0</v>
      </c>
      <c r="AM1033">
        <v>0</v>
      </c>
      <c r="AN1033">
        <v>0</v>
      </c>
      <c r="AO1033">
        <v>0</v>
      </c>
      <c r="AP1033">
        <v>0.866</v>
      </c>
      <c r="AQ1033">
        <v>0.047</v>
      </c>
      <c r="AR1033">
        <v>0.035</v>
      </c>
      <c r="AS1033" s="3">
        <v>46107.77685185185</v>
      </c>
    </row>
    <row r="1034" ht="25.5" customHeight="1">
      <c r="A1034" t="inlineStr">
        <is>
          <t>606c11810000000001003e26</t>
        </is>
      </c>
      <c r="B1034" s="2" t="str">
        <f>=HYPERLINK("https://www.xiaohongshu.com/user/profile/606c11810000000001003e26", "https://www.xiaohongshu.com/user/profile/606c11810000000001003e26")</f>
        <v>https://www.xiaohongshu.com/user/profile/606c11810000000001003e26</v>
      </c>
      <c r="C1034" s="2" t="str">
        <f>=HYPERLINK("https://pgy.xiaohongshu.com/solar/pre-trade/blogger-detail/606c11810000000001003e26", "https://pgy.xiaohongshu.com/solar/pre-trade/blogger-detail/606c11810000000001003e26")</f>
        <v>https://pgy.xiaohongshu.com/solar/pre-trade/blogger-detail/606c11810000000001003e26</v>
      </c>
      <c r="D1034" t="inlineStr">
        <is>
          <t>女</t>
        </is>
      </c>
      <c r="E1034" t="inlineStr">
        <is>
          <t>9474020663</t>
        </is>
      </c>
      <c r="F1034" t="inlineStr">
        <is>
          <t>Online School | E 3</t>
        </is>
      </c>
      <c r="G1034" t="inlineStr">
        <is>
          <t>加拿大</t>
        </is>
      </c>
      <c r="H1034"/>
      <c r="I1034" t="inlineStr">
        <is>
          <t>教育</t>
        </is>
      </c>
      <c r="J1034">
        <v>13484</v>
      </c>
      <c r="K1034" t="inlineStr">
        <is>
          <t>1.3</t>
        </is>
      </c>
      <c r="L1034">
        <v>4069</v>
      </c>
      <c r="M1034">
        <v>2042</v>
      </c>
      <c r="N1034">
        <v>227</v>
      </c>
      <c r="O1034">
        <v>420</v>
      </c>
      <c r="P1034">
        <v>0.091</v>
      </c>
      <c r="Q1034">
        <v>0.545</v>
      </c>
      <c r="R1034">
        <v>0</v>
      </c>
      <c r="S1034">
        <v>0</v>
      </c>
      <c r="T1034">
        <v>0</v>
      </c>
      <c r="U1034">
        <v>0</v>
      </c>
      <c r="V1034">
        <v>420</v>
      </c>
      <c r="W1034">
        <v>0</v>
      </c>
      <c r="X1034">
        <v>0</v>
      </c>
      <c r="Y1034">
        <v>0</v>
      </c>
      <c r="Z1034">
        <v>0</v>
      </c>
      <c r="AA1034">
        <v>4069</v>
      </c>
      <c r="AB1034">
        <v>2042</v>
      </c>
      <c r="AC1034">
        <v>171</v>
      </c>
      <c r="AD1034">
        <v>2.35</v>
      </c>
      <c r="AE1034">
        <v>1730</v>
      </c>
      <c r="AF1034">
        <v>0.545</v>
      </c>
      <c r="AG1034">
        <v>0.091</v>
      </c>
      <c r="AH1034">
        <v>0.237</v>
      </c>
      <c r="AI1034">
        <v>425.17</v>
      </c>
      <c r="AJ1034">
        <v>7.62</v>
      </c>
      <c r="AK1034">
        <v>0</v>
      </c>
      <c r="AL1034">
        <v>0</v>
      </c>
      <c r="AM1034">
        <v>0</v>
      </c>
      <c r="AN1034">
        <v>0</v>
      </c>
      <c r="AO1034">
        <v>0</v>
      </c>
      <c r="AP1034">
        <v>0.93</v>
      </c>
      <c r="AQ1034">
        <v>0.111999999999999</v>
      </c>
      <c r="AR1034">
        <v>0.342</v>
      </c>
      <c r="AS1034" s="3">
        <v>46107.77685185185</v>
      </c>
    </row>
    <row r="1035" ht="25.5" customHeight="1">
      <c r="A1035" t="inlineStr">
        <is>
          <t>5e4561a30000000001006474</t>
        </is>
      </c>
      <c r="B1035" s="2" t="str">
        <f>=HYPERLINK("https://www.xiaohongshu.com/user/profile/5e4561a30000000001006474", "https://www.xiaohongshu.com/user/profile/5e4561a30000000001006474")</f>
        <v>https://www.xiaohongshu.com/user/profile/5e4561a30000000001006474</v>
      </c>
      <c r="C1035" s="2" t="str">
        <f>=HYPERLINK("https://pgy.xiaohongshu.com/solar/pre-trade/blogger-detail/5e4561a30000000001006474", "https://pgy.xiaohongshu.com/solar/pre-trade/blogger-detail/5e4561a30000000001006474")</f>
        <v>https://pgy.xiaohongshu.com/solar/pre-trade/blogger-detail/5e4561a30000000001006474</v>
      </c>
      <c r="D1035" t="inlineStr">
        <is>
          <t>男</t>
        </is>
      </c>
      <c r="E1035" t="inlineStr">
        <is>
          <t>579202324</t>
        </is>
      </c>
      <c r="F1035" t="inlineStr">
        <is>
          <t>含浦医专</t>
        </is>
      </c>
      <c r="G1035" t="inlineStr">
        <is>
          <t>湖南 长沙 岳麓区</t>
        </is>
      </c>
      <c r="H1035"/>
      <c r="I1035" t="inlineStr">
        <is>
          <t>教育</t>
        </is>
      </c>
      <c r="J1035">
        <v>2092</v>
      </c>
      <c r="K1035" t="inlineStr">
        <is>
          <t>0.2</t>
        </is>
      </c>
      <c r="L1035">
        <v>3542</v>
      </c>
      <c r="M1035">
        <v>971</v>
      </c>
      <c r="N1035">
        <v>106</v>
      </c>
      <c r="O1035">
        <v>230</v>
      </c>
      <c r="P1035">
        <v>0</v>
      </c>
      <c r="Q1035">
        <v>0</v>
      </c>
      <c r="R1035">
        <v>22514</v>
      </c>
      <c r="S1035">
        <v>4392</v>
      </c>
      <c r="T1035">
        <v>133</v>
      </c>
      <c r="U1035">
        <v>0.35</v>
      </c>
      <c r="V1035">
        <v>230</v>
      </c>
      <c r="W1035">
        <v>0</v>
      </c>
      <c r="X1035">
        <v>0</v>
      </c>
      <c r="Y1035">
        <v>10.22</v>
      </c>
      <c r="Z1035">
        <v>1.61</v>
      </c>
      <c r="AA1035">
        <v>3542</v>
      </c>
      <c r="AB1035">
        <v>971</v>
      </c>
      <c r="AC1035">
        <v>88</v>
      </c>
      <c r="AD1035">
        <v>1.93</v>
      </c>
      <c r="AE1035">
        <v>422</v>
      </c>
      <c r="AF1035">
        <v>0</v>
      </c>
      <c r="AG1035">
        <v>0</v>
      </c>
      <c r="AH1035">
        <v>0.02</v>
      </c>
      <c r="AI1035">
        <v>119.14</v>
      </c>
      <c r="AJ1035">
        <v>3.98</v>
      </c>
      <c r="AK1035">
        <v>0</v>
      </c>
      <c r="AL1035">
        <v>0</v>
      </c>
      <c r="AM1035">
        <v>0</v>
      </c>
      <c r="AN1035">
        <v>0</v>
      </c>
      <c r="AO1035">
        <v>0</v>
      </c>
      <c r="AP1035">
        <v>0.932999999999999</v>
      </c>
      <c r="AQ1035">
        <v>0.054</v>
      </c>
      <c r="AR1035">
        <v>0.031</v>
      </c>
      <c r="AS1035" s="3">
        <v>46107.77685185185</v>
      </c>
    </row>
    <row r="1036" ht="25.5" customHeight="1">
      <c r="A1036" t="inlineStr">
        <is>
          <t>590812a25e87e7759f62b6e2</t>
        </is>
      </c>
      <c r="B1036" s="2" t="str">
        <f>=HYPERLINK("https://www.xiaohongshu.com/user/profile/590812a25e87e7759f62b6e2", "https://www.xiaohongshu.com/user/profile/590812a25e87e7759f62b6e2")</f>
        <v>https://www.xiaohongshu.com/user/profile/590812a25e87e7759f62b6e2</v>
      </c>
      <c r="C1036" s="2" t="str">
        <f>=HYPERLINK("https://pgy.xiaohongshu.com/solar/pre-trade/blogger-detail/590812a25e87e7759f62b6e2", "https://pgy.xiaohongshu.com/solar/pre-trade/blogger-detail/590812a25e87e7759f62b6e2")</f>
        <v>https://pgy.xiaohongshu.com/solar/pre-trade/blogger-detail/590812a25e87e7759f62b6e2</v>
      </c>
      <c r="D1036" t="inlineStr">
        <is>
          <t>女</t>
        </is>
      </c>
      <c r="E1036" t="inlineStr">
        <is>
          <t>428064117</t>
        </is>
      </c>
      <c r="F1036" t="inlineStr">
        <is>
          <t>凌云峰上学雅思</t>
        </is>
      </c>
      <c r="G1036" t="inlineStr">
        <is>
          <t>北京</t>
        </is>
      </c>
      <c r="H1036"/>
      <c r="I1036" t="inlineStr">
        <is>
          <t>教育</t>
        </is>
      </c>
      <c r="J1036">
        <v>1748</v>
      </c>
      <c r="K1036" t="inlineStr">
        <is>
          <t>0.2</t>
        </is>
      </c>
      <c r="L1036">
        <v>3218</v>
      </c>
      <c r="M1036">
        <v>1718</v>
      </c>
      <c r="N1036">
        <v>234</v>
      </c>
      <c r="O1036">
        <v>500</v>
      </c>
      <c r="P1036">
        <v>0</v>
      </c>
      <c r="Q1036">
        <v>0.5</v>
      </c>
      <c r="R1036">
        <v>0</v>
      </c>
      <c r="S1036">
        <v>0</v>
      </c>
      <c r="T1036">
        <v>0</v>
      </c>
      <c r="U1036">
        <v>0</v>
      </c>
      <c r="V1036">
        <v>500</v>
      </c>
      <c r="W1036">
        <v>0</v>
      </c>
      <c r="X1036">
        <v>0</v>
      </c>
      <c r="Y1036">
        <v>0</v>
      </c>
      <c r="Z1036">
        <v>0</v>
      </c>
      <c r="AA1036">
        <v>3218</v>
      </c>
      <c r="AB1036">
        <v>1718</v>
      </c>
      <c r="AC1036">
        <v>193</v>
      </c>
      <c r="AD1036">
        <v>2.08</v>
      </c>
      <c r="AE1036">
        <v>1000</v>
      </c>
      <c r="AF1036">
        <v>0.5</v>
      </c>
      <c r="AG1036">
        <v>0</v>
      </c>
      <c r="AH1036">
        <v>0.012</v>
      </c>
      <c r="AI1036">
        <v>310.75</v>
      </c>
      <c r="AJ1036">
        <v>4.27</v>
      </c>
      <c r="AK1036">
        <v>0</v>
      </c>
      <c r="AL1036">
        <v>0</v>
      </c>
      <c r="AM1036">
        <v>0</v>
      </c>
      <c r="AN1036">
        <v>0</v>
      </c>
      <c r="AO1036">
        <v>0</v>
      </c>
      <c r="AP1036">
        <v>0.958</v>
      </c>
      <c r="AQ1036">
        <v>0.111999999999999</v>
      </c>
      <c r="AR1036">
        <v>0.123</v>
      </c>
      <c r="AS1036" s="3">
        <v>46107.77685185185</v>
      </c>
    </row>
    <row r="1037" ht="25.5" customHeight="1">
      <c r="A1037" t="inlineStr">
        <is>
          <t>605c50ac0000000001009348</t>
        </is>
      </c>
      <c r="B1037" s="2" t="str">
        <f>=HYPERLINK("https://www.xiaohongshu.com/user/profile/605c50ac0000000001009348", "https://www.xiaohongshu.com/user/profile/605c50ac0000000001009348")</f>
        <v>https://www.xiaohongshu.com/user/profile/605c50ac0000000001009348</v>
      </c>
      <c r="C1037" s="2" t="str">
        <f>=HYPERLINK("https://pgy.xiaohongshu.com/solar/pre-trade/blogger-detail/605c50ac0000000001009348", "https://pgy.xiaohongshu.com/solar/pre-trade/blogger-detail/605c50ac0000000001009348")</f>
        <v>https://pgy.xiaohongshu.com/solar/pre-trade/blogger-detail/605c50ac0000000001009348</v>
      </c>
      <c r="D1037" t="inlineStr">
        <is>
          <t>男</t>
        </is>
      </c>
      <c r="E1037" t="inlineStr">
        <is>
          <t>4215025764</t>
        </is>
      </c>
      <c r="F1037" t="inlineStr">
        <is>
          <t>正儿八经的Sam老师</t>
        </is>
      </c>
      <c r="G1037" t="inlineStr">
        <is>
          <t>四川 成都 龙泉驿区</t>
        </is>
      </c>
      <c r="H1037" t="inlineStr">
        <is>
          <t>6-12岁, 爸爸</t>
        </is>
      </c>
      <c r="I1037" t="inlineStr">
        <is>
          <t>教育</t>
        </is>
      </c>
      <c r="J1037">
        <v>5938</v>
      </c>
      <c r="K1037" t="inlineStr">
        <is>
          <t>0.6</t>
        </is>
      </c>
      <c r="L1037">
        <v>2044</v>
      </c>
      <c r="M1037">
        <v>1266</v>
      </c>
      <c r="N1037">
        <v>110</v>
      </c>
      <c r="O1037">
        <v>181</v>
      </c>
      <c r="P1037">
        <v>0.065</v>
      </c>
      <c r="Q1037">
        <v>0.226</v>
      </c>
      <c r="R1037">
        <v>0</v>
      </c>
      <c r="S1037">
        <v>0</v>
      </c>
      <c r="T1037">
        <v>0</v>
      </c>
      <c r="U1037">
        <v>0</v>
      </c>
      <c r="V1037">
        <v>181</v>
      </c>
      <c r="W1037">
        <v>0</v>
      </c>
      <c r="X1037">
        <v>0</v>
      </c>
      <c r="Y1037">
        <v>0</v>
      </c>
      <c r="Z1037">
        <v>0</v>
      </c>
      <c r="AA1037">
        <v>2044</v>
      </c>
      <c r="AB1037">
        <v>1266</v>
      </c>
      <c r="AC1037">
        <v>90</v>
      </c>
      <c r="AD1037">
        <v>2.05</v>
      </c>
      <c r="AE1037">
        <v>697</v>
      </c>
      <c r="AF1037">
        <v>0.226</v>
      </c>
      <c r="AG1037">
        <v>0.065</v>
      </c>
      <c r="AH1037">
        <v>0.312</v>
      </c>
      <c r="AI1037">
        <v>341</v>
      </c>
      <c r="AJ1037">
        <v>6.34</v>
      </c>
      <c r="AK1037">
        <v>0</v>
      </c>
      <c r="AL1037">
        <v>0</v>
      </c>
      <c r="AM1037">
        <v>0</v>
      </c>
      <c r="AN1037">
        <v>0</v>
      </c>
      <c r="AO1037">
        <v>0</v>
      </c>
      <c r="AP1037">
        <v>0.965</v>
      </c>
      <c r="AQ1037">
        <v>0.295</v>
      </c>
      <c r="AR1037">
        <v>3.887</v>
      </c>
      <c r="AS1037" s="3">
        <v>46107.77685185185</v>
      </c>
    </row>
    <row r="1038" ht="25.5" customHeight="1">
      <c r="A1038" t="inlineStr">
        <is>
          <t>607fdffc000000000101ce40</t>
        </is>
      </c>
      <c r="B1038" s="2" t="str">
        <f>=HYPERLINK("https://www.xiaohongshu.com/user/profile/607fdffc000000000101ce40", "https://www.xiaohongshu.com/user/profile/607fdffc000000000101ce40")</f>
        <v>https://www.xiaohongshu.com/user/profile/607fdffc000000000101ce40</v>
      </c>
      <c r="C1038" s="2" t="str">
        <f>=HYPERLINK("https://pgy.xiaohongshu.com/solar/pre-trade/blogger-detail/607fdffc000000000101ce40", "https://pgy.xiaohongshu.com/solar/pre-trade/blogger-detail/607fdffc000000000101ce40")</f>
        <v>https://pgy.xiaohongshu.com/solar/pre-trade/blogger-detail/607fdffc000000000101ce40</v>
      </c>
      <c r="D1038" t="inlineStr">
        <is>
          <t>女</t>
        </is>
      </c>
      <c r="E1038" t="inlineStr">
        <is>
          <t>2692371324</t>
        </is>
      </c>
      <c r="F1038" t="inlineStr">
        <is>
          <t>小猫爱背单词</t>
        </is>
      </c>
      <c r="G1038" t="inlineStr">
        <is>
          <t>河北 石家庄 晋州市</t>
        </is>
      </c>
      <c r="H1038"/>
      <c r="I1038" t="inlineStr">
        <is>
          <t>教育</t>
        </is>
      </c>
      <c r="J1038">
        <v>1479</v>
      </c>
      <c r="K1038" t="inlineStr">
        <is>
          <t>0.1</t>
        </is>
      </c>
      <c r="L1038">
        <v>1625</v>
      </c>
      <c r="M1038">
        <v>1266</v>
      </c>
      <c r="N1038">
        <v>192</v>
      </c>
      <c r="O1038">
        <v>200</v>
      </c>
      <c r="P1038">
        <v>0</v>
      </c>
      <c r="Q1038">
        <v>0.714</v>
      </c>
      <c r="R1038">
        <v>11241</v>
      </c>
      <c r="S1038">
        <v>2096</v>
      </c>
      <c r="T1038">
        <v>166</v>
      </c>
      <c r="U1038">
        <v>0.4</v>
      </c>
      <c r="V1038">
        <v>200</v>
      </c>
      <c r="W1038">
        <v>0.571</v>
      </c>
      <c r="X1038">
        <v>0</v>
      </c>
      <c r="Y1038">
        <v>17.79</v>
      </c>
      <c r="Z1038">
        <v>1.06</v>
      </c>
      <c r="AA1038">
        <v>1563</v>
      </c>
      <c r="AB1038">
        <v>1235</v>
      </c>
      <c r="AC1038">
        <v>158</v>
      </c>
      <c r="AD1038">
        <v>1.66</v>
      </c>
      <c r="AE1038">
        <v>200</v>
      </c>
      <c r="AF1038">
        <v>0.75</v>
      </c>
      <c r="AG1038">
        <v>0</v>
      </c>
      <c r="AH1038">
        <v>0.147</v>
      </c>
      <c r="AI1038">
        <v>127.92</v>
      </c>
      <c r="AJ1038">
        <v>1.04</v>
      </c>
      <c r="AK1038">
        <v>0</v>
      </c>
      <c r="AL1038">
        <v>0</v>
      </c>
      <c r="AM1038">
        <v>0</v>
      </c>
      <c r="AN1038">
        <v>0</v>
      </c>
      <c r="AO1038">
        <v>0</v>
      </c>
      <c r="AP1038">
        <v>0.99</v>
      </c>
      <c r="AQ1038">
        <v>0.412</v>
      </c>
      <c r="AR1038">
        <v>0</v>
      </c>
      <c r="AS1038" s="3">
        <v>46107.77685185185</v>
      </c>
    </row>
    <row r="1039" ht="25.5" customHeight="1">
      <c r="A1039" t="inlineStr">
        <is>
          <t>5b77e31f39c7540001974131</t>
        </is>
      </c>
      <c r="B1039" s="2" t="str">
        <f>=HYPERLINK("https://www.xiaohongshu.com/user/profile/5b77e31f39c7540001974131", "https://www.xiaohongshu.com/user/profile/5b77e31f39c7540001974131")</f>
        <v>https://www.xiaohongshu.com/user/profile/5b77e31f39c7540001974131</v>
      </c>
      <c r="C1039" s="2" t="str">
        <f>=HYPERLINK("https://pgy.xiaohongshu.com/solar/pre-trade/blogger-detail/5b77e31f39c7540001974131", "https://pgy.xiaohongshu.com/solar/pre-trade/blogger-detail/5b77e31f39c7540001974131")</f>
        <v>https://pgy.xiaohongshu.com/solar/pre-trade/blogger-detail/5b77e31f39c7540001974131</v>
      </c>
      <c r="D1039" t="inlineStr">
        <is>
          <t>女</t>
        </is>
      </c>
      <c r="E1039" t="inlineStr">
        <is>
          <t>604812880</t>
        </is>
      </c>
      <c r="F1039" t="inlineStr">
        <is>
          <t>可摘学姐</t>
        </is>
      </c>
      <c r="G1039" t="inlineStr">
        <is>
          <t>江西 赣州 南康区</t>
        </is>
      </c>
      <c r="H1039"/>
      <c r="I1039" t="inlineStr">
        <is>
          <t>教育</t>
        </is>
      </c>
      <c r="J1039">
        <v>1923</v>
      </c>
      <c r="K1039" t="inlineStr">
        <is>
          <t>0.2</t>
        </is>
      </c>
      <c r="L1039">
        <v>32567</v>
      </c>
      <c r="M1039">
        <v>9171</v>
      </c>
      <c r="N1039">
        <v>1246</v>
      </c>
      <c r="O1039">
        <v>180</v>
      </c>
      <c r="P1039">
        <v>0</v>
      </c>
      <c r="Q1039">
        <v>1</v>
      </c>
      <c r="R1039">
        <v>32567</v>
      </c>
      <c r="S1039">
        <v>9171</v>
      </c>
      <c r="T1039">
        <v>1186</v>
      </c>
      <c r="U1039">
        <v>0.32</v>
      </c>
      <c r="V1039">
        <v>180</v>
      </c>
      <c r="W1039">
        <v>1</v>
      </c>
      <c r="X1039">
        <v>0</v>
      </c>
      <c r="Y1039">
        <v>5.53</v>
      </c>
      <c r="Z1039">
        <v>0.14</v>
      </c>
      <c r="AA1039">
        <v>0</v>
      </c>
      <c r="AB1039">
        <v>0</v>
      </c>
      <c r="AC1039">
        <v>0</v>
      </c>
      <c r="AD1039">
        <v>0</v>
      </c>
      <c r="AE1039">
        <v>270</v>
      </c>
      <c r="AF1039">
        <v>0</v>
      </c>
      <c r="AG1039">
        <v>0</v>
      </c>
      <c r="AH1039">
        <v>0</v>
      </c>
      <c r="AI1039">
        <v>0</v>
      </c>
      <c r="AJ1039">
        <v>0</v>
      </c>
      <c r="AK1039">
        <v>0</v>
      </c>
      <c r="AL1039">
        <v>0</v>
      </c>
      <c r="AM1039">
        <v>0</v>
      </c>
      <c r="AN1039">
        <v>0</v>
      </c>
      <c r="AO1039">
        <v>0</v>
      </c>
      <c r="AP1039">
        <v>0.836</v>
      </c>
      <c r="AQ1039">
        <v>0.046</v>
      </c>
      <c r="AR1039">
        <v>0.018</v>
      </c>
      <c r="AS1039" s="3">
        <v>46107.77685185185</v>
      </c>
    </row>
    <row r="1040" ht="25.5" customHeight="1">
      <c r="A1040" t="inlineStr">
        <is>
          <t>6555c82d0000000008000862</t>
        </is>
      </c>
      <c r="B1040" s="2" t="str">
        <f>=HYPERLINK("https://www.xiaohongshu.com/user/profile/6555c82d0000000008000862", "https://www.xiaohongshu.com/user/profile/6555c82d0000000008000862")</f>
        <v>https://www.xiaohongshu.com/user/profile/6555c82d0000000008000862</v>
      </c>
      <c r="C1040" s="2" t="str">
        <f>=HYPERLINK("https://pgy.xiaohongshu.com/solar/pre-trade/blogger-detail/6555c82d0000000008000862", "https://pgy.xiaohongshu.com/solar/pre-trade/blogger-detail/6555c82d0000000008000862")</f>
        <v>https://pgy.xiaohongshu.com/solar/pre-trade/blogger-detail/6555c82d0000000008000862</v>
      </c>
      <c r="D1040" t="inlineStr">
        <is>
          <t>男</t>
        </is>
      </c>
      <c r="E1040" t="inlineStr">
        <is>
          <t>26806898076</t>
        </is>
      </c>
      <c r="F1040" t="inlineStr">
        <is>
          <t>张五月</t>
        </is>
      </c>
      <c r="G1040" t="inlineStr">
        <is>
          <t>河南 郑州 二七区</t>
        </is>
      </c>
      <c r="H1040"/>
      <c r="I1040" t="inlineStr">
        <is>
          <t>教育</t>
        </is>
      </c>
      <c r="J1040">
        <v>1263</v>
      </c>
      <c r="K1040" t="inlineStr">
        <is>
          <t>0.1</t>
        </is>
      </c>
      <c r="L1040">
        <v>5713</v>
      </c>
      <c r="M1040">
        <v>1619</v>
      </c>
      <c r="N1040">
        <v>111</v>
      </c>
      <c r="O1040">
        <v>160</v>
      </c>
      <c r="P1040">
        <v>0</v>
      </c>
      <c r="Q1040">
        <v>0</v>
      </c>
      <c r="R1040">
        <v>5713</v>
      </c>
      <c r="S1040">
        <v>1619</v>
      </c>
      <c r="T1040">
        <v>53</v>
      </c>
      <c r="U1040">
        <v>0.4</v>
      </c>
      <c r="V1040">
        <v>160</v>
      </c>
      <c r="W1040">
        <v>0</v>
      </c>
      <c r="X1040">
        <v>0</v>
      </c>
      <c r="Y1040">
        <v>28.01</v>
      </c>
      <c r="Z1040">
        <v>1.44</v>
      </c>
      <c r="AA1040">
        <v>0</v>
      </c>
      <c r="AB1040">
        <v>0</v>
      </c>
      <c r="AC1040">
        <v>0</v>
      </c>
      <c r="AD1040">
        <v>0</v>
      </c>
      <c r="AE1040">
        <v>300</v>
      </c>
      <c r="AF1040">
        <v>0</v>
      </c>
      <c r="AG1040">
        <v>0</v>
      </c>
      <c r="AH1040">
        <v>0</v>
      </c>
      <c r="AI1040">
        <v>0</v>
      </c>
      <c r="AJ1040">
        <v>0</v>
      </c>
      <c r="AK1040">
        <v>0</v>
      </c>
      <c r="AL1040">
        <v>0</v>
      </c>
      <c r="AM1040">
        <v>0</v>
      </c>
      <c r="AN1040">
        <v>0</v>
      </c>
      <c r="AO1040">
        <v>0</v>
      </c>
      <c r="AP1040">
        <v>0.935</v>
      </c>
      <c r="AQ1040">
        <v>0.0819999999999999</v>
      </c>
      <c r="AR1040">
        <v>0.087</v>
      </c>
      <c r="AS1040" s="3">
        <v>46107.77685185185</v>
      </c>
    </row>
    <row r="1041" ht="25.5" customHeight="1">
      <c r="A1041" t="inlineStr">
        <is>
          <t>62cd51f5000000000e00c9b1</t>
        </is>
      </c>
      <c r="B1041" s="2" t="str">
        <f>=HYPERLINK("https://www.xiaohongshu.com/user/profile/62cd51f5000000000e00c9b1", "https://www.xiaohongshu.com/user/profile/62cd51f5000000000e00c9b1")</f>
        <v>https://www.xiaohongshu.com/user/profile/62cd51f5000000000e00c9b1</v>
      </c>
      <c r="C1041" s="2" t="str">
        <f>=HYPERLINK("https://pgy.xiaohongshu.com/solar/pre-trade/blogger-detail/62cd51f5000000000e00c9b1", "https://pgy.xiaohongshu.com/solar/pre-trade/blogger-detail/62cd51f5000000000e00c9b1")</f>
        <v>https://pgy.xiaohongshu.com/solar/pre-trade/blogger-detail/62cd51f5000000000e00c9b1</v>
      </c>
      <c r="D1041" t="inlineStr">
        <is>
          <t>男</t>
        </is>
      </c>
      <c r="E1041" t="inlineStr">
        <is>
          <t>1555181708</t>
        </is>
      </c>
      <c r="F1041" t="inlineStr">
        <is>
          <t>创模灵感栈</t>
        </is>
      </c>
      <c r="G1041" t="inlineStr">
        <is>
          <t>广东 珠海 香洲区</t>
        </is>
      </c>
      <c r="H1041"/>
      <c r="I1041" t="inlineStr">
        <is>
          <t>教育</t>
        </is>
      </c>
      <c r="J1041">
        <v>2309</v>
      </c>
      <c r="K1041" t="inlineStr">
        <is>
          <t>0.2</t>
        </is>
      </c>
      <c r="L1041">
        <v>5217</v>
      </c>
      <c r="M1041">
        <v>922</v>
      </c>
      <c r="N1041">
        <v>166</v>
      </c>
      <c r="O1041">
        <v>225</v>
      </c>
      <c r="P1041">
        <v>0</v>
      </c>
      <c r="Q1041">
        <v>0.125</v>
      </c>
      <c r="R1041">
        <v>5217</v>
      </c>
      <c r="S1041">
        <v>922</v>
      </c>
      <c r="T1041">
        <v>138</v>
      </c>
      <c r="U1041">
        <v>0.54</v>
      </c>
      <c r="V1041">
        <v>225</v>
      </c>
      <c r="W1041">
        <v>0.125</v>
      </c>
      <c r="X1041">
        <v>0</v>
      </c>
      <c r="Y1041">
        <v>43.13</v>
      </c>
      <c r="Z1041">
        <v>1.35</v>
      </c>
      <c r="AA1041">
        <v>0</v>
      </c>
      <c r="AB1041">
        <v>0</v>
      </c>
      <c r="AC1041">
        <v>0</v>
      </c>
      <c r="AD1041">
        <v>0</v>
      </c>
      <c r="AE1041">
        <v>394</v>
      </c>
      <c r="AF1041">
        <v>0</v>
      </c>
      <c r="AG1041">
        <v>0</v>
      </c>
      <c r="AH1041">
        <v>0</v>
      </c>
      <c r="AI1041">
        <v>0</v>
      </c>
      <c r="AJ1041">
        <v>0</v>
      </c>
      <c r="AK1041">
        <v>0</v>
      </c>
      <c r="AL1041">
        <v>0</v>
      </c>
      <c r="AM1041">
        <v>0</v>
      </c>
      <c r="AN1041">
        <v>0</v>
      </c>
      <c r="AO1041">
        <v>0</v>
      </c>
      <c r="AP1041">
        <v>0.942</v>
      </c>
      <c r="AQ1041">
        <v>0.065</v>
      </c>
      <c r="AR1041">
        <v>0.031</v>
      </c>
      <c r="AS1041" s="3">
        <v>46107.777083333334</v>
      </c>
    </row>
    <row r="1042" ht="25.5" customHeight="1">
      <c r="A1042" t="inlineStr">
        <is>
          <t>61190ab3000000002002c82c</t>
        </is>
      </c>
      <c r="B1042" s="2" t="str">
        <f>=HYPERLINK("https://www.xiaohongshu.com/user/profile/61190ab3000000002002c82c", "https://www.xiaohongshu.com/user/profile/61190ab3000000002002c82c")</f>
        <v>https://www.xiaohongshu.com/user/profile/61190ab3000000002002c82c</v>
      </c>
      <c r="C1042" s="2" t="str">
        <f>=HYPERLINK("https://pgy.xiaohongshu.com/solar/pre-trade/blogger-detail/61190ab3000000002002c82c", "https://pgy.xiaohongshu.com/solar/pre-trade/blogger-detail/61190ab3000000002002c82c")</f>
        <v>https://pgy.xiaohongshu.com/solar/pre-trade/blogger-detail/61190ab3000000002002c82c</v>
      </c>
      <c r="D1042" t="inlineStr">
        <is>
          <t>女</t>
        </is>
      </c>
      <c r="E1042" t="inlineStr">
        <is>
          <t>26802121318</t>
        </is>
      </c>
      <c r="F1042" t="inlineStr">
        <is>
          <t>Green🌳</t>
        </is>
      </c>
      <c r="G1042" t="inlineStr">
        <is>
          <t>江西 南昌 红谷滩区</t>
        </is>
      </c>
      <c r="H1042" t="inlineStr">
        <is>
          <t>学生</t>
        </is>
      </c>
      <c r="I1042" t="inlineStr">
        <is>
          <t>教育</t>
        </is>
      </c>
      <c r="J1042">
        <v>1241</v>
      </c>
      <c r="K1042" t="inlineStr">
        <is>
          <t>0.1</t>
        </is>
      </c>
      <c r="L1042">
        <v>3857</v>
      </c>
      <c r="M1042">
        <v>509</v>
      </c>
      <c r="N1042">
        <v>158</v>
      </c>
      <c r="O1042">
        <v>100</v>
      </c>
      <c r="P1042">
        <v>0</v>
      </c>
      <c r="Q1042">
        <v>0.222</v>
      </c>
      <c r="R1042">
        <v>3857</v>
      </c>
      <c r="S1042">
        <v>509</v>
      </c>
      <c r="T1042">
        <v>135</v>
      </c>
      <c r="U1042">
        <v>0.5</v>
      </c>
      <c r="V1042">
        <v>100</v>
      </c>
      <c r="W1042">
        <v>0.222</v>
      </c>
      <c r="X1042">
        <v>0</v>
      </c>
      <c r="Y1042">
        <v>25.93</v>
      </c>
      <c r="Z1042">
        <v>1.47</v>
      </c>
      <c r="AA1042">
        <v>0</v>
      </c>
      <c r="AB1042">
        <v>0</v>
      </c>
      <c r="AC1042">
        <v>0</v>
      </c>
      <c r="AD1042">
        <v>0</v>
      </c>
      <c r="AE1042">
        <v>200</v>
      </c>
      <c r="AF1042">
        <v>0</v>
      </c>
      <c r="AG1042">
        <v>0</v>
      </c>
      <c r="AH1042">
        <v>0</v>
      </c>
      <c r="AI1042">
        <v>0</v>
      </c>
      <c r="AJ1042">
        <v>0</v>
      </c>
      <c r="AK1042">
        <v>23007</v>
      </c>
      <c r="AL1042">
        <v>4528</v>
      </c>
      <c r="AM1042">
        <v>28</v>
      </c>
      <c r="AN1042">
        <v>22</v>
      </c>
      <c r="AO1042">
        <v>21.94</v>
      </c>
      <c r="AP1042">
        <v>0.898</v>
      </c>
      <c r="AQ1042">
        <v>0.116999999999999</v>
      </c>
      <c r="AR1042">
        <v>0.136</v>
      </c>
      <c r="AS1042" s="3">
        <v>46107.777083333334</v>
      </c>
    </row>
    <row r="1043" ht="25.5" customHeight="1">
      <c r="A1043" t="inlineStr">
        <is>
          <t>613255a4000000000201d522</t>
        </is>
      </c>
      <c r="B1043" s="2" t="str">
        <f>=HYPERLINK("https://www.xiaohongshu.com/user/profile/613255a4000000000201d522", "https://www.xiaohongshu.com/user/profile/613255a4000000000201d522")</f>
        <v>https://www.xiaohongshu.com/user/profile/613255a4000000000201d522</v>
      </c>
      <c r="C1043" s="2" t="str">
        <f>=HYPERLINK("https://pgy.xiaohongshu.com/solar/pre-trade/blogger-detail/613255a4000000000201d522", "https://pgy.xiaohongshu.com/solar/pre-trade/blogger-detail/613255a4000000000201d522")</f>
        <v>https://pgy.xiaohongshu.com/solar/pre-trade/blogger-detail/613255a4000000000201d522</v>
      </c>
      <c r="D1043" t="inlineStr">
        <is>
          <t>女</t>
        </is>
      </c>
      <c r="E1043" t="inlineStr">
        <is>
          <t>2774746214</t>
        </is>
      </c>
      <c r="F1043" t="inlineStr">
        <is>
          <t>老陈爱日语朗读</t>
        </is>
      </c>
      <c r="G1043" t="inlineStr">
        <is>
          <t>广东 广州 番禺区</t>
        </is>
      </c>
      <c r="H1043"/>
      <c r="I1043" t="inlineStr">
        <is>
          <t>教育</t>
        </is>
      </c>
      <c r="J1043">
        <v>1715</v>
      </c>
      <c r="K1043" t="inlineStr">
        <is>
          <t>0.2</t>
        </is>
      </c>
      <c r="L1043">
        <v>3421</v>
      </c>
      <c r="M1043">
        <v>892</v>
      </c>
      <c r="N1043">
        <v>101</v>
      </c>
      <c r="O1043">
        <v>180</v>
      </c>
      <c r="P1043">
        <v>0</v>
      </c>
      <c r="Q1043">
        <v>0</v>
      </c>
      <c r="R1043">
        <v>0</v>
      </c>
      <c r="S1043">
        <v>0</v>
      </c>
      <c r="T1043">
        <v>0</v>
      </c>
      <c r="U1043">
        <v>0</v>
      </c>
      <c r="V1043">
        <v>180</v>
      </c>
      <c r="W1043">
        <v>0</v>
      </c>
      <c r="X1043">
        <v>0</v>
      </c>
      <c r="Y1043">
        <v>0</v>
      </c>
      <c r="Z1043">
        <v>0</v>
      </c>
      <c r="AA1043">
        <v>3421</v>
      </c>
      <c r="AB1043">
        <v>892</v>
      </c>
      <c r="AC1043">
        <v>71</v>
      </c>
      <c r="AD1043">
        <v>1.93</v>
      </c>
      <c r="AE1043">
        <v>388</v>
      </c>
      <c r="AF1043">
        <v>0</v>
      </c>
      <c r="AG1043">
        <v>0</v>
      </c>
      <c r="AH1043">
        <v>0.384</v>
      </c>
      <c r="AI1043">
        <v>113.42</v>
      </c>
      <c r="AJ1043">
        <v>3.82</v>
      </c>
      <c r="AK1043">
        <v>0</v>
      </c>
      <c r="AL1043">
        <v>0</v>
      </c>
      <c r="AM1043">
        <v>0</v>
      </c>
      <c r="AN1043">
        <v>0</v>
      </c>
      <c r="AO1043">
        <v>0</v>
      </c>
      <c r="AP1043">
        <v>0.98</v>
      </c>
      <c r="AQ1043">
        <v>0.216</v>
      </c>
      <c r="AR1043">
        <v>0</v>
      </c>
      <c r="AS1043" s="3">
        <v>46107.777083333334</v>
      </c>
    </row>
    <row r="1044" ht="25.5" customHeight="1">
      <c r="A1044" t="inlineStr">
        <is>
          <t>5f2b540a00000000010090e5</t>
        </is>
      </c>
      <c r="B1044" s="2" t="str">
        <f>=HYPERLINK("https://www.xiaohongshu.com/user/profile/5f2b540a00000000010090e5", "https://www.xiaohongshu.com/user/profile/5f2b540a00000000010090e5")</f>
        <v>https://www.xiaohongshu.com/user/profile/5f2b540a00000000010090e5</v>
      </c>
      <c r="C1044" s="2" t="str">
        <f>=HYPERLINK("https://pgy.xiaohongshu.com/solar/pre-trade/blogger-detail/5f2b540a00000000010090e5", "https://pgy.xiaohongshu.com/solar/pre-trade/blogger-detail/5f2b540a00000000010090e5")</f>
        <v>https://pgy.xiaohongshu.com/solar/pre-trade/blogger-detail/5f2b540a00000000010090e5</v>
      </c>
      <c r="D1044" t="inlineStr">
        <is>
          <t>女</t>
        </is>
      </c>
      <c r="E1044" t="inlineStr">
        <is>
          <t>852594089</t>
        </is>
      </c>
      <c r="F1044" t="inlineStr">
        <is>
          <t>Lusha🐳</t>
        </is>
      </c>
      <c r="G1044" t="inlineStr">
        <is>
          <t>山东 临沂 兰山区</t>
        </is>
      </c>
      <c r="H1044" t="inlineStr">
        <is>
          <t>学生</t>
        </is>
      </c>
      <c r="I1044" t="inlineStr">
        <is>
          <t>教育</t>
        </is>
      </c>
      <c r="J1044">
        <v>1526</v>
      </c>
      <c r="K1044" t="inlineStr">
        <is>
          <t>0.2</t>
        </is>
      </c>
      <c r="L1044">
        <v>25009</v>
      </c>
      <c r="M1044">
        <v>3731</v>
      </c>
      <c r="N1044">
        <v>388</v>
      </c>
      <c r="O1044">
        <v>221</v>
      </c>
      <c r="P1044">
        <v>0</v>
      </c>
      <c r="Q1044">
        <v>0.75</v>
      </c>
      <c r="R1044">
        <v>0</v>
      </c>
      <c r="S1044">
        <v>0</v>
      </c>
      <c r="T1044">
        <v>0</v>
      </c>
      <c r="U1044">
        <v>0</v>
      </c>
      <c r="V1044">
        <v>221</v>
      </c>
      <c r="W1044">
        <v>0</v>
      </c>
      <c r="X1044">
        <v>0</v>
      </c>
      <c r="Y1044">
        <v>0</v>
      </c>
      <c r="Z1044">
        <v>0</v>
      </c>
      <c r="AA1044">
        <v>25009</v>
      </c>
      <c r="AB1044">
        <v>3731</v>
      </c>
      <c r="AC1044">
        <v>334</v>
      </c>
      <c r="AD1044">
        <v>1.63</v>
      </c>
      <c r="AE1044">
        <v>500</v>
      </c>
      <c r="AF1044">
        <v>0.75</v>
      </c>
      <c r="AG1044">
        <v>0</v>
      </c>
      <c r="AH1044">
        <v>0.043</v>
      </c>
      <c r="AI1044">
        <v>19.99</v>
      </c>
      <c r="AJ1044">
        <v>1.29</v>
      </c>
      <c r="AK1044">
        <v>0</v>
      </c>
      <c r="AL1044">
        <v>0</v>
      </c>
      <c r="AM1044">
        <v>0</v>
      </c>
      <c r="AN1044">
        <v>0</v>
      </c>
      <c r="AO1044">
        <v>0</v>
      </c>
      <c r="AP1044">
        <v>0.85</v>
      </c>
      <c r="AQ1044">
        <v>0.138</v>
      </c>
      <c r="AR1044">
        <v>0.136999999999999</v>
      </c>
      <c r="AS1044" s="3">
        <v>46107.777083333334</v>
      </c>
    </row>
    <row r="1045" ht="25.5" customHeight="1">
      <c r="A1045" t="inlineStr">
        <is>
          <t>64832d8d000000002b00ba72</t>
        </is>
      </c>
      <c r="B1045" s="2" t="str">
        <f>=HYPERLINK("https://www.xiaohongshu.com/user/profile/64832d8d000000002b00ba72", "https://www.xiaohongshu.com/user/profile/64832d8d000000002b00ba72")</f>
        <v>https://www.xiaohongshu.com/user/profile/64832d8d000000002b00ba72</v>
      </c>
      <c r="C1045" s="2" t="str">
        <f>=HYPERLINK("https://pgy.xiaohongshu.com/solar/pre-trade/blogger-detail/64832d8d000000002b00ba72", "https://pgy.xiaohongshu.com/solar/pre-trade/blogger-detail/64832d8d000000002b00ba72")</f>
        <v>https://pgy.xiaohongshu.com/solar/pre-trade/blogger-detail/64832d8d000000002b00ba72</v>
      </c>
      <c r="D1045" t="inlineStr">
        <is>
          <t>女</t>
        </is>
      </c>
      <c r="E1045" t="inlineStr">
        <is>
          <t>studywithtutu</t>
        </is>
      </c>
      <c r="F1045" t="inlineStr">
        <is>
          <t>图图小淘气</t>
        </is>
      </c>
      <c r="G1045" t="inlineStr">
        <is>
          <t>湖北 武汉 洪山区</t>
        </is>
      </c>
      <c r="H1045" t="inlineStr">
        <is>
          <t>手账爱好者, 学生</t>
        </is>
      </c>
      <c r="I1045" t="inlineStr">
        <is>
          <t>教育</t>
        </is>
      </c>
      <c r="J1045">
        <v>7802</v>
      </c>
      <c r="K1045" t="inlineStr">
        <is>
          <t>0.8</t>
        </is>
      </c>
      <c r="L1045">
        <v>10406</v>
      </c>
      <c r="M1045">
        <v>2274</v>
      </c>
      <c r="N1045">
        <v>532</v>
      </c>
      <c r="O1045">
        <v>418</v>
      </c>
      <c r="P1045">
        <v>0</v>
      </c>
      <c r="Q1045">
        <v>1</v>
      </c>
      <c r="R1045">
        <v>10406</v>
      </c>
      <c r="S1045">
        <v>2274</v>
      </c>
      <c r="T1045">
        <v>435</v>
      </c>
      <c r="U1045">
        <v>0.48</v>
      </c>
      <c r="V1045">
        <v>418</v>
      </c>
      <c r="W1045">
        <v>1</v>
      </c>
      <c r="X1045">
        <v>0</v>
      </c>
      <c r="Y1045">
        <v>40.17</v>
      </c>
      <c r="Z1045">
        <v>0.79</v>
      </c>
      <c r="AA1045">
        <v>0</v>
      </c>
      <c r="AB1045">
        <v>0</v>
      </c>
      <c r="AC1045">
        <v>0</v>
      </c>
      <c r="AD1045">
        <v>0</v>
      </c>
      <c r="AE1045">
        <v>500</v>
      </c>
      <c r="AF1045">
        <v>0</v>
      </c>
      <c r="AG1045">
        <v>0</v>
      </c>
      <c r="AH1045">
        <v>0</v>
      </c>
      <c r="AI1045">
        <v>0</v>
      </c>
      <c r="AJ1045">
        <v>0</v>
      </c>
      <c r="AK1045">
        <v>0</v>
      </c>
      <c r="AL1045">
        <v>0</v>
      </c>
      <c r="AM1045">
        <v>0</v>
      </c>
      <c r="AN1045">
        <v>0</v>
      </c>
      <c r="AO1045">
        <v>0</v>
      </c>
      <c r="AP1045">
        <v>0.822</v>
      </c>
      <c r="AQ1045">
        <v>0.02</v>
      </c>
      <c r="AR1045">
        <v>0.0139999999999999</v>
      </c>
      <c r="AS1045" s="3">
        <v>46107.777083333334</v>
      </c>
    </row>
    <row r="1046" ht="25.5" customHeight="1">
      <c r="A1046" t="inlineStr">
        <is>
          <t>5fe8c2f20000000001006bdb</t>
        </is>
      </c>
      <c r="B1046" s="2" t="str">
        <f>=HYPERLINK("https://www.xiaohongshu.com/user/profile/5fe8c2f20000000001006bdb", "https://www.xiaohongshu.com/user/profile/5fe8c2f20000000001006bdb")</f>
        <v>https://www.xiaohongshu.com/user/profile/5fe8c2f20000000001006bdb</v>
      </c>
      <c r="C1046" s="2" t="str">
        <f>=HYPERLINK("https://pgy.xiaohongshu.com/solar/pre-trade/blogger-detail/5fe8c2f20000000001006bdb", "https://pgy.xiaohongshu.com/solar/pre-trade/blogger-detail/5fe8c2f20000000001006bdb")</f>
        <v>https://pgy.xiaohongshu.com/solar/pre-trade/blogger-detail/5fe8c2f20000000001006bdb</v>
      </c>
      <c r="D1046" t="inlineStr">
        <is>
          <t>女</t>
        </is>
      </c>
      <c r="E1046" t="inlineStr">
        <is>
          <t>1100431504</t>
        </is>
      </c>
      <c r="F1046" t="inlineStr">
        <is>
          <t>Bella的英国职场笔记</t>
        </is>
      </c>
      <c r="G1046" t="inlineStr">
        <is>
          <t>英国</t>
        </is>
      </c>
      <c r="H1046" t="inlineStr">
        <is>
          <t>海外华人, HR</t>
        </is>
      </c>
      <c r="I1046" t="inlineStr">
        <is>
          <t>职场, 教育</t>
        </is>
      </c>
      <c r="J1046">
        <v>42074</v>
      </c>
      <c r="K1046" t="inlineStr">
        <is>
          <t>4.2</t>
        </is>
      </c>
      <c r="L1046">
        <v>171533</v>
      </c>
      <c r="M1046">
        <v>20689</v>
      </c>
      <c r="N1046">
        <v>2823</v>
      </c>
      <c r="O1046">
        <v>3500</v>
      </c>
      <c r="P1046">
        <v>0.5</v>
      </c>
      <c r="Q1046">
        <v>1</v>
      </c>
      <c r="R1046">
        <v>171533</v>
      </c>
      <c r="S1046">
        <v>20689</v>
      </c>
      <c r="T1046">
        <v>2471</v>
      </c>
      <c r="U1046">
        <v>0.47</v>
      </c>
      <c r="V1046">
        <v>3500</v>
      </c>
      <c r="W1046">
        <v>1</v>
      </c>
      <c r="X1046">
        <v>0.5</v>
      </c>
      <c r="Y1046">
        <v>20.4</v>
      </c>
      <c r="Z1046">
        <v>1.24</v>
      </c>
      <c r="AA1046">
        <v>0</v>
      </c>
      <c r="AB1046">
        <v>0</v>
      </c>
      <c r="AC1046">
        <v>0</v>
      </c>
      <c r="AD1046">
        <v>0</v>
      </c>
      <c r="AE1046">
        <v>900</v>
      </c>
      <c r="AF1046">
        <v>0</v>
      </c>
      <c r="AG1046">
        <v>0</v>
      </c>
      <c r="AH1046">
        <v>0</v>
      </c>
      <c r="AI1046">
        <v>0</v>
      </c>
      <c r="AJ1046">
        <v>0</v>
      </c>
      <c r="AK1046">
        <v>0</v>
      </c>
      <c r="AL1046">
        <v>0</v>
      </c>
      <c r="AM1046">
        <v>0</v>
      </c>
      <c r="AN1046">
        <v>0</v>
      </c>
      <c r="AO1046">
        <v>0</v>
      </c>
      <c r="AP1046">
        <v>0.912999999999999</v>
      </c>
      <c r="AQ1046">
        <v>0.016</v>
      </c>
      <c r="AR1046">
        <v>0.009</v>
      </c>
      <c r="AS1046" s="3">
        <v>46107.777083333334</v>
      </c>
    </row>
    <row r="1047" ht="25.5" customHeight="1">
      <c r="A1047" t="inlineStr">
        <is>
          <t>5f0d77c40000000001004820</t>
        </is>
      </c>
      <c r="B1047" s="2" t="str">
        <f>=HYPERLINK("https://www.xiaohongshu.com/user/profile/5f0d77c40000000001004820", "https://www.xiaohongshu.com/user/profile/5f0d77c40000000001004820")</f>
        <v>https://www.xiaohongshu.com/user/profile/5f0d77c40000000001004820</v>
      </c>
      <c r="C1047" s="2" t="str">
        <f>=HYPERLINK("https://pgy.xiaohongshu.com/solar/pre-trade/blogger-detail/5f0d77c40000000001004820", "https://pgy.xiaohongshu.com/solar/pre-trade/blogger-detail/5f0d77c40000000001004820")</f>
        <v>https://pgy.xiaohongshu.com/solar/pre-trade/blogger-detail/5f0d77c40000000001004820</v>
      </c>
      <c r="D1047" t="inlineStr">
        <is>
          <t>女</t>
        </is>
      </c>
      <c r="E1047" t="inlineStr">
        <is>
          <t>lu1737lu6077321</t>
        </is>
      </c>
      <c r="F1047" t="inlineStr">
        <is>
          <t>llllu橘子</t>
        </is>
      </c>
      <c r="G1047" t="inlineStr">
        <is>
          <t>吉林 长春 二道区</t>
        </is>
      </c>
      <c r="H1047"/>
      <c r="I1047" t="inlineStr">
        <is>
          <t>教育</t>
        </is>
      </c>
      <c r="J1047">
        <v>1459</v>
      </c>
      <c r="K1047" t="inlineStr">
        <is>
          <t>0.1</t>
        </is>
      </c>
      <c r="L1047">
        <v>12741</v>
      </c>
      <c r="M1047">
        <v>3464</v>
      </c>
      <c r="N1047">
        <v>116</v>
      </c>
      <c r="O1047">
        <v>300</v>
      </c>
      <c r="P1047">
        <v>0</v>
      </c>
      <c r="Q1047">
        <v>0</v>
      </c>
      <c r="R1047">
        <v>12741</v>
      </c>
      <c r="S1047">
        <v>3464</v>
      </c>
      <c r="T1047">
        <v>82</v>
      </c>
      <c r="U1047">
        <v>0.39</v>
      </c>
      <c r="V1047">
        <v>300</v>
      </c>
      <c r="W1047">
        <v>0</v>
      </c>
      <c r="X1047">
        <v>0</v>
      </c>
      <c r="Y1047">
        <v>23.55</v>
      </c>
      <c r="Z1047">
        <v>2.58</v>
      </c>
      <c r="AA1047">
        <v>0</v>
      </c>
      <c r="AB1047">
        <v>0</v>
      </c>
      <c r="AC1047">
        <v>0</v>
      </c>
      <c r="AD1047">
        <v>0</v>
      </c>
      <c r="AE1047">
        <v>0</v>
      </c>
      <c r="AF1047">
        <v>0</v>
      </c>
      <c r="AG1047">
        <v>0</v>
      </c>
      <c r="AH1047">
        <v>0</v>
      </c>
      <c r="AI1047">
        <v>0</v>
      </c>
      <c r="AJ1047">
        <v>0</v>
      </c>
      <c r="AK1047">
        <v>0</v>
      </c>
      <c r="AL1047">
        <v>0</v>
      </c>
      <c r="AM1047">
        <v>0</v>
      </c>
      <c r="AN1047">
        <v>0</v>
      </c>
      <c r="AO1047">
        <v>0</v>
      </c>
      <c r="AP1047">
        <v>0.848</v>
      </c>
      <c r="AQ1047">
        <v>0.102</v>
      </c>
      <c r="AR1047">
        <v>0.073</v>
      </c>
      <c r="AS1047" s="3">
        <v>46107.777083333334</v>
      </c>
    </row>
    <row r="1048" ht="25.5" customHeight="1">
      <c r="A1048" t="inlineStr">
        <is>
          <t>66cac92c000000000b0321f6</t>
        </is>
      </c>
      <c r="B1048" s="2" t="str">
        <f>=HYPERLINK("https://www.xiaohongshu.com/user/profile/66cac92c000000000b0321f6", "https://www.xiaohongshu.com/user/profile/66cac92c000000000b0321f6")</f>
        <v>https://www.xiaohongshu.com/user/profile/66cac92c000000000b0321f6</v>
      </c>
      <c r="C1048" s="2" t="str">
        <f>=HYPERLINK("https://pgy.xiaohongshu.com/solar/pre-trade/blogger-detail/66cac92c000000000b0321f6", "https://pgy.xiaohongshu.com/solar/pre-trade/blogger-detail/66cac92c000000000b0321f6")</f>
        <v>https://pgy.xiaohongshu.com/solar/pre-trade/blogger-detail/66cac92c000000000b0321f6</v>
      </c>
      <c r="D1048" t="inlineStr">
        <is>
          <t>男</t>
        </is>
      </c>
      <c r="E1048" t="inlineStr">
        <is>
          <t>123_ABai</t>
        </is>
      </c>
      <c r="F1048" t="inlineStr">
        <is>
          <t>A_阿白要努力</t>
        </is>
      </c>
      <c r="G1048" t="inlineStr">
        <is>
          <t>广东 广州 越秀区</t>
        </is>
      </c>
      <c r="H1048" t="inlineStr">
        <is>
          <t>留学背景, 学生</t>
        </is>
      </c>
      <c r="I1048" t="inlineStr">
        <is>
          <t>教育</t>
        </is>
      </c>
      <c r="J1048">
        <v>1937</v>
      </c>
      <c r="K1048" t="inlineStr">
        <is>
          <t>0.2</t>
        </is>
      </c>
      <c r="L1048">
        <v>11228</v>
      </c>
      <c r="M1048">
        <v>3056</v>
      </c>
      <c r="N1048">
        <v>344</v>
      </c>
      <c r="O1048">
        <v>200</v>
      </c>
      <c r="P1048">
        <v>0</v>
      </c>
      <c r="Q1048">
        <v>0.5</v>
      </c>
      <c r="R1048">
        <v>11228</v>
      </c>
      <c r="S1048">
        <v>3056</v>
      </c>
      <c r="T1048">
        <v>267</v>
      </c>
      <c r="U1048">
        <v>0.37</v>
      </c>
      <c r="V1048">
        <v>200</v>
      </c>
      <c r="W1048">
        <v>0.5</v>
      </c>
      <c r="X1048">
        <v>0</v>
      </c>
      <c r="Y1048">
        <v>17.81</v>
      </c>
      <c r="Z1048">
        <v>0.58</v>
      </c>
      <c r="AA1048">
        <v>0</v>
      </c>
      <c r="AB1048">
        <v>0</v>
      </c>
      <c r="AC1048">
        <v>0</v>
      </c>
      <c r="AD1048">
        <v>0</v>
      </c>
      <c r="AE1048">
        <v>300</v>
      </c>
      <c r="AF1048">
        <v>0</v>
      </c>
      <c r="AG1048">
        <v>0</v>
      </c>
      <c r="AH1048">
        <v>0</v>
      </c>
      <c r="AI1048">
        <v>0</v>
      </c>
      <c r="AJ1048">
        <v>0</v>
      </c>
      <c r="AK1048">
        <v>0</v>
      </c>
      <c r="AL1048">
        <v>0</v>
      </c>
      <c r="AM1048">
        <v>0</v>
      </c>
      <c r="AN1048">
        <v>0</v>
      </c>
      <c r="AO1048">
        <v>0</v>
      </c>
      <c r="AP1048">
        <v>0.895</v>
      </c>
      <c r="AQ1048">
        <v>0.067</v>
      </c>
      <c r="AR1048">
        <v>0.093</v>
      </c>
      <c r="AS1048" s="3">
        <v>46107.777083333334</v>
      </c>
    </row>
    <row r="1049" ht="25.5" customHeight="1">
      <c r="A1049" t="inlineStr">
        <is>
          <t>65be53a6000000000e020675</t>
        </is>
      </c>
      <c r="B1049" s="2" t="str">
        <f>=HYPERLINK("https://www.xiaohongshu.com/user/profile/65be53a6000000000e020675", "https://www.xiaohongshu.com/user/profile/65be53a6000000000e020675")</f>
        <v>https://www.xiaohongshu.com/user/profile/65be53a6000000000e020675</v>
      </c>
      <c r="C1049" s="2" t="str">
        <f>=HYPERLINK("https://pgy.xiaohongshu.com/solar/pre-trade/blogger-detail/65be53a6000000000e020675", "https://pgy.xiaohongshu.com/solar/pre-trade/blogger-detail/65be53a6000000000e020675")</f>
        <v>https://pgy.xiaohongshu.com/solar/pre-trade/blogger-detail/65be53a6000000000e020675</v>
      </c>
      <c r="D1049" t="inlineStr">
        <is>
          <t>女</t>
        </is>
      </c>
      <c r="E1049" t="inlineStr">
        <is>
          <t>7172723714</t>
        </is>
      </c>
      <c r="F1049" t="inlineStr">
        <is>
          <t>小竹子学姐</t>
        </is>
      </c>
      <c r="G1049" t="inlineStr">
        <is>
          <t>江苏 常州 武进区</t>
        </is>
      </c>
      <c r="H1049" t="inlineStr">
        <is>
          <t>学生</t>
        </is>
      </c>
      <c r="I1049" t="inlineStr">
        <is>
          <t>教育</t>
        </is>
      </c>
      <c r="J1049">
        <v>2697</v>
      </c>
      <c r="K1049" t="inlineStr">
        <is>
          <t>0.3</t>
        </is>
      </c>
      <c r="L1049">
        <v>20617</v>
      </c>
      <c r="M1049">
        <v>4299</v>
      </c>
      <c r="N1049">
        <v>291</v>
      </c>
      <c r="O1049">
        <v>150</v>
      </c>
      <c r="P1049">
        <v>0.022</v>
      </c>
      <c r="Q1049">
        <v>0.556</v>
      </c>
      <c r="R1049">
        <v>22507</v>
      </c>
      <c r="S1049">
        <v>4730</v>
      </c>
      <c r="T1049">
        <v>254</v>
      </c>
      <c r="U1049">
        <v>0.33</v>
      </c>
      <c r="V1049">
        <v>150</v>
      </c>
      <c r="W1049">
        <v>0.542999999999999</v>
      </c>
      <c r="X1049">
        <v>0</v>
      </c>
      <c r="Y1049">
        <v>6.66</v>
      </c>
      <c r="Z1049">
        <v>0.53</v>
      </c>
      <c r="AA1049">
        <v>19255</v>
      </c>
      <c r="AB1049">
        <v>2135</v>
      </c>
      <c r="AC1049">
        <v>288</v>
      </c>
      <c r="AD1049">
        <v>1.64</v>
      </c>
      <c r="AE1049">
        <v>300</v>
      </c>
      <c r="AF1049">
        <v>0.6</v>
      </c>
      <c r="AG1049">
        <v>0.1</v>
      </c>
      <c r="AH1049">
        <v>0.045</v>
      </c>
      <c r="AI1049">
        <v>15.58</v>
      </c>
      <c r="AJ1049">
        <v>0.95</v>
      </c>
      <c r="AK1049">
        <v>0</v>
      </c>
      <c r="AL1049">
        <v>0</v>
      </c>
      <c r="AM1049">
        <v>0</v>
      </c>
      <c r="AN1049">
        <v>0</v>
      </c>
      <c r="AO1049">
        <v>0</v>
      </c>
      <c r="AP1049">
        <v>0.971</v>
      </c>
      <c r="AQ1049">
        <v>0.575</v>
      </c>
      <c r="AR1049">
        <v>0</v>
      </c>
      <c r="AS1049" s="3">
        <v>46107.777083333334</v>
      </c>
    </row>
    <row r="1050" ht="25.5" customHeight="1">
      <c r="A1050" t="inlineStr">
        <is>
          <t>625a24ec000000001000dd71</t>
        </is>
      </c>
      <c r="B1050" s="2" t="str">
        <f>=HYPERLINK("https://www.xiaohongshu.com/user/profile/625a24ec000000001000dd71", "https://www.xiaohongshu.com/user/profile/625a24ec000000001000dd71")</f>
        <v>https://www.xiaohongshu.com/user/profile/625a24ec000000001000dd71</v>
      </c>
      <c r="C1050" s="2" t="str">
        <f>=HYPERLINK("https://pgy.xiaohongshu.com/solar/pre-trade/blogger-detail/625a24ec000000001000dd71", "https://pgy.xiaohongshu.com/solar/pre-trade/blogger-detail/625a24ec000000001000dd71")</f>
        <v>https://pgy.xiaohongshu.com/solar/pre-trade/blogger-detail/625a24ec000000001000dd71</v>
      </c>
      <c r="D1050" t="inlineStr">
        <is>
          <t>男</t>
        </is>
      </c>
      <c r="E1050" t="inlineStr">
        <is>
          <t>zzZL0127</t>
        </is>
      </c>
      <c r="F1050" t="inlineStr">
        <is>
          <t>梅川酷查</t>
        </is>
      </c>
      <c r="G1050" t="inlineStr">
        <is>
          <t>陕西 安康 白河县</t>
        </is>
      </c>
      <c r="H1050"/>
      <c r="I1050" t="inlineStr">
        <is>
          <t>教育</t>
        </is>
      </c>
      <c r="J1050">
        <v>2858</v>
      </c>
      <c r="K1050" t="inlineStr">
        <is>
          <t>0.3</t>
        </is>
      </c>
      <c r="L1050">
        <v>73800</v>
      </c>
      <c r="M1050">
        <v>13978</v>
      </c>
      <c r="N1050">
        <v>479</v>
      </c>
      <c r="O1050">
        <v>220</v>
      </c>
      <c r="P1050">
        <v>0</v>
      </c>
      <c r="Q1050">
        <v>1</v>
      </c>
      <c r="R1050">
        <v>73800</v>
      </c>
      <c r="S1050">
        <v>13978</v>
      </c>
      <c r="T1050">
        <v>391</v>
      </c>
      <c r="U1050">
        <v>0.32</v>
      </c>
      <c r="V1050">
        <v>220</v>
      </c>
      <c r="W1050">
        <v>1</v>
      </c>
      <c r="X1050">
        <v>0</v>
      </c>
      <c r="Y1050">
        <v>2.98</v>
      </c>
      <c r="Z1050">
        <v>0.46</v>
      </c>
      <c r="AA1050">
        <v>0</v>
      </c>
      <c r="AB1050">
        <v>0</v>
      </c>
      <c r="AC1050">
        <v>0</v>
      </c>
      <c r="AD1050">
        <v>0</v>
      </c>
      <c r="AE1050">
        <v>300</v>
      </c>
      <c r="AF1050">
        <v>0</v>
      </c>
      <c r="AG1050">
        <v>0</v>
      </c>
      <c r="AH1050">
        <v>0</v>
      </c>
      <c r="AI1050">
        <v>0</v>
      </c>
      <c r="AJ1050">
        <v>0</v>
      </c>
      <c r="AK1050">
        <v>0</v>
      </c>
      <c r="AL1050">
        <v>0</v>
      </c>
      <c r="AM1050">
        <v>0</v>
      </c>
      <c r="AN1050">
        <v>0</v>
      </c>
      <c r="AO1050">
        <v>0</v>
      </c>
      <c r="AP1050">
        <v>0.784</v>
      </c>
      <c r="AQ1050">
        <v>0.021</v>
      </c>
      <c r="AR1050">
        <v>-0.004</v>
      </c>
      <c r="AS1050" s="3">
        <v>46107.777083333334</v>
      </c>
    </row>
    <row r="1051" ht="25.5" customHeight="1">
      <c r="A1051" t="inlineStr">
        <is>
          <t>6306c560000000000f004147</t>
        </is>
      </c>
      <c r="B1051" s="2" t="str">
        <f>=HYPERLINK("https://www.xiaohongshu.com/user/profile/6306c560000000000f004147", "https://www.xiaohongshu.com/user/profile/6306c560000000000f004147")</f>
        <v>https://www.xiaohongshu.com/user/profile/6306c560000000000f004147</v>
      </c>
      <c r="C1051" s="2" t="str">
        <f>=HYPERLINK("https://pgy.xiaohongshu.com/solar/pre-trade/blogger-detail/6306c560000000000f004147", "https://pgy.xiaohongshu.com/solar/pre-trade/blogger-detail/6306c560000000000f004147")</f>
        <v>https://pgy.xiaohongshu.com/solar/pre-trade/blogger-detail/6306c560000000000f004147</v>
      </c>
      <c r="D1051" t="inlineStr">
        <is>
          <t>男</t>
        </is>
      </c>
      <c r="E1051" t="inlineStr">
        <is>
          <t>Nerola1215</t>
        </is>
      </c>
      <c r="F1051" t="inlineStr">
        <is>
          <t>水小登Nerola（在澳版）</t>
        </is>
      </c>
      <c r="G1051" t="inlineStr">
        <is>
          <t>澳大利亚</t>
        </is>
      </c>
      <c r="H1051" t="inlineStr">
        <is>
          <t>留学背景</t>
        </is>
      </c>
      <c r="I1051" t="inlineStr">
        <is>
          <t>美食, 音乐</t>
        </is>
      </c>
      <c r="J1051">
        <v>4158</v>
      </c>
      <c r="K1051" t="inlineStr">
        <is>
          <t>0.4</t>
        </is>
      </c>
      <c r="L1051">
        <v>3831</v>
      </c>
      <c r="M1051">
        <v>812</v>
      </c>
      <c r="N1051">
        <v>103</v>
      </c>
      <c r="O1051">
        <v>500</v>
      </c>
      <c r="P1051">
        <v>0</v>
      </c>
      <c r="Q1051">
        <v>0.1</v>
      </c>
      <c r="R1051">
        <v>2927</v>
      </c>
      <c r="S1051">
        <v>583</v>
      </c>
      <c r="T1051">
        <v>75</v>
      </c>
      <c r="U1051">
        <v>1.16</v>
      </c>
      <c r="V1051">
        <v>500</v>
      </c>
      <c r="W1051">
        <v>0</v>
      </c>
      <c r="X1051">
        <v>0</v>
      </c>
      <c r="Y1051">
        <v>170.79</v>
      </c>
      <c r="Z1051">
        <v>5.32</v>
      </c>
      <c r="AA1051">
        <v>47536</v>
      </c>
      <c r="AB1051">
        <v>7005</v>
      </c>
      <c r="AC1051">
        <v>372</v>
      </c>
      <c r="AD1051">
        <v>1.59</v>
      </c>
      <c r="AE1051">
        <v>600</v>
      </c>
      <c r="AF1051">
        <v>0.5</v>
      </c>
      <c r="AG1051">
        <v>0</v>
      </c>
      <c r="AH1051">
        <v>0.084</v>
      </c>
      <c r="AI1051">
        <v>12.62</v>
      </c>
      <c r="AJ1051">
        <v>1.26</v>
      </c>
      <c r="AK1051">
        <v>0</v>
      </c>
      <c r="AL1051">
        <v>0</v>
      </c>
      <c r="AM1051">
        <v>0</v>
      </c>
      <c r="AN1051">
        <v>0</v>
      </c>
      <c r="AO1051">
        <v>0</v>
      </c>
      <c r="AP1051">
        <v>0.557999999999999</v>
      </c>
      <c r="AQ1051">
        <v>0.015</v>
      </c>
      <c r="AR1051">
        <v>0.003</v>
      </c>
      <c r="AS1051" s="3">
        <v>46107.777083333334</v>
      </c>
    </row>
    <row r="1052" ht="25.5" customHeight="1">
      <c r="A1052" t="inlineStr">
        <is>
          <t>5f1e4518000000000100b8ad</t>
        </is>
      </c>
      <c r="B1052" s="2" t="str">
        <f>=HYPERLINK("https://www.xiaohongshu.com/user/profile/5f1e4518000000000100b8ad", "https://www.xiaohongshu.com/user/profile/5f1e4518000000000100b8ad")</f>
        <v>https://www.xiaohongshu.com/user/profile/5f1e4518000000000100b8ad</v>
      </c>
      <c r="C1052" s="2" t="str">
        <f>=HYPERLINK("https://pgy.xiaohongshu.com/solar/pre-trade/blogger-detail/5f1e4518000000000100b8ad", "https://pgy.xiaohongshu.com/solar/pre-trade/blogger-detail/5f1e4518000000000100b8ad")</f>
        <v>https://pgy.xiaohongshu.com/solar/pre-trade/blogger-detail/5f1e4518000000000100b8ad</v>
      </c>
      <c r="D1052" t="inlineStr">
        <is>
          <t>男</t>
        </is>
      </c>
      <c r="E1052" t="inlineStr">
        <is>
          <t>327545455</t>
        </is>
      </c>
      <c r="F1052" t="inlineStr">
        <is>
          <t>小泡芙在pku</t>
        </is>
      </c>
      <c r="G1052" t="inlineStr">
        <is>
          <t>北京</t>
        </is>
      </c>
      <c r="H1052"/>
      <c r="I1052" t="inlineStr">
        <is>
          <t>教育</t>
        </is>
      </c>
      <c r="J1052">
        <v>4957</v>
      </c>
      <c r="K1052" t="inlineStr">
        <is>
          <t>0.5</t>
        </is>
      </c>
      <c r="L1052">
        <v>4190</v>
      </c>
      <c r="M1052">
        <v>455</v>
      </c>
      <c r="N1052">
        <v>139</v>
      </c>
      <c r="O1052">
        <v>400</v>
      </c>
      <c r="P1052">
        <v>0</v>
      </c>
      <c r="Q1052">
        <v>0.4</v>
      </c>
      <c r="R1052">
        <v>4190</v>
      </c>
      <c r="S1052">
        <v>455</v>
      </c>
      <c r="T1052">
        <v>115</v>
      </c>
      <c r="U1052">
        <v>1.18</v>
      </c>
      <c r="V1052">
        <v>400</v>
      </c>
      <c r="W1052">
        <v>0.4</v>
      </c>
      <c r="X1052">
        <v>0</v>
      </c>
      <c r="Y1052">
        <v>95.47</v>
      </c>
      <c r="Z1052">
        <v>2.88</v>
      </c>
      <c r="AA1052">
        <v>0</v>
      </c>
      <c r="AB1052">
        <v>0</v>
      </c>
      <c r="AC1052">
        <v>0</v>
      </c>
      <c r="AD1052">
        <v>0</v>
      </c>
      <c r="AE1052">
        <v>500</v>
      </c>
      <c r="AF1052">
        <v>0</v>
      </c>
      <c r="AG1052">
        <v>0</v>
      </c>
      <c r="AH1052">
        <v>0</v>
      </c>
      <c r="AI1052">
        <v>0</v>
      </c>
      <c r="AJ1052">
        <v>0</v>
      </c>
      <c r="AK1052">
        <v>0</v>
      </c>
      <c r="AL1052">
        <v>0</v>
      </c>
      <c r="AM1052">
        <v>0</v>
      </c>
      <c r="AN1052">
        <v>0</v>
      </c>
      <c r="AO1052">
        <v>0</v>
      </c>
      <c r="AP1052">
        <v>0.785</v>
      </c>
      <c r="AQ1052">
        <v>0.07</v>
      </c>
      <c r="AR1052">
        <v>0.077</v>
      </c>
      <c r="AS1052" s="3">
        <v>46107.777083333334</v>
      </c>
    </row>
    <row r="1053" ht="25.5" customHeight="1">
      <c r="A1053" t="inlineStr">
        <is>
          <t>648da79b000000001001dc9e</t>
        </is>
      </c>
      <c r="B1053" s="2" t="str">
        <f>=HYPERLINK("https://www.xiaohongshu.com/user/profile/648da79b000000001001dc9e", "https://www.xiaohongshu.com/user/profile/648da79b000000001001dc9e")</f>
        <v>https://www.xiaohongshu.com/user/profile/648da79b000000001001dc9e</v>
      </c>
      <c r="C1053" s="2" t="str">
        <f>=HYPERLINK("https://pgy.xiaohongshu.com/solar/pre-trade/blogger-detail/648da79b000000001001dc9e", "https://pgy.xiaohongshu.com/solar/pre-trade/blogger-detail/648da79b000000001001dc9e")</f>
        <v>https://pgy.xiaohongshu.com/solar/pre-trade/blogger-detail/648da79b000000001001dc9e</v>
      </c>
      <c r="D1053" t="inlineStr">
        <is>
          <t>女</t>
        </is>
      </c>
      <c r="E1053" t="inlineStr">
        <is>
          <t>duck_0119</t>
        </is>
      </c>
      <c r="F1053" t="inlineStr">
        <is>
          <t>是Dr.可达吖</t>
        </is>
      </c>
      <c r="G1053" t="inlineStr">
        <is>
          <t>浙江 杭州 上城区</t>
        </is>
      </c>
      <c r="H1053" t="inlineStr">
        <is>
          <t>考研过来人</t>
        </is>
      </c>
      <c r="I1053" t="inlineStr">
        <is>
          <t>教育</t>
        </is>
      </c>
      <c r="J1053">
        <v>6313</v>
      </c>
      <c r="K1053" t="inlineStr">
        <is>
          <t>0.6</t>
        </is>
      </c>
      <c r="L1053">
        <v>17299</v>
      </c>
      <c r="M1053">
        <v>4974</v>
      </c>
      <c r="N1053">
        <v>519</v>
      </c>
      <c r="O1053">
        <v>225</v>
      </c>
      <c r="P1053">
        <v>0</v>
      </c>
      <c r="Q1053">
        <v>0.5</v>
      </c>
      <c r="R1053">
        <v>0</v>
      </c>
      <c r="S1053">
        <v>0</v>
      </c>
      <c r="T1053">
        <v>0</v>
      </c>
      <c r="U1053">
        <v>0</v>
      </c>
      <c r="V1053">
        <v>225</v>
      </c>
      <c r="W1053">
        <v>0</v>
      </c>
      <c r="X1053">
        <v>0</v>
      </c>
      <c r="Y1053">
        <v>0</v>
      </c>
      <c r="Z1053">
        <v>0</v>
      </c>
      <c r="AA1053">
        <v>17299</v>
      </c>
      <c r="AB1053">
        <v>4974</v>
      </c>
      <c r="AC1053">
        <v>462</v>
      </c>
      <c r="AD1053">
        <v>1.58</v>
      </c>
      <c r="AE1053">
        <v>413</v>
      </c>
      <c r="AF1053">
        <v>0.5</v>
      </c>
      <c r="AG1053">
        <v>0</v>
      </c>
      <c r="AH1053">
        <v>0.039</v>
      </c>
      <c r="AI1053">
        <v>23.87</v>
      </c>
      <c r="AJ1053">
        <v>0.8</v>
      </c>
      <c r="AK1053">
        <v>0</v>
      </c>
      <c r="AL1053">
        <v>0</v>
      </c>
      <c r="AM1053">
        <v>0</v>
      </c>
      <c r="AN1053">
        <v>0</v>
      </c>
      <c r="AO1053">
        <v>0</v>
      </c>
      <c r="AP1053">
        <v>0.900999999999999</v>
      </c>
      <c r="AQ1053">
        <v>0.247</v>
      </c>
      <c r="AR1053">
        <v>0.451</v>
      </c>
      <c r="AS1053" s="3">
        <v>46107.777083333334</v>
      </c>
    </row>
    <row r="1054" ht="25.5" customHeight="1">
      <c r="A1054" t="inlineStr">
        <is>
          <t>639938a20000000026011502</t>
        </is>
      </c>
      <c r="B1054" s="2" t="str">
        <f>=HYPERLINK("https://www.xiaohongshu.com/user/profile/639938a20000000026011502", "https://www.xiaohongshu.com/user/profile/639938a20000000026011502")</f>
        <v>https://www.xiaohongshu.com/user/profile/639938a20000000026011502</v>
      </c>
      <c r="C1054" s="2" t="str">
        <f>=HYPERLINK("https://pgy.xiaohongshu.com/solar/pre-trade/blogger-detail/639938a20000000026011502", "https://pgy.xiaohongshu.com/solar/pre-trade/blogger-detail/639938a20000000026011502")</f>
        <v>https://pgy.xiaohongshu.com/solar/pre-trade/blogger-detail/639938a20000000026011502</v>
      </c>
      <c r="D1054" t="inlineStr">
        <is>
          <t>女</t>
        </is>
      </c>
      <c r="E1054" t="inlineStr">
        <is>
          <t>5322097189</t>
        </is>
      </c>
      <c r="F1054" t="inlineStr">
        <is>
          <t>桌桌（大四实习中</t>
        </is>
      </c>
      <c r="G1054" t="inlineStr">
        <is>
          <t>北京</t>
        </is>
      </c>
      <c r="H1054" t="inlineStr">
        <is>
          <t>学生, 家庭</t>
        </is>
      </c>
      <c r="I1054" t="inlineStr">
        <is>
          <t>生活记录</t>
        </is>
      </c>
      <c r="J1054">
        <v>1120</v>
      </c>
      <c r="K1054" t="inlineStr">
        <is>
          <t>0.1</t>
        </is>
      </c>
      <c r="L1054">
        <v>3676</v>
      </c>
      <c r="M1054">
        <v>580</v>
      </c>
      <c r="N1054">
        <v>107</v>
      </c>
      <c r="O1054">
        <v>260</v>
      </c>
      <c r="P1054">
        <v>0</v>
      </c>
      <c r="Q1054">
        <v>0.25</v>
      </c>
      <c r="R1054">
        <v>7500</v>
      </c>
      <c r="S1054">
        <v>1705</v>
      </c>
      <c r="T1054">
        <v>99</v>
      </c>
      <c r="U1054">
        <v>0.45</v>
      </c>
      <c r="V1054">
        <v>260</v>
      </c>
      <c r="W1054">
        <v>0</v>
      </c>
      <c r="X1054">
        <v>0</v>
      </c>
      <c r="Y1054">
        <v>34.67</v>
      </c>
      <c r="Z1054">
        <v>2.12</v>
      </c>
      <c r="AA1054">
        <v>3676</v>
      </c>
      <c r="AB1054">
        <v>580</v>
      </c>
      <c r="AC1054">
        <v>88</v>
      </c>
      <c r="AD1054">
        <v>2.12</v>
      </c>
      <c r="AE1054">
        <v>360</v>
      </c>
      <c r="AF1054">
        <v>0.332999999999999</v>
      </c>
      <c r="AG1054">
        <v>0</v>
      </c>
      <c r="AH1054">
        <v>0.102</v>
      </c>
      <c r="AI1054">
        <v>97.92</v>
      </c>
      <c r="AJ1054">
        <v>3.36</v>
      </c>
      <c r="AK1054">
        <v>0</v>
      </c>
      <c r="AL1054">
        <v>0</v>
      </c>
      <c r="AM1054">
        <v>0</v>
      </c>
      <c r="AN1054">
        <v>0</v>
      </c>
      <c r="AO1054">
        <v>0</v>
      </c>
      <c r="AP1054">
        <v>0.944</v>
      </c>
      <c r="AQ1054">
        <v>0.102</v>
      </c>
      <c r="AR1054">
        <v>0</v>
      </c>
      <c r="AS1054" s="3">
        <v>46107.777083333334</v>
      </c>
    </row>
    <row r="1055" ht="25.5" customHeight="1">
      <c r="A1055" t="inlineStr">
        <is>
          <t>61d0a4260000000010005706</t>
        </is>
      </c>
      <c r="B1055" s="2" t="str">
        <f>=HYPERLINK("https://www.xiaohongshu.com/user/profile/61d0a4260000000010005706", "https://www.xiaohongshu.com/user/profile/61d0a4260000000010005706")</f>
        <v>https://www.xiaohongshu.com/user/profile/61d0a4260000000010005706</v>
      </c>
      <c r="C1055" s="2" t="str">
        <f>=HYPERLINK("https://pgy.xiaohongshu.com/solar/pre-trade/blogger-detail/61d0a4260000000010005706", "https://pgy.xiaohongshu.com/solar/pre-trade/blogger-detail/61d0a4260000000010005706")</f>
        <v>https://pgy.xiaohongshu.com/solar/pre-trade/blogger-detail/61d0a4260000000010005706</v>
      </c>
      <c r="D1055" t="inlineStr">
        <is>
          <t>女</t>
        </is>
      </c>
      <c r="E1055" t="inlineStr">
        <is>
          <t>charlene0607</t>
        </is>
      </c>
      <c r="F1055" t="inlineStr">
        <is>
          <t>Charleneee的日常</t>
        </is>
      </c>
      <c r="G1055" t="inlineStr">
        <is>
          <t>加拿大</t>
        </is>
      </c>
      <c r="H1055" t="inlineStr">
        <is>
          <t>留学背景, 学生</t>
        </is>
      </c>
      <c r="I1055" t="inlineStr">
        <is>
          <t>教育</t>
        </is>
      </c>
      <c r="J1055">
        <v>22060</v>
      </c>
      <c r="K1055" t="inlineStr">
        <is>
          <t>2.2</t>
        </is>
      </c>
      <c r="L1055">
        <v>26846</v>
      </c>
      <c r="M1055">
        <v>4386</v>
      </c>
      <c r="N1055">
        <v>296</v>
      </c>
      <c r="O1055">
        <v>1500</v>
      </c>
      <c r="P1055">
        <v>0</v>
      </c>
      <c r="Q1055">
        <v>0.778</v>
      </c>
      <c r="R1055">
        <v>19213</v>
      </c>
      <c r="S1055">
        <v>3244</v>
      </c>
      <c r="T1055">
        <v>179</v>
      </c>
      <c r="U1055">
        <v>0.76</v>
      </c>
      <c r="V1055">
        <v>1500</v>
      </c>
      <c r="W1055">
        <v>0.5</v>
      </c>
      <c r="X1055">
        <v>0</v>
      </c>
      <c r="Y1055">
        <v>78.07</v>
      </c>
      <c r="Z1055">
        <v>7.13</v>
      </c>
      <c r="AA1055">
        <v>28762</v>
      </c>
      <c r="AB1055">
        <v>4874</v>
      </c>
      <c r="AC1055">
        <v>515</v>
      </c>
      <c r="AD1055">
        <v>1.95</v>
      </c>
      <c r="AE1055">
        <v>2200</v>
      </c>
      <c r="AF1055">
        <v>1</v>
      </c>
      <c r="AG1055">
        <v>0</v>
      </c>
      <c r="AH1055">
        <v>0.108</v>
      </c>
      <c r="AI1055">
        <v>76.49</v>
      </c>
      <c r="AJ1055">
        <v>3.79</v>
      </c>
      <c r="AK1055">
        <v>0</v>
      </c>
      <c r="AL1055">
        <v>0</v>
      </c>
      <c r="AM1055">
        <v>0</v>
      </c>
      <c r="AN1055">
        <v>0</v>
      </c>
      <c r="AO1055">
        <v>0</v>
      </c>
      <c r="AP1055">
        <v>0.701</v>
      </c>
      <c r="AQ1055">
        <v>0.019</v>
      </c>
      <c r="AR1055">
        <v>0.018</v>
      </c>
      <c r="AS1055" s="3">
        <v>46107.777083333334</v>
      </c>
    </row>
    <row r="1056" ht="25.5" customHeight="1">
      <c r="A1056" t="inlineStr">
        <is>
          <t>54c770ceb4c4d6163868920b</t>
        </is>
      </c>
      <c r="B1056" s="2" t="str">
        <f>=HYPERLINK("https://www.xiaohongshu.com/user/profile/54c770ceb4c4d6163868920b", "https://www.xiaohongshu.com/user/profile/54c770ceb4c4d6163868920b")</f>
        <v>https://www.xiaohongshu.com/user/profile/54c770ceb4c4d6163868920b</v>
      </c>
      <c r="C1056" s="2" t="str">
        <f>=HYPERLINK("https://pgy.xiaohongshu.com/solar/pre-trade/blogger-detail/54c770ceb4c4d6163868920b", "https://pgy.xiaohongshu.com/solar/pre-trade/blogger-detail/54c770ceb4c4d6163868920b")</f>
        <v>https://pgy.xiaohongshu.com/solar/pre-trade/blogger-detail/54c770ceb4c4d6163868920b</v>
      </c>
      <c r="D1056" t="inlineStr">
        <is>
          <t>女</t>
        </is>
      </c>
      <c r="E1056" t="inlineStr">
        <is>
          <t>535089591</t>
        </is>
      </c>
      <c r="F1056" t="inlineStr">
        <is>
          <t>英伦椰子冻🥥</t>
        </is>
      </c>
      <c r="G1056" t="inlineStr">
        <is>
          <t>英国</t>
        </is>
      </c>
      <c r="H1056" t="inlineStr">
        <is>
          <t>学生, 留学背景</t>
        </is>
      </c>
      <c r="I1056" t="inlineStr">
        <is>
          <t>美食</t>
        </is>
      </c>
      <c r="J1056">
        <v>2555</v>
      </c>
      <c r="K1056" t="inlineStr">
        <is>
          <t>0.3</t>
        </is>
      </c>
      <c r="L1056">
        <v>2922</v>
      </c>
      <c r="M1056">
        <v>449</v>
      </c>
      <c r="N1056">
        <v>128</v>
      </c>
      <c r="O1056">
        <v>285</v>
      </c>
      <c r="P1056">
        <v>0</v>
      </c>
      <c r="Q1056">
        <v>0.184</v>
      </c>
      <c r="R1056">
        <v>3124</v>
      </c>
      <c r="S1056">
        <v>440</v>
      </c>
      <c r="T1056">
        <v>108</v>
      </c>
      <c r="U1056">
        <v>0.91</v>
      </c>
      <c r="V1056">
        <v>285</v>
      </c>
      <c r="W1056">
        <v>0.16</v>
      </c>
      <c r="X1056">
        <v>0</v>
      </c>
      <c r="Y1056">
        <v>87.69</v>
      </c>
      <c r="Z1056">
        <v>2.36</v>
      </c>
      <c r="AA1056">
        <v>2708</v>
      </c>
      <c r="AB1056">
        <v>459</v>
      </c>
      <c r="AC1056">
        <v>117</v>
      </c>
      <c r="AD1056">
        <v>2.6</v>
      </c>
      <c r="AE1056">
        <v>507</v>
      </c>
      <c r="AF1056">
        <v>0.231</v>
      </c>
      <c r="AG1056">
        <v>0</v>
      </c>
      <c r="AH1056">
        <v>0.276</v>
      </c>
      <c r="AI1056">
        <v>187.22</v>
      </c>
      <c r="AJ1056">
        <v>3.81</v>
      </c>
      <c r="AK1056">
        <v>4534</v>
      </c>
      <c r="AL1056">
        <v>578</v>
      </c>
      <c r="AM1056">
        <v>166</v>
      </c>
      <c r="AN1056">
        <v>0</v>
      </c>
      <c r="AO1056">
        <v>0</v>
      </c>
      <c r="AP1056">
        <v>0.865</v>
      </c>
      <c r="AQ1056">
        <v>0.077</v>
      </c>
      <c r="AR1056">
        <v>0.055</v>
      </c>
      <c r="AS1056" s="3">
        <v>46107.777083333334</v>
      </c>
    </row>
    <row r="1057" ht="25.5" customHeight="1">
      <c r="A1057" t="inlineStr">
        <is>
          <t>59eb827c4eacab6ea4e93187</t>
        </is>
      </c>
      <c r="B1057" s="2" t="str">
        <f>=HYPERLINK("https://www.xiaohongshu.com/user/profile/59eb827c4eacab6ea4e93187", "https://www.xiaohongshu.com/user/profile/59eb827c4eacab6ea4e93187")</f>
        <v>https://www.xiaohongshu.com/user/profile/59eb827c4eacab6ea4e93187</v>
      </c>
      <c r="C1057" s="2" t="str">
        <f>=HYPERLINK("https://pgy.xiaohongshu.com/solar/pre-trade/blogger-detail/59eb827c4eacab6ea4e93187", "https://pgy.xiaohongshu.com/solar/pre-trade/blogger-detail/59eb827c4eacab6ea4e93187")</f>
        <v>https://pgy.xiaohongshu.com/solar/pre-trade/blogger-detail/59eb827c4eacab6ea4e93187</v>
      </c>
      <c r="D1057" t="inlineStr">
        <is>
          <t>男</t>
        </is>
      </c>
      <c r="E1057" t="inlineStr">
        <is>
          <t>C535747</t>
        </is>
      </c>
      <c r="F1057" t="inlineStr">
        <is>
          <t>pothouse</t>
        </is>
      </c>
      <c r="G1057" t="inlineStr">
        <is>
          <t>北京</t>
        </is>
      </c>
      <c r="H1057" t="inlineStr">
        <is>
          <t>学生</t>
        </is>
      </c>
      <c r="I1057" t="inlineStr">
        <is>
          <t>教育</t>
        </is>
      </c>
      <c r="J1057">
        <v>7770</v>
      </c>
      <c r="K1057" t="inlineStr">
        <is>
          <t>0.8</t>
        </is>
      </c>
      <c r="L1057">
        <v>8203</v>
      </c>
      <c r="M1057">
        <v>1247</v>
      </c>
      <c r="N1057">
        <v>109</v>
      </c>
      <c r="O1057">
        <v>400</v>
      </c>
      <c r="P1057">
        <v>0</v>
      </c>
      <c r="Q1057">
        <v>0.2</v>
      </c>
      <c r="R1057">
        <v>8203</v>
      </c>
      <c r="S1057">
        <v>1247</v>
      </c>
      <c r="T1057">
        <v>74</v>
      </c>
      <c r="U1057">
        <v>0.62</v>
      </c>
      <c r="V1057">
        <v>400</v>
      </c>
      <c r="W1057">
        <v>0.2</v>
      </c>
      <c r="X1057">
        <v>0</v>
      </c>
      <c r="Y1057">
        <v>48.76</v>
      </c>
      <c r="Z1057">
        <v>3.67</v>
      </c>
      <c r="AA1057">
        <v>0</v>
      </c>
      <c r="AB1057">
        <v>0</v>
      </c>
      <c r="AC1057">
        <v>0</v>
      </c>
      <c r="AD1057">
        <v>0</v>
      </c>
      <c r="AE1057">
        <v>530</v>
      </c>
      <c r="AF1057">
        <v>0</v>
      </c>
      <c r="AG1057">
        <v>0</v>
      </c>
      <c r="AH1057">
        <v>0</v>
      </c>
      <c r="AI1057">
        <v>0</v>
      </c>
      <c r="AJ1057">
        <v>0</v>
      </c>
      <c r="AK1057">
        <v>0</v>
      </c>
      <c r="AL1057">
        <v>0</v>
      </c>
      <c r="AM1057">
        <v>0</v>
      </c>
      <c r="AN1057">
        <v>0</v>
      </c>
      <c r="AO1057">
        <v>0</v>
      </c>
      <c r="AP1057">
        <v>0.736</v>
      </c>
      <c r="AQ1057">
        <v>0.039</v>
      </c>
      <c r="AR1057">
        <v>0.054</v>
      </c>
      <c r="AS1057" s="3">
        <v>46107.777083333334</v>
      </c>
    </row>
    <row r="1058" ht="25.5" customHeight="1">
      <c r="A1058" t="inlineStr">
        <is>
          <t>6004fc52000000000101e3b5</t>
        </is>
      </c>
      <c r="B1058" s="2" t="str">
        <f>=HYPERLINK("https://www.xiaohongshu.com/user/profile/6004fc52000000000101e3b5", "https://www.xiaohongshu.com/user/profile/6004fc52000000000101e3b5")</f>
        <v>https://www.xiaohongshu.com/user/profile/6004fc52000000000101e3b5</v>
      </c>
      <c r="C1058" s="2" t="str">
        <f>=HYPERLINK("https://pgy.xiaohongshu.com/solar/pre-trade/blogger-detail/6004fc52000000000101e3b5", "https://pgy.xiaohongshu.com/solar/pre-trade/blogger-detail/6004fc52000000000101e3b5")</f>
        <v>https://pgy.xiaohongshu.com/solar/pre-trade/blogger-detail/6004fc52000000000101e3b5</v>
      </c>
      <c r="D1058" t="inlineStr">
        <is>
          <t>女</t>
        </is>
      </c>
      <c r="E1058" t="inlineStr">
        <is>
          <t>4267430918</t>
        </is>
      </c>
      <c r="F1058" t="inlineStr">
        <is>
          <t>理理有sense</t>
        </is>
      </c>
      <c r="G1058" t="inlineStr">
        <is>
          <t>上海</t>
        </is>
      </c>
      <c r="H1058" t="inlineStr">
        <is>
          <t>平面设计师</t>
        </is>
      </c>
      <c r="I1058" t="inlineStr">
        <is>
          <t>职场</t>
        </is>
      </c>
      <c r="J1058">
        <v>2641</v>
      </c>
      <c r="K1058" t="inlineStr">
        <is>
          <t>0.3</t>
        </is>
      </c>
      <c r="L1058">
        <v>5255</v>
      </c>
      <c r="M1058">
        <v>982</v>
      </c>
      <c r="N1058">
        <v>107</v>
      </c>
      <c r="O1058">
        <v>400</v>
      </c>
      <c r="P1058">
        <v>0</v>
      </c>
      <c r="Q1058">
        <v>0.5</v>
      </c>
      <c r="R1058">
        <v>5481</v>
      </c>
      <c r="S1058">
        <v>1158</v>
      </c>
      <c r="T1058">
        <v>159</v>
      </c>
      <c r="U1058">
        <v>0.48</v>
      </c>
      <c r="V1058">
        <v>400</v>
      </c>
      <c r="W1058">
        <v>1</v>
      </c>
      <c r="X1058">
        <v>0</v>
      </c>
      <c r="Y1058">
        <v>65.08</v>
      </c>
      <c r="Z1058">
        <v>3.28</v>
      </c>
      <c r="AA1058">
        <v>5030</v>
      </c>
      <c r="AB1058">
        <v>807</v>
      </c>
      <c r="AC1058">
        <v>41</v>
      </c>
      <c r="AD1058">
        <v>2.12</v>
      </c>
      <c r="AE1058">
        <v>500</v>
      </c>
      <c r="AF1058">
        <v>0</v>
      </c>
      <c r="AG1058">
        <v>0</v>
      </c>
      <c r="AH1058">
        <v>0.068</v>
      </c>
      <c r="AI1058">
        <v>99.4</v>
      </c>
      <c r="AJ1058">
        <v>10.64</v>
      </c>
      <c r="AK1058">
        <v>6812</v>
      </c>
      <c r="AL1058">
        <v>3213</v>
      </c>
      <c r="AM1058">
        <v>69</v>
      </c>
      <c r="AN1058">
        <v>0</v>
      </c>
      <c r="AO1058">
        <v>0</v>
      </c>
      <c r="AP1058">
        <v>0.878</v>
      </c>
      <c r="AQ1058">
        <v>0.019</v>
      </c>
      <c r="AR1058">
        <v>0.02</v>
      </c>
      <c r="AS1058" s="3">
        <v>46107.777083333334</v>
      </c>
    </row>
    <row r="1059" ht="25.5" customHeight="1">
      <c r="A1059" t="inlineStr">
        <is>
          <t>5e9ff81d000000000100226e</t>
        </is>
      </c>
      <c r="B1059" s="2" t="str">
        <f>=HYPERLINK("https://www.xiaohongshu.com/user/profile/5e9ff81d000000000100226e", "https://www.xiaohongshu.com/user/profile/5e9ff81d000000000100226e")</f>
        <v>https://www.xiaohongshu.com/user/profile/5e9ff81d000000000100226e</v>
      </c>
      <c r="C1059" s="2" t="str">
        <f>=HYPERLINK("https://pgy.xiaohongshu.com/solar/pre-trade/blogger-detail/5e9ff81d000000000100226e", "https://pgy.xiaohongshu.com/solar/pre-trade/blogger-detail/5e9ff81d000000000100226e")</f>
        <v>https://pgy.xiaohongshu.com/solar/pre-trade/blogger-detail/5e9ff81d000000000100226e</v>
      </c>
      <c r="D1059" t="inlineStr">
        <is>
          <t>女</t>
        </is>
      </c>
      <c r="E1059" t="inlineStr">
        <is>
          <t>yovoovy3265</t>
        </is>
      </c>
      <c r="F1059" t="inlineStr">
        <is>
          <t>爱喝多肉葡萄🍇</t>
        </is>
      </c>
      <c r="G1059" t="inlineStr">
        <is>
          <t>广东 广州 天河区</t>
        </is>
      </c>
      <c r="H1059" t="inlineStr">
        <is>
          <t>学生</t>
        </is>
      </c>
      <c r="I1059" t="inlineStr">
        <is>
          <t>教育</t>
        </is>
      </c>
      <c r="J1059">
        <v>2070</v>
      </c>
      <c r="K1059" t="inlineStr">
        <is>
          <t>0.2</t>
        </is>
      </c>
      <c r="L1059">
        <v>4653</v>
      </c>
      <c r="M1059">
        <v>893</v>
      </c>
      <c r="N1059">
        <v>151</v>
      </c>
      <c r="O1059">
        <v>300</v>
      </c>
      <c r="P1059">
        <v>0</v>
      </c>
      <c r="Q1059">
        <v>0</v>
      </c>
      <c r="R1059">
        <v>4653</v>
      </c>
      <c r="S1059">
        <v>893</v>
      </c>
      <c r="T1059">
        <v>133</v>
      </c>
      <c r="U1059">
        <v>0.52</v>
      </c>
      <c r="V1059">
        <v>200</v>
      </c>
      <c r="W1059">
        <v>0</v>
      </c>
      <c r="X1059">
        <v>0</v>
      </c>
      <c r="Y1059">
        <v>0</v>
      </c>
      <c r="Z1059">
        <v>0</v>
      </c>
      <c r="AA1059">
        <v>0</v>
      </c>
      <c r="AB1059">
        <v>0</v>
      </c>
      <c r="AC1059">
        <v>0</v>
      </c>
      <c r="AD1059">
        <v>0</v>
      </c>
      <c r="AE1059">
        <v>300</v>
      </c>
      <c r="AF1059">
        <v>0</v>
      </c>
      <c r="AG1059">
        <v>0</v>
      </c>
      <c r="AH1059">
        <v>0</v>
      </c>
      <c r="AI1059">
        <v>0</v>
      </c>
      <c r="AJ1059">
        <v>0</v>
      </c>
      <c r="AK1059">
        <v>0</v>
      </c>
      <c r="AL1059">
        <v>0</v>
      </c>
      <c r="AM1059">
        <v>0</v>
      </c>
      <c r="AN1059">
        <v>0</v>
      </c>
      <c r="AO1059">
        <v>0</v>
      </c>
      <c r="AP1059">
        <v>0.874</v>
      </c>
      <c r="AQ1059">
        <v>0.047</v>
      </c>
      <c r="AR1059">
        <v>0.03</v>
      </c>
      <c r="AS1059" s="3">
        <v>46107.777083333334</v>
      </c>
    </row>
    <row r="1060" ht="25.5" customHeight="1">
      <c r="A1060" t="inlineStr">
        <is>
          <t>5ce0d5b0000000001601bc86</t>
        </is>
      </c>
      <c r="B1060" s="2" t="str">
        <f>=HYPERLINK("https://www.xiaohongshu.com/user/profile/5ce0d5b0000000001601bc86", "https://www.xiaohongshu.com/user/profile/5ce0d5b0000000001601bc86")</f>
        <v>https://www.xiaohongshu.com/user/profile/5ce0d5b0000000001601bc86</v>
      </c>
      <c r="C1060" s="2" t="str">
        <f>=HYPERLINK("https://pgy.xiaohongshu.com/solar/pre-trade/blogger-detail/5ce0d5b0000000001601bc86", "https://pgy.xiaohongshu.com/solar/pre-trade/blogger-detail/5ce0d5b0000000001601bc86")</f>
        <v>https://pgy.xiaohongshu.com/solar/pre-trade/blogger-detail/5ce0d5b0000000001601bc86</v>
      </c>
      <c r="D1060" t="inlineStr">
        <is>
          <t>女</t>
        </is>
      </c>
      <c r="E1060" t="inlineStr">
        <is>
          <t>862133713</t>
        </is>
      </c>
      <c r="F1060" t="inlineStr">
        <is>
          <t>Tiare🍃</t>
        </is>
      </c>
      <c r="G1060" t="inlineStr">
        <is>
          <t>江苏 南京 雨花台区</t>
        </is>
      </c>
      <c r="H1060"/>
      <c r="I1060" t="inlineStr">
        <is>
          <t>教育</t>
        </is>
      </c>
      <c r="J1060">
        <v>7135</v>
      </c>
      <c r="K1060" t="inlineStr">
        <is>
          <t>0.7</t>
        </is>
      </c>
      <c r="L1060">
        <v>4400</v>
      </c>
      <c r="M1060">
        <v>475</v>
      </c>
      <c r="N1060">
        <v>102</v>
      </c>
      <c r="O1060">
        <v>200</v>
      </c>
      <c r="P1060">
        <v>0</v>
      </c>
      <c r="Q1060">
        <v>0.182</v>
      </c>
      <c r="R1060">
        <v>4400</v>
      </c>
      <c r="S1060">
        <v>475</v>
      </c>
      <c r="T1060">
        <v>82</v>
      </c>
      <c r="U1060">
        <v>0.72</v>
      </c>
      <c r="V1060">
        <v>200</v>
      </c>
      <c r="W1060">
        <v>0.182</v>
      </c>
      <c r="X1060">
        <v>0</v>
      </c>
      <c r="Y1060">
        <v>45.45</v>
      </c>
      <c r="Z1060">
        <v>1.96</v>
      </c>
      <c r="AA1060">
        <v>0</v>
      </c>
      <c r="AB1060">
        <v>0</v>
      </c>
      <c r="AC1060">
        <v>0</v>
      </c>
      <c r="AD1060">
        <v>0</v>
      </c>
      <c r="AE1060">
        <v>200</v>
      </c>
      <c r="AF1060">
        <v>0</v>
      </c>
      <c r="AG1060">
        <v>0</v>
      </c>
      <c r="AH1060">
        <v>0</v>
      </c>
      <c r="AI1060">
        <v>0</v>
      </c>
      <c r="AJ1060">
        <v>0</v>
      </c>
      <c r="AK1060">
        <v>0</v>
      </c>
      <c r="AL1060">
        <v>0</v>
      </c>
      <c r="AM1060">
        <v>0</v>
      </c>
      <c r="AN1060">
        <v>0</v>
      </c>
      <c r="AO1060">
        <v>0</v>
      </c>
      <c r="AP1060">
        <v>0.863</v>
      </c>
      <c r="AQ1060">
        <v>0.0289999999999999</v>
      </c>
      <c r="AR1060">
        <v>0.035</v>
      </c>
      <c r="AS1060" s="3">
        <v>46107.777083333334</v>
      </c>
    </row>
    <row r="1061" ht="25.5" customHeight="1">
      <c r="A1061" t="inlineStr">
        <is>
          <t>675cda9a0000000018017a67</t>
        </is>
      </c>
      <c r="B1061" s="2" t="str">
        <f>=HYPERLINK("https://www.xiaohongshu.com/user/profile/675cda9a0000000018017a67", "https://www.xiaohongshu.com/user/profile/675cda9a0000000018017a67")</f>
        <v>https://www.xiaohongshu.com/user/profile/675cda9a0000000018017a67</v>
      </c>
      <c r="C1061" s="2" t="str">
        <f>=HYPERLINK("https://pgy.xiaohongshu.com/solar/pre-trade/blogger-detail/675cda9a0000000018017a67", "https://pgy.xiaohongshu.com/solar/pre-trade/blogger-detail/675cda9a0000000018017a67")</f>
        <v>https://pgy.xiaohongshu.com/solar/pre-trade/blogger-detail/675cda9a0000000018017a67</v>
      </c>
      <c r="D1061" t="inlineStr">
        <is>
          <t>女</t>
        </is>
      </c>
      <c r="E1061" t="inlineStr">
        <is>
          <t>070211rose</t>
        </is>
      </c>
      <c r="F1061" t="inlineStr">
        <is>
          <t>aka.n_e.ne</t>
        </is>
      </c>
      <c r="G1061" t="inlineStr">
        <is>
          <t>日本</t>
        </is>
      </c>
      <c r="H1061"/>
      <c r="I1061" t="inlineStr">
        <is>
          <t>教育</t>
        </is>
      </c>
      <c r="J1061">
        <v>5022</v>
      </c>
      <c r="K1061" t="inlineStr">
        <is>
          <t>0.5</t>
        </is>
      </c>
      <c r="L1061">
        <v>5356</v>
      </c>
      <c r="M1061">
        <v>1170</v>
      </c>
      <c r="N1061">
        <v>171</v>
      </c>
      <c r="O1061">
        <v>500</v>
      </c>
      <c r="P1061">
        <v>0</v>
      </c>
      <c r="Q1061">
        <v>0.6</v>
      </c>
      <c r="R1061">
        <v>4136</v>
      </c>
      <c r="S1061">
        <v>735</v>
      </c>
      <c r="T1061">
        <v>107</v>
      </c>
      <c r="U1061">
        <v>0.98</v>
      </c>
      <c r="V1061">
        <v>500</v>
      </c>
      <c r="W1061">
        <v>0.5</v>
      </c>
      <c r="X1061">
        <v>0</v>
      </c>
      <c r="Y1061">
        <v>120.89</v>
      </c>
      <c r="Z1061">
        <v>4.39</v>
      </c>
      <c r="AA1061">
        <v>5356</v>
      </c>
      <c r="AB1061">
        <v>1250</v>
      </c>
      <c r="AC1061">
        <v>152</v>
      </c>
      <c r="AD1061">
        <v>2.3</v>
      </c>
      <c r="AE1061">
        <v>1000</v>
      </c>
      <c r="AF1061">
        <v>0.615</v>
      </c>
      <c r="AG1061">
        <v>0</v>
      </c>
      <c r="AH1061">
        <v>0.047</v>
      </c>
      <c r="AI1061">
        <v>186.71</v>
      </c>
      <c r="AJ1061">
        <v>5.85</v>
      </c>
      <c r="AK1061">
        <v>0</v>
      </c>
      <c r="AL1061">
        <v>0</v>
      </c>
      <c r="AM1061">
        <v>0</v>
      </c>
      <c r="AN1061">
        <v>0</v>
      </c>
      <c r="AO1061">
        <v>0</v>
      </c>
      <c r="AP1061">
        <v>0.912</v>
      </c>
      <c r="AQ1061">
        <v>0.114</v>
      </c>
      <c r="AR1061">
        <v>0.06</v>
      </c>
      <c r="AS1061" s="3">
        <v>46107.77731481481</v>
      </c>
    </row>
    <row r="1062" ht="25.5" customHeight="1">
      <c r="A1062" t="inlineStr">
        <is>
          <t>5ab512d6e8ac2b38aa53c567</t>
        </is>
      </c>
      <c r="B1062" s="2" t="str">
        <f>=HYPERLINK("https://www.xiaohongshu.com/user/profile/5ab512d6e8ac2b38aa53c567", "https://www.xiaohongshu.com/user/profile/5ab512d6e8ac2b38aa53c567")</f>
        <v>https://www.xiaohongshu.com/user/profile/5ab512d6e8ac2b38aa53c567</v>
      </c>
      <c r="C1062" s="2" t="str">
        <f>=HYPERLINK("https://pgy.xiaohongshu.com/solar/pre-trade/blogger-detail/5ab512d6e8ac2b38aa53c567", "https://pgy.xiaohongshu.com/solar/pre-trade/blogger-detail/5ab512d6e8ac2b38aa53c567")</f>
        <v>https://pgy.xiaohongshu.com/solar/pre-trade/blogger-detail/5ab512d6e8ac2b38aa53c567</v>
      </c>
      <c r="D1062" t="inlineStr">
        <is>
          <t>女</t>
        </is>
      </c>
      <c r="E1062" t="inlineStr">
        <is>
          <t>Ana11C</t>
        </is>
      </c>
      <c r="F1062" t="inlineStr">
        <is>
          <t>西北都教授</t>
        </is>
      </c>
      <c r="G1062" t="inlineStr">
        <is>
          <t>加拿大</t>
        </is>
      </c>
      <c r="H1062" t="inlineStr">
        <is>
          <t>留学背景</t>
        </is>
      </c>
      <c r="I1062" t="inlineStr">
        <is>
          <t>情感, 生活记录</t>
        </is>
      </c>
      <c r="J1062">
        <v>4966</v>
      </c>
      <c r="K1062" t="inlineStr">
        <is>
          <t>0.5</t>
        </is>
      </c>
      <c r="L1062">
        <v>7057</v>
      </c>
      <c r="M1062">
        <v>1699</v>
      </c>
      <c r="N1062">
        <v>241</v>
      </c>
      <c r="O1062">
        <v>199</v>
      </c>
      <c r="P1062">
        <v>0.143</v>
      </c>
      <c r="Q1062">
        <v>0.571</v>
      </c>
      <c r="R1062">
        <v>3380</v>
      </c>
      <c r="S1062">
        <v>744</v>
      </c>
      <c r="T1062">
        <v>21</v>
      </c>
      <c r="U1062">
        <v>0.57</v>
      </c>
      <c r="V1062">
        <v>199</v>
      </c>
      <c r="W1062">
        <v>0</v>
      </c>
      <c r="X1062">
        <v>0</v>
      </c>
      <c r="Y1062">
        <v>58.88</v>
      </c>
      <c r="Z1062">
        <v>5.31</v>
      </c>
      <c r="AA1062">
        <v>7501</v>
      </c>
      <c r="AB1062">
        <v>2104</v>
      </c>
      <c r="AC1062">
        <v>372</v>
      </c>
      <c r="AD1062">
        <v>1.62</v>
      </c>
      <c r="AE1062">
        <v>250</v>
      </c>
      <c r="AF1062">
        <v>0.8</v>
      </c>
      <c r="AG1062">
        <v>0.2</v>
      </c>
      <c r="AH1062">
        <v>0.113</v>
      </c>
      <c r="AI1062">
        <v>33.33</v>
      </c>
      <c r="AJ1062">
        <v>0.58</v>
      </c>
      <c r="AK1062">
        <v>0</v>
      </c>
      <c r="AL1062">
        <v>0</v>
      </c>
      <c r="AM1062">
        <v>0</v>
      </c>
      <c r="AN1062">
        <v>0</v>
      </c>
      <c r="AO1062">
        <v>0</v>
      </c>
      <c r="AP1062">
        <v>0.985</v>
      </c>
      <c r="AQ1062">
        <v>0.534</v>
      </c>
      <c r="AR1062">
        <v>2.54</v>
      </c>
      <c r="AS1062" s="3">
        <v>46107.77731481481</v>
      </c>
    </row>
    <row r="1063" ht="25.5" customHeight="1">
      <c r="A1063" t="inlineStr">
        <is>
          <t>6018f825000000000101d25d</t>
        </is>
      </c>
      <c r="B1063" s="2" t="str">
        <f>=HYPERLINK("https://www.xiaohongshu.com/user/profile/6018f825000000000101d25d", "https://www.xiaohongshu.com/user/profile/6018f825000000000101d25d")</f>
        <v>https://www.xiaohongshu.com/user/profile/6018f825000000000101d25d</v>
      </c>
      <c r="C1063" s="2" t="str">
        <f>=HYPERLINK("https://pgy.xiaohongshu.com/solar/pre-trade/blogger-detail/6018f825000000000101d25d", "https://pgy.xiaohongshu.com/solar/pre-trade/blogger-detail/6018f825000000000101d25d")</f>
        <v>https://pgy.xiaohongshu.com/solar/pre-trade/blogger-detail/6018f825000000000101d25d</v>
      </c>
      <c r="D1063" t="inlineStr">
        <is>
          <t>女</t>
        </is>
      </c>
      <c r="E1063" t="inlineStr">
        <is>
          <t>2630017300</t>
        </is>
      </c>
      <c r="F1063" t="inlineStr">
        <is>
          <t>Celyn西语屋</t>
        </is>
      </c>
      <c r="G1063" t="inlineStr">
        <is>
          <t>江苏 镇江 润州区</t>
        </is>
      </c>
      <c r="H1063"/>
      <c r="I1063" t="inlineStr">
        <is>
          <t>教育</t>
        </is>
      </c>
      <c r="J1063">
        <v>3081</v>
      </c>
      <c r="K1063" t="inlineStr">
        <is>
          <t>0.3</t>
        </is>
      </c>
      <c r="L1063">
        <v>3319</v>
      </c>
      <c r="M1063">
        <v>1563</v>
      </c>
      <c r="N1063">
        <v>166</v>
      </c>
      <c r="O1063">
        <v>200</v>
      </c>
      <c r="P1063">
        <v>0.042</v>
      </c>
      <c r="Q1063">
        <v>0.292</v>
      </c>
      <c r="R1063">
        <v>0</v>
      </c>
      <c r="S1063">
        <v>0</v>
      </c>
      <c r="T1063">
        <v>0</v>
      </c>
      <c r="U1063">
        <v>0</v>
      </c>
      <c r="V1063">
        <v>200</v>
      </c>
      <c r="W1063">
        <v>0</v>
      </c>
      <c r="X1063">
        <v>0</v>
      </c>
      <c r="Y1063">
        <v>0</v>
      </c>
      <c r="Z1063">
        <v>0</v>
      </c>
      <c r="AA1063">
        <v>3319</v>
      </c>
      <c r="AB1063">
        <v>1563</v>
      </c>
      <c r="AC1063">
        <v>123</v>
      </c>
      <c r="AD1063">
        <v>1.69</v>
      </c>
      <c r="AE1063">
        <v>300</v>
      </c>
      <c r="AF1063">
        <v>0.292</v>
      </c>
      <c r="AG1063">
        <v>0.042</v>
      </c>
      <c r="AH1063">
        <v>0.34</v>
      </c>
      <c r="AI1063">
        <v>90.38</v>
      </c>
      <c r="AJ1063">
        <v>1.8</v>
      </c>
      <c r="AK1063">
        <v>0</v>
      </c>
      <c r="AL1063">
        <v>0</v>
      </c>
      <c r="AM1063">
        <v>0</v>
      </c>
      <c r="AN1063">
        <v>0</v>
      </c>
      <c r="AO1063">
        <v>0</v>
      </c>
      <c r="AP1063">
        <v>0.915</v>
      </c>
      <c r="AQ1063">
        <v>0.17</v>
      </c>
      <c r="AR1063">
        <v>0.528</v>
      </c>
      <c r="AS1063" s="3">
        <v>46107.77731481481</v>
      </c>
    </row>
    <row r="1064" ht="25.5" customHeight="1">
      <c r="A1064" t="inlineStr">
        <is>
          <t>57c562d15e87e73d4e1ef059</t>
        </is>
      </c>
      <c r="B1064" s="2" t="str">
        <f>=HYPERLINK("https://www.xiaohongshu.com/user/profile/57c562d15e87e73d4e1ef059", "https://www.xiaohongshu.com/user/profile/57c562d15e87e73d4e1ef059")</f>
        <v>https://www.xiaohongshu.com/user/profile/57c562d15e87e73d4e1ef059</v>
      </c>
      <c r="C1064" s="2" t="str">
        <f>=HYPERLINK("https://pgy.xiaohongshu.com/solar/pre-trade/blogger-detail/57c562d15e87e73d4e1ef059", "https://pgy.xiaohongshu.com/solar/pre-trade/blogger-detail/57c562d15e87e73d4e1ef059")</f>
        <v>https://pgy.xiaohongshu.com/solar/pre-trade/blogger-detail/57c562d15e87e73d4e1ef059</v>
      </c>
      <c r="D1064" t="inlineStr">
        <is>
          <t>女</t>
        </is>
      </c>
      <c r="E1064" t="inlineStr">
        <is>
          <t>huge0920huge</t>
        </is>
      </c>
      <c r="F1064" t="inlineStr">
        <is>
          <t>菠萝冰#</t>
        </is>
      </c>
      <c r="G1064" t="inlineStr">
        <is>
          <t>湖南 长沙 岳麓区</t>
        </is>
      </c>
      <c r="H1064" t="inlineStr">
        <is>
          <t>考研过来人, 学生</t>
        </is>
      </c>
      <c r="I1064" t="inlineStr">
        <is>
          <t>教育</t>
        </is>
      </c>
      <c r="J1064">
        <v>3605</v>
      </c>
      <c r="K1064" t="inlineStr">
        <is>
          <t>0.4</t>
        </is>
      </c>
      <c r="L1064">
        <v>5413</v>
      </c>
      <c r="M1064">
        <v>901</v>
      </c>
      <c r="N1064">
        <v>143</v>
      </c>
      <c r="O1064">
        <v>193</v>
      </c>
      <c r="P1064">
        <v>0</v>
      </c>
      <c r="Q1064">
        <v>0</v>
      </c>
      <c r="R1064">
        <v>5413</v>
      </c>
      <c r="S1064">
        <v>901</v>
      </c>
      <c r="T1064">
        <v>132</v>
      </c>
      <c r="U1064">
        <v>0.51</v>
      </c>
      <c r="V1064">
        <v>193</v>
      </c>
      <c r="W1064">
        <v>0</v>
      </c>
      <c r="X1064">
        <v>0</v>
      </c>
      <c r="Y1064">
        <v>35.65</v>
      </c>
      <c r="Z1064">
        <v>1.35</v>
      </c>
      <c r="AA1064">
        <v>0</v>
      </c>
      <c r="AB1064">
        <v>0</v>
      </c>
      <c r="AC1064">
        <v>0</v>
      </c>
      <c r="AD1064">
        <v>0</v>
      </c>
      <c r="AE1064">
        <v>354</v>
      </c>
      <c r="AF1064">
        <v>0</v>
      </c>
      <c r="AG1064">
        <v>0</v>
      </c>
      <c r="AH1064">
        <v>0</v>
      </c>
      <c r="AI1064">
        <v>0</v>
      </c>
      <c r="AJ1064">
        <v>0</v>
      </c>
      <c r="AK1064">
        <v>0</v>
      </c>
      <c r="AL1064">
        <v>0</v>
      </c>
      <c r="AM1064">
        <v>0</v>
      </c>
      <c r="AN1064">
        <v>0</v>
      </c>
      <c r="AO1064">
        <v>0</v>
      </c>
      <c r="AP1064">
        <v>0.819</v>
      </c>
      <c r="AQ1064">
        <v>0.015</v>
      </c>
      <c r="AR1064">
        <v>0.01</v>
      </c>
      <c r="AS1064" s="3">
        <v>46107.77731481481</v>
      </c>
    </row>
    <row r="1065" ht="25.5" customHeight="1">
      <c r="A1065" t="inlineStr">
        <is>
          <t>685edaca000000001b0218b9</t>
        </is>
      </c>
      <c r="B1065" s="2" t="str">
        <f>=HYPERLINK("https://www.xiaohongshu.com/user/profile/685edaca000000001b0218b9", "https://www.xiaohongshu.com/user/profile/685edaca000000001b0218b9")</f>
        <v>https://www.xiaohongshu.com/user/profile/685edaca000000001b0218b9</v>
      </c>
      <c r="C1065" s="2" t="str">
        <f>=HYPERLINK("https://pgy.xiaohongshu.com/solar/pre-trade/blogger-detail/685edaca000000001b0218b9", "https://pgy.xiaohongshu.com/solar/pre-trade/blogger-detail/685edaca000000001b0218b9")</f>
        <v>https://pgy.xiaohongshu.com/solar/pre-trade/blogger-detail/685edaca000000001b0218b9</v>
      </c>
      <c r="D1065" t="inlineStr">
        <is>
          <t>男</t>
        </is>
      </c>
      <c r="E1065" t="inlineStr">
        <is>
          <t>49607377662</t>
        </is>
      </c>
      <c r="F1065" t="inlineStr">
        <is>
          <t>花緑青</t>
        </is>
      </c>
      <c r="G1065" t="inlineStr">
        <is>
          <t>天津</t>
        </is>
      </c>
      <c r="H1065" t="inlineStr">
        <is>
          <t>学生, 程序员</t>
        </is>
      </c>
      <c r="I1065" t="inlineStr">
        <is>
          <t>教育</t>
        </is>
      </c>
      <c r="J1065">
        <v>4561</v>
      </c>
      <c r="K1065" t="inlineStr">
        <is>
          <t>0.5</t>
        </is>
      </c>
      <c r="L1065">
        <v>11818</v>
      </c>
      <c r="M1065">
        <v>1461</v>
      </c>
      <c r="N1065">
        <v>116</v>
      </c>
      <c r="O1065">
        <v>198</v>
      </c>
      <c r="P1065">
        <v>0.042</v>
      </c>
      <c r="Q1065">
        <v>0.271</v>
      </c>
      <c r="R1065">
        <v>11711</v>
      </c>
      <c r="S1065">
        <v>1487</v>
      </c>
      <c r="T1065">
        <v>80</v>
      </c>
      <c r="U1065">
        <v>0.43</v>
      </c>
      <c r="V1065">
        <v>198</v>
      </c>
      <c r="W1065">
        <v>0.276999999999999</v>
      </c>
      <c r="X1065">
        <v>0.043</v>
      </c>
      <c r="Y1065">
        <v>16.91</v>
      </c>
      <c r="Z1065">
        <v>1.66</v>
      </c>
      <c r="AA1065">
        <v>14808</v>
      </c>
      <c r="AB1065">
        <v>703</v>
      </c>
      <c r="AC1065">
        <v>47</v>
      </c>
      <c r="AD1065">
        <v>0</v>
      </c>
      <c r="AE1065">
        <v>0</v>
      </c>
      <c r="AF1065">
        <v>0</v>
      </c>
      <c r="AG1065">
        <v>0</v>
      </c>
      <c r="AH1065">
        <v>0.012</v>
      </c>
      <c r="AI1065">
        <v>0</v>
      </c>
      <c r="AJ1065">
        <v>0</v>
      </c>
      <c r="AK1065">
        <v>0</v>
      </c>
      <c r="AL1065">
        <v>0</v>
      </c>
      <c r="AM1065">
        <v>0</v>
      </c>
      <c r="AN1065">
        <v>0</v>
      </c>
      <c r="AO1065">
        <v>0</v>
      </c>
      <c r="AP1065">
        <v>0.994</v>
      </c>
      <c r="AQ1065">
        <v>0.391</v>
      </c>
      <c r="AR1065">
        <v>0</v>
      </c>
      <c r="AS1065" s="3">
        <v>46107.77731481481</v>
      </c>
    </row>
    <row r="1066" ht="25.5" customHeight="1">
      <c r="A1066" t="inlineStr">
        <is>
          <t>6756e5eb000000001c01919a</t>
        </is>
      </c>
      <c r="B1066" s="2" t="str">
        <f>=HYPERLINK("https://www.xiaohongshu.com/user/profile/6756e5eb000000001c01919a", "https://www.xiaohongshu.com/user/profile/6756e5eb000000001c01919a")</f>
        <v>https://www.xiaohongshu.com/user/profile/6756e5eb000000001c01919a</v>
      </c>
      <c r="C1066" s="2" t="str">
        <f>=HYPERLINK("https://pgy.xiaohongshu.com/solar/pre-trade/blogger-detail/6756e5eb000000001c01919a", "https://pgy.xiaohongshu.com/solar/pre-trade/blogger-detail/6756e5eb000000001c01919a")</f>
        <v>https://pgy.xiaohongshu.com/solar/pre-trade/blogger-detail/6756e5eb000000001c01919a</v>
      </c>
      <c r="D1066" t="inlineStr">
        <is>
          <t>男</t>
        </is>
      </c>
      <c r="E1066" t="inlineStr">
        <is>
          <t>Darren_0531</t>
        </is>
      </c>
      <c r="F1066" t="inlineStr">
        <is>
          <t>剑桥英语呆伦老师</t>
        </is>
      </c>
      <c r="G1066" t="inlineStr">
        <is>
          <t>北京</t>
        </is>
      </c>
      <c r="H1066"/>
      <c r="I1066" t="inlineStr">
        <is>
          <t>教育</t>
        </is>
      </c>
      <c r="J1066">
        <v>2991</v>
      </c>
      <c r="K1066" t="inlineStr">
        <is>
          <t>0.3</t>
        </is>
      </c>
      <c r="L1066">
        <v>4092</v>
      </c>
      <c r="M1066">
        <v>763</v>
      </c>
      <c r="N1066">
        <v>112</v>
      </c>
      <c r="O1066">
        <v>166</v>
      </c>
      <c r="P1066">
        <v>0</v>
      </c>
      <c r="Q1066">
        <v>0.222</v>
      </c>
      <c r="R1066">
        <v>4</v>
      </c>
      <c r="S1066">
        <v>1</v>
      </c>
      <c r="T1066">
        <v>0</v>
      </c>
      <c r="U1066">
        <v>166.3</v>
      </c>
      <c r="V1066">
        <v>166</v>
      </c>
      <c r="W1066">
        <v>0</v>
      </c>
      <c r="X1066">
        <v>0</v>
      </c>
      <c r="Y1066">
        <v>41500</v>
      </c>
      <c r="Z1066">
        <v>0</v>
      </c>
      <c r="AA1066">
        <v>5100</v>
      </c>
      <c r="AB1066">
        <v>944</v>
      </c>
      <c r="AC1066">
        <v>106</v>
      </c>
      <c r="AD1066">
        <v>1.73</v>
      </c>
      <c r="AE1066">
        <v>221</v>
      </c>
      <c r="AF1066">
        <v>0.25</v>
      </c>
      <c r="AG1066">
        <v>0</v>
      </c>
      <c r="AH1066">
        <v>0.111</v>
      </c>
      <c r="AI1066">
        <v>43.33</v>
      </c>
      <c r="AJ1066">
        <v>1.53</v>
      </c>
      <c r="AK1066">
        <v>0</v>
      </c>
      <c r="AL1066">
        <v>0</v>
      </c>
      <c r="AM1066">
        <v>0</v>
      </c>
      <c r="AN1066">
        <v>0</v>
      </c>
      <c r="AO1066">
        <v>0</v>
      </c>
      <c r="AP1066">
        <v>0.991</v>
      </c>
      <c r="AQ1066">
        <v>0.217</v>
      </c>
      <c r="AR1066">
        <v>0.351</v>
      </c>
      <c r="AS1066" s="3">
        <v>46107.77731481481</v>
      </c>
    </row>
    <row r="1067" ht="25.5" customHeight="1">
      <c r="A1067" t="inlineStr">
        <is>
          <t>58e03f515e87e77747e96c25</t>
        </is>
      </c>
      <c r="B1067" s="2" t="str">
        <f>=HYPERLINK("https://www.xiaohongshu.com/user/profile/58e03f515e87e77747e96c25", "https://www.xiaohongshu.com/user/profile/58e03f515e87e77747e96c25")</f>
        <v>https://www.xiaohongshu.com/user/profile/58e03f515e87e77747e96c25</v>
      </c>
      <c r="C1067" s="2" t="str">
        <f>=HYPERLINK("https://pgy.xiaohongshu.com/solar/pre-trade/blogger-detail/58e03f515e87e77747e96c25", "https://pgy.xiaohongshu.com/solar/pre-trade/blogger-detail/58e03f515e87e77747e96c25")</f>
        <v>https://pgy.xiaohongshu.com/solar/pre-trade/blogger-detail/58e03f515e87e77747e96c25</v>
      </c>
      <c r="D1067" t="inlineStr">
        <is>
          <t>女</t>
        </is>
      </c>
      <c r="E1067" t="inlineStr">
        <is>
          <t>263392638</t>
        </is>
      </c>
      <c r="F1067" t="inlineStr">
        <is>
          <t>秒记单词</t>
        </is>
      </c>
      <c r="G1067" t="inlineStr">
        <is>
          <t>辽宁 沈阳 大东区</t>
        </is>
      </c>
      <c r="H1067"/>
      <c r="I1067" t="inlineStr">
        <is>
          <t>教育</t>
        </is>
      </c>
      <c r="J1067">
        <v>13314</v>
      </c>
      <c r="K1067" t="inlineStr">
        <is>
          <t>1.3</t>
        </is>
      </c>
      <c r="L1067">
        <v>56346</v>
      </c>
      <c r="M1067">
        <v>6900</v>
      </c>
      <c r="N1067">
        <v>619</v>
      </c>
      <c r="O1067">
        <v>300</v>
      </c>
      <c r="P1067">
        <v>0</v>
      </c>
      <c r="Q1067">
        <v>1</v>
      </c>
      <c r="R1067">
        <v>56346</v>
      </c>
      <c r="S1067">
        <v>6900</v>
      </c>
      <c r="T1067">
        <v>547</v>
      </c>
      <c r="U1067">
        <v>0.34</v>
      </c>
      <c r="V1067">
        <v>300</v>
      </c>
      <c r="W1067">
        <v>1</v>
      </c>
      <c r="X1067">
        <v>0</v>
      </c>
      <c r="Y1067">
        <v>5.32</v>
      </c>
      <c r="Z1067">
        <v>0.48</v>
      </c>
      <c r="AA1067">
        <v>0</v>
      </c>
      <c r="AB1067">
        <v>0</v>
      </c>
      <c r="AC1067">
        <v>0</v>
      </c>
      <c r="AD1067">
        <v>0</v>
      </c>
      <c r="AE1067">
        <v>0</v>
      </c>
      <c r="AF1067">
        <v>0</v>
      </c>
      <c r="AG1067">
        <v>0</v>
      </c>
      <c r="AH1067">
        <v>0</v>
      </c>
      <c r="AI1067">
        <v>0</v>
      </c>
      <c r="AJ1067">
        <v>0</v>
      </c>
      <c r="AK1067">
        <v>0</v>
      </c>
      <c r="AL1067">
        <v>0</v>
      </c>
      <c r="AM1067">
        <v>0</v>
      </c>
      <c r="AN1067">
        <v>0</v>
      </c>
      <c r="AO1067">
        <v>0</v>
      </c>
      <c r="AP1067">
        <v>0.905</v>
      </c>
      <c r="AQ1067">
        <v>0.008</v>
      </c>
      <c r="AR1067">
        <v>0.001</v>
      </c>
      <c r="AS1067" s="3">
        <v>46107.77731481481</v>
      </c>
    </row>
    <row r="1068" ht="25.5" customHeight="1">
      <c r="A1068" t="inlineStr">
        <is>
          <t>5c29f620000000000701095a</t>
        </is>
      </c>
      <c r="B1068" s="2" t="str">
        <f>=HYPERLINK("https://www.xiaohongshu.com/user/profile/5c29f620000000000701095a", "https://www.xiaohongshu.com/user/profile/5c29f620000000000701095a")</f>
        <v>https://www.xiaohongshu.com/user/profile/5c29f620000000000701095a</v>
      </c>
      <c r="C1068" s="2" t="str">
        <f>=HYPERLINK("https://pgy.xiaohongshu.com/solar/pre-trade/blogger-detail/5c29f620000000000701095a", "https://pgy.xiaohongshu.com/solar/pre-trade/blogger-detail/5c29f620000000000701095a")</f>
        <v>https://pgy.xiaohongshu.com/solar/pre-trade/blogger-detail/5c29f620000000000701095a</v>
      </c>
      <c r="D1068" t="inlineStr">
        <is>
          <t>女</t>
        </is>
      </c>
      <c r="E1068" t="inlineStr">
        <is>
          <t>676404967</t>
        </is>
      </c>
      <c r="F1068" t="inlineStr">
        <is>
          <t>芋圆奶茶不要奶茶🐽</t>
        </is>
      </c>
      <c r="G1068" t="inlineStr">
        <is>
          <t>德国</t>
        </is>
      </c>
      <c r="H1068"/>
      <c r="I1068" t="inlineStr">
        <is>
          <t>教育</t>
        </is>
      </c>
      <c r="J1068">
        <v>4890</v>
      </c>
      <c r="K1068" t="inlineStr">
        <is>
          <t>0.5</t>
        </is>
      </c>
      <c r="L1068">
        <v>16989</v>
      </c>
      <c r="M1068">
        <v>4812</v>
      </c>
      <c r="N1068">
        <v>420</v>
      </c>
      <c r="O1068">
        <v>416</v>
      </c>
      <c r="P1068">
        <v>0.2</v>
      </c>
      <c r="Q1068">
        <v>1</v>
      </c>
      <c r="R1068">
        <v>0</v>
      </c>
      <c r="S1068">
        <v>0</v>
      </c>
      <c r="T1068">
        <v>0</v>
      </c>
      <c r="U1068">
        <v>0</v>
      </c>
      <c r="V1068">
        <v>416</v>
      </c>
      <c r="W1068">
        <v>0</v>
      </c>
      <c r="X1068">
        <v>0</v>
      </c>
      <c r="Y1068">
        <v>0</v>
      </c>
      <c r="Z1068">
        <v>0</v>
      </c>
      <c r="AA1068">
        <v>16989</v>
      </c>
      <c r="AB1068">
        <v>4812</v>
      </c>
      <c r="AC1068">
        <v>412</v>
      </c>
      <c r="AD1068">
        <v>1.6</v>
      </c>
      <c r="AE1068">
        <v>744</v>
      </c>
      <c r="AF1068">
        <v>1</v>
      </c>
      <c r="AG1068">
        <v>0.2</v>
      </c>
      <c r="AH1068">
        <v>0.216</v>
      </c>
      <c r="AI1068">
        <v>29.43</v>
      </c>
      <c r="AJ1068">
        <v>1.19</v>
      </c>
      <c r="AK1068">
        <v>0</v>
      </c>
      <c r="AL1068">
        <v>0</v>
      </c>
      <c r="AM1068">
        <v>0</v>
      </c>
      <c r="AN1068">
        <v>0</v>
      </c>
      <c r="AO1068">
        <v>0</v>
      </c>
      <c r="AP1068">
        <v>0.920999999999999</v>
      </c>
      <c r="AQ1068">
        <v>0.212</v>
      </c>
      <c r="AR1068">
        <v>0.346</v>
      </c>
      <c r="AS1068" s="3">
        <v>46107.77731481481</v>
      </c>
    </row>
    <row r="1069" ht="25.5" customHeight="1">
      <c r="A1069" t="inlineStr">
        <is>
          <t>654dc1cd0000000002037166</t>
        </is>
      </c>
      <c r="B1069" s="2" t="str">
        <f>=HYPERLINK("https://www.xiaohongshu.com/user/profile/654dc1cd0000000002037166", "https://www.xiaohongshu.com/user/profile/654dc1cd0000000002037166")</f>
        <v>https://www.xiaohongshu.com/user/profile/654dc1cd0000000002037166</v>
      </c>
      <c r="C1069" s="2" t="str">
        <f>=HYPERLINK("https://pgy.xiaohongshu.com/solar/pre-trade/blogger-detail/654dc1cd0000000002037166", "https://pgy.xiaohongshu.com/solar/pre-trade/blogger-detail/654dc1cd0000000002037166")</f>
        <v>https://pgy.xiaohongshu.com/solar/pre-trade/blogger-detail/654dc1cd0000000002037166</v>
      </c>
      <c r="D1069" t="inlineStr">
        <is>
          <t>女</t>
        </is>
      </c>
      <c r="E1069" t="inlineStr">
        <is>
          <t>8466266585</t>
        </is>
      </c>
      <c r="F1069" t="inlineStr">
        <is>
          <t>阳光万里</t>
        </is>
      </c>
      <c r="G1069" t="inlineStr">
        <is>
          <t>广东 广州 番禺区</t>
        </is>
      </c>
      <c r="H1069"/>
      <c r="I1069" t="inlineStr">
        <is>
          <t>教育</t>
        </is>
      </c>
      <c r="J1069">
        <v>1977</v>
      </c>
      <c r="K1069" t="inlineStr">
        <is>
          <t>0.2</t>
        </is>
      </c>
      <c r="L1069">
        <v>12312</v>
      </c>
      <c r="M1069">
        <v>2434</v>
      </c>
      <c r="N1069">
        <v>388</v>
      </c>
      <c r="O1069">
        <v>150</v>
      </c>
      <c r="P1069">
        <v>0</v>
      </c>
      <c r="Q1069">
        <v>0.81</v>
      </c>
      <c r="R1069">
        <v>12312</v>
      </c>
      <c r="S1069">
        <v>2434</v>
      </c>
      <c r="T1069">
        <v>260</v>
      </c>
      <c r="U1069">
        <v>0.36</v>
      </c>
      <c r="V1069">
        <v>150</v>
      </c>
      <c r="W1069">
        <v>0.81</v>
      </c>
      <c r="X1069">
        <v>0</v>
      </c>
      <c r="Y1069">
        <v>12.18</v>
      </c>
      <c r="Z1069">
        <v>0.39</v>
      </c>
      <c r="AA1069">
        <v>0</v>
      </c>
      <c r="AB1069">
        <v>0</v>
      </c>
      <c r="AC1069">
        <v>0</v>
      </c>
      <c r="AD1069">
        <v>0</v>
      </c>
      <c r="AE1069">
        <v>0</v>
      </c>
      <c r="AF1069">
        <v>0</v>
      </c>
      <c r="AG1069">
        <v>0</v>
      </c>
      <c r="AH1069">
        <v>0</v>
      </c>
      <c r="AI1069">
        <v>0</v>
      </c>
      <c r="AJ1069">
        <v>0</v>
      </c>
      <c r="AK1069">
        <v>0</v>
      </c>
      <c r="AL1069">
        <v>0</v>
      </c>
      <c r="AM1069">
        <v>0</v>
      </c>
      <c r="AN1069">
        <v>0</v>
      </c>
      <c r="AO1069">
        <v>0</v>
      </c>
      <c r="AP1069">
        <v>0.996</v>
      </c>
      <c r="AQ1069">
        <v>0.457999999999999</v>
      </c>
      <c r="AR1069">
        <v>0</v>
      </c>
      <c r="AS1069" s="3">
        <v>46107.77731481481</v>
      </c>
    </row>
    <row r="1070" ht="25.5" customHeight="1">
      <c r="A1070" t="inlineStr">
        <is>
          <t>6042d1fe000000000100aaf3</t>
        </is>
      </c>
      <c r="B1070" s="2" t="str">
        <f>=HYPERLINK("https://www.xiaohongshu.com/user/profile/6042d1fe000000000100aaf3", "https://www.xiaohongshu.com/user/profile/6042d1fe000000000100aaf3")</f>
        <v>https://www.xiaohongshu.com/user/profile/6042d1fe000000000100aaf3</v>
      </c>
      <c r="C1070" s="2" t="str">
        <f>=HYPERLINK("https://pgy.xiaohongshu.com/solar/pre-trade/blogger-detail/6042d1fe000000000100aaf3", "https://pgy.xiaohongshu.com/solar/pre-trade/blogger-detail/6042d1fe000000000100aaf3")</f>
        <v>https://pgy.xiaohongshu.com/solar/pre-trade/blogger-detail/6042d1fe000000000100aaf3</v>
      </c>
      <c r="D1070" t="inlineStr">
        <is>
          <t>女</t>
        </is>
      </c>
      <c r="E1070" t="inlineStr">
        <is>
          <t>1808877018</t>
        </is>
      </c>
      <c r="F1070" t="inlineStr">
        <is>
          <t>常青俄语</t>
        </is>
      </c>
      <c r="G1070" t="inlineStr">
        <is>
          <t>北京</t>
        </is>
      </c>
      <c r="H1070"/>
      <c r="I1070" t="inlineStr">
        <is>
          <t>教育</t>
        </is>
      </c>
      <c r="J1070">
        <v>4020</v>
      </c>
      <c r="K1070" t="inlineStr">
        <is>
          <t>0.4</t>
        </is>
      </c>
      <c r="L1070">
        <v>4865</v>
      </c>
      <c r="M1070">
        <v>1692</v>
      </c>
      <c r="N1070">
        <v>155</v>
      </c>
      <c r="O1070">
        <v>200</v>
      </c>
      <c r="P1070">
        <v>0</v>
      </c>
      <c r="Q1070">
        <v>0</v>
      </c>
      <c r="R1070">
        <v>0</v>
      </c>
      <c r="S1070">
        <v>0</v>
      </c>
      <c r="T1070">
        <v>0</v>
      </c>
      <c r="U1070">
        <v>0</v>
      </c>
      <c r="V1070">
        <v>200</v>
      </c>
      <c r="W1070">
        <v>0</v>
      </c>
      <c r="X1070">
        <v>0</v>
      </c>
      <c r="Y1070">
        <v>0</v>
      </c>
      <c r="Z1070">
        <v>0</v>
      </c>
      <c r="AA1070">
        <v>4865</v>
      </c>
      <c r="AB1070">
        <v>1692</v>
      </c>
      <c r="AC1070">
        <v>123</v>
      </c>
      <c r="AD1070">
        <v>1.68</v>
      </c>
      <c r="AE1070">
        <v>300</v>
      </c>
      <c r="AF1070">
        <v>0</v>
      </c>
      <c r="AG1070">
        <v>0</v>
      </c>
      <c r="AH1070">
        <v>0.075</v>
      </c>
      <c r="AI1070">
        <v>61.66</v>
      </c>
      <c r="AJ1070">
        <v>1.94</v>
      </c>
      <c r="AK1070">
        <v>0</v>
      </c>
      <c r="AL1070">
        <v>0</v>
      </c>
      <c r="AM1070">
        <v>0</v>
      </c>
      <c r="AN1070">
        <v>0</v>
      </c>
      <c r="AO1070">
        <v>0</v>
      </c>
      <c r="AP1070">
        <v>0.939</v>
      </c>
      <c r="AQ1070">
        <v>0.022</v>
      </c>
      <c r="AR1070">
        <v>0.016</v>
      </c>
      <c r="AS1070" s="3">
        <v>46107.77731481481</v>
      </c>
    </row>
    <row r="1071" ht="25.5" customHeight="1">
      <c r="A1071" t="inlineStr">
        <is>
          <t>5b8365acd24e100001de517e</t>
        </is>
      </c>
      <c r="B1071" s="2" t="str">
        <f>=HYPERLINK("https://www.xiaohongshu.com/user/profile/5b8365acd24e100001de517e", "https://www.xiaohongshu.com/user/profile/5b8365acd24e100001de517e")</f>
        <v>https://www.xiaohongshu.com/user/profile/5b8365acd24e100001de517e</v>
      </c>
      <c r="C1071" s="2" t="str">
        <f>=HYPERLINK("https://pgy.xiaohongshu.com/solar/pre-trade/blogger-detail/5b8365acd24e100001de517e", "https://pgy.xiaohongshu.com/solar/pre-trade/blogger-detail/5b8365acd24e100001de517e")</f>
        <v>https://pgy.xiaohongshu.com/solar/pre-trade/blogger-detail/5b8365acd24e100001de517e</v>
      </c>
      <c r="D1071" t="inlineStr">
        <is>
          <t>女</t>
        </is>
      </c>
      <c r="E1071" t="inlineStr">
        <is>
          <t>syw010425518</t>
        </is>
      </c>
      <c r="F1071" t="inlineStr">
        <is>
          <t>福宝福宝-</t>
        </is>
      </c>
      <c r="G1071" t="inlineStr">
        <is>
          <t>江苏 南京 建邺区</t>
        </is>
      </c>
      <c r="H1071"/>
      <c r="I1071" t="inlineStr">
        <is>
          <t>教育, 生活记录</t>
        </is>
      </c>
      <c r="J1071">
        <v>10696</v>
      </c>
      <c r="K1071" t="inlineStr">
        <is>
          <t>1.1</t>
        </is>
      </c>
      <c r="L1071">
        <v>17850</v>
      </c>
      <c r="M1071">
        <v>2218</v>
      </c>
      <c r="N1071">
        <v>196</v>
      </c>
      <c r="O1071">
        <v>500</v>
      </c>
      <c r="P1071">
        <v>0.111</v>
      </c>
      <c r="Q1071">
        <v>0.667</v>
      </c>
      <c r="R1071">
        <v>45145</v>
      </c>
      <c r="S1071">
        <v>8521</v>
      </c>
      <c r="T1071">
        <v>453</v>
      </c>
      <c r="U1071">
        <v>0.36</v>
      </c>
      <c r="V1071">
        <v>500</v>
      </c>
      <c r="W1071">
        <v>1</v>
      </c>
      <c r="X1071">
        <v>0</v>
      </c>
      <c r="Y1071">
        <v>11.08</v>
      </c>
      <c r="Z1071">
        <v>0.92</v>
      </c>
      <c r="AA1071">
        <v>16681</v>
      </c>
      <c r="AB1071">
        <v>1947</v>
      </c>
      <c r="AC1071">
        <v>168</v>
      </c>
      <c r="AD1071">
        <v>1.91</v>
      </c>
      <c r="AE1071">
        <v>800</v>
      </c>
      <c r="AF1071">
        <v>0.625</v>
      </c>
      <c r="AG1071">
        <v>0.125</v>
      </c>
      <c r="AH1071">
        <v>0.009</v>
      </c>
      <c r="AI1071">
        <v>47.96</v>
      </c>
      <c r="AJ1071">
        <v>4.2</v>
      </c>
      <c r="AK1071">
        <v>0</v>
      </c>
      <c r="AL1071">
        <v>0</v>
      </c>
      <c r="AM1071">
        <v>0</v>
      </c>
      <c r="AN1071">
        <v>0</v>
      </c>
      <c r="AO1071">
        <v>0</v>
      </c>
      <c r="AP1071">
        <v>0.866</v>
      </c>
      <c r="AQ1071">
        <v>0.071</v>
      </c>
      <c r="AR1071">
        <v>0.084</v>
      </c>
      <c r="AS1071" s="3">
        <v>46107.77731481481</v>
      </c>
    </row>
    <row r="1072" ht="25.5" customHeight="1">
      <c r="A1072" t="inlineStr">
        <is>
          <t>683e64a9000000001b0217f5</t>
        </is>
      </c>
      <c r="B1072" s="2" t="str">
        <f>=HYPERLINK("https://www.xiaohongshu.com/user/profile/683e64a9000000001b0217f5", "https://www.xiaohongshu.com/user/profile/683e64a9000000001b0217f5")</f>
        <v>https://www.xiaohongshu.com/user/profile/683e64a9000000001b0217f5</v>
      </c>
      <c r="C1072" s="2" t="str">
        <f>=HYPERLINK("https://pgy.xiaohongshu.com/solar/pre-trade/blogger-detail/683e64a9000000001b0217f5", "https://pgy.xiaohongshu.com/solar/pre-trade/blogger-detail/683e64a9000000001b0217f5")</f>
        <v>https://pgy.xiaohongshu.com/solar/pre-trade/blogger-detail/683e64a9000000001b0217f5</v>
      </c>
      <c r="D1072" t="inlineStr">
        <is>
          <t>男</t>
        </is>
      </c>
      <c r="E1072" t="inlineStr">
        <is>
          <t>stata2121</t>
        </is>
      </c>
      <c r="F1072" t="inlineStr">
        <is>
          <t>太空鼠会stata</t>
        </is>
      </c>
      <c r="G1072" t="inlineStr">
        <is>
          <t>陕西 西安 长安区</t>
        </is>
      </c>
      <c r="H1072"/>
      <c r="I1072" t="inlineStr">
        <is>
          <t>教育</t>
        </is>
      </c>
      <c r="J1072">
        <v>6797</v>
      </c>
      <c r="K1072" t="inlineStr">
        <is>
          <t>0.7</t>
        </is>
      </c>
      <c r="L1072">
        <v>4999</v>
      </c>
      <c r="M1072">
        <v>715</v>
      </c>
      <c r="N1072">
        <v>116</v>
      </c>
      <c r="O1072">
        <v>446</v>
      </c>
      <c r="P1072">
        <v>0</v>
      </c>
      <c r="Q1072">
        <v>0</v>
      </c>
      <c r="R1072">
        <v>0</v>
      </c>
      <c r="S1072">
        <v>0</v>
      </c>
      <c r="T1072">
        <v>0</v>
      </c>
      <c r="U1072">
        <v>0</v>
      </c>
      <c r="V1072">
        <v>446</v>
      </c>
      <c r="W1072">
        <v>0</v>
      </c>
      <c r="X1072">
        <v>0</v>
      </c>
      <c r="Y1072">
        <v>0</v>
      </c>
      <c r="Z1072">
        <v>0</v>
      </c>
      <c r="AA1072">
        <v>4999</v>
      </c>
      <c r="AB1072">
        <v>715</v>
      </c>
      <c r="AC1072">
        <v>106</v>
      </c>
      <c r="AD1072">
        <v>2.69</v>
      </c>
      <c r="AE1072">
        <v>854</v>
      </c>
      <c r="AF1072">
        <v>0</v>
      </c>
      <c r="AG1072">
        <v>0</v>
      </c>
      <c r="AH1072">
        <v>0.046</v>
      </c>
      <c r="AI1072">
        <v>170.83</v>
      </c>
      <c r="AJ1072">
        <v>7.36</v>
      </c>
      <c r="AK1072">
        <v>0</v>
      </c>
      <c r="AL1072">
        <v>0</v>
      </c>
      <c r="AM1072">
        <v>0</v>
      </c>
      <c r="AN1072">
        <v>0</v>
      </c>
      <c r="AO1072">
        <v>0</v>
      </c>
      <c r="AP1072">
        <v>0.966</v>
      </c>
      <c r="AQ1072">
        <v>0.067</v>
      </c>
      <c r="AR1072">
        <v>0.073</v>
      </c>
      <c r="AS1072" s="3">
        <v>46107.77731481481</v>
      </c>
    </row>
    <row r="1073" ht="25.5" customHeight="1">
      <c r="A1073" t="inlineStr">
        <is>
          <t>6932de2d000000003702fa0a</t>
        </is>
      </c>
      <c r="B1073" s="2" t="str">
        <f>=HYPERLINK("https://www.xiaohongshu.com/user/profile/6932de2d000000003702fa0a", "https://www.xiaohongshu.com/user/profile/6932de2d000000003702fa0a")</f>
        <v>https://www.xiaohongshu.com/user/profile/6932de2d000000003702fa0a</v>
      </c>
      <c r="C1073" s="2" t="str">
        <f>=HYPERLINK("https://pgy.xiaohongshu.com/solar/pre-trade/blogger-detail/6932de2d000000003702fa0a", "https://pgy.xiaohongshu.com/solar/pre-trade/blogger-detail/6932de2d000000003702fa0a")</f>
        <v>https://pgy.xiaohongshu.com/solar/pre-trade/blogger-detail/6932de2d000000003702fa0a</v>
      </c>
      <c r="D1073" t="inlineStr">
        <is>
          <t>男</t>
        </is>
      </c>
      <c r="E1073" t="inlineStr">
        <is>
          <t>49949434138</t>
        </is>
      </c>
      <c r="F1073" t="inlineStr">
        <is>
          <t>亚历山 mini</t>
        </is>
      </c>
      <c r="G1073" t="inlineStr">
        <is>
          <t>山东 淄博 淄川区</t>
        </is>
      </c>
      <c r="H1073" t="inlineStr">
        <is>
          <t>学生</t>
        </is>
      </c>
      <c r="I1073" t="inlineStr">
        <is>
          <t>搞笑</t>
        </is>
      </c>
      <c r="J1073">
        <v>2097</v>
      </c>
      <c r="K1073" t="inlineStr">
        <is>
          <t>0.2</t>
        </is>
      </c>
      <c r="L1073">
        <v>2097</v>
      </c>
      <c r="M1073">
        <v>1370</v>
      </c>
      <c r="N1073">
        <v>159</v>
      </c>
      <c r="O1073">
        <v>150</v>
      </c>
      <c r="P1073">
        <v>0.0279999999999999</v>
      </c>
      <c r="Q1073">
        <v>0.667</v>
      </c>
      <c r="R1073">
        <v>109</v>
      </c>
      <c r="S1073">
        <v>20</v>
      </c>
      <c r="T1073">
        <v>0</v>
      </c>
      <c r="U1073">
        <v>10.64</v>
      </c>
      <c r="V1073">
        <v>150</v>
      </c>
      <c r="W1073">
        <v>0</v>
      </c>
      <c r="X1073">
        <v>0</v>
      </c>
      <c r="Y1073">
        <v>1764.71</v>
      </c>
      <c r="Z1073">
        <v>300</v>
      </c>
      <c r="AA1073">
        <v>2114</v>
      </c>
      <c r="AB1073">
        <v>1396</v>
      </c>
      <c r="AC1073">
        <v>158</v>
      </c>
      <c r="AD1073">
        <v>1.64</v>
      </c>
      <c r="AE1073">
        <v>200</v>
      </c>
      <c r="AF1073">
        <v>0.685999999999999</v>
      </c>
      <c r="AG1073">
        <v>0.0289999999999999</v>
      </c>
      <c r="AH1073">
        <v>0.453999999999999</v>
      </c>
      <c r="AI1073">
        <v>94.61</v>
      </c>
      <c r="AJ1073">
        <v>1.24</v>
      </c>
      <c r="AK1073">
        <v>61</v>
      </c>
      <c r="AL1073">
        <v>9</v>
      </c>
      <c r="AM1073">
        <v>0</v>
      </c>
      <c r="AN1073">
        <v>0</v>
      </c>
      <c r="AO1073">
        <v>0</v>
      </c>
      <c r="AP1073">
        <v>0.966</v>
      </c>
      <c r="AQ1073">
        <v>0.157</v>
      </c>
      <c r="AR1073">
        <v>0</v>
      </c>
      <c r="AS1073" s="3">
        <v>46107.77731481481</v>
      </c>
    </row>
    <row r="1074" ht="25.5" customHeight="1">
      <c r="A1074" t="inlineStr">
        <is>
          <t>62a31df2000000001902907b</t>
        </is>
      </c>
      <c r="B1074" s="2" t="str">
        <f>=HYPERLINK("https://www.xiaohongshu.com/user/profile/62a31df2000000001902907b", "https://www.xiaohongshu.com/user/profile/62a31df2000000001902907b")</f>
        <v>https://www.xiaohongshu.com/user/profile/62a31df2000000001902907b</v>
      </c>
      <c r="C1074" s="2" t="str">
        <f>=HYPERLINK("https://pgy.xiaohongshu.com/solar/pre-trade/blogger-detail/62a31df2000000001902907b", "https://pgy.xiaohongshu.com/solar/pre-trade/blogger-detail/62a31df2000000001902907b")</f>
        <v>https://pgy.xiaohongshu.com/solar/pre-trade/blogger-detail/62a31df2000000001902907b</v>
      </c>
      <c r="D1074" t="inlineStr">
        <is>
          <t>女</t>
        </is>
      </c>
      <c r="E1074" t="inlineStr">
        <is>
          <t>6295155215</t>
        </is>
      </c>
      <c r="F1074" t="inlineStr">
        <is>
          <t>睡死挣扎的英专牲</t>
        </is>
      </c>
      <c r="G1074" t="inlineStr">
        <is>
          <t>河南 郑州 金水区</t>
        </is>
      </c>
      <c r="H1074" t="inlineStr">
        <is>
          <t>数码爱好者, 学生</t>
        </is>
      </c>
      <c r="I1074" t="inlineStr">
        <is>
          <t>教育</t>
        </is>
      </c>
      <c r="J1074">
        <v>1127</v>
      </c>
      <c r="K1074" t="inlineStr">
        <is>
          <t>0.1</t>
        </is>
      </c>
      <c r="L1074">
        <v>3813</v>
      </c>
      <c r="M1074">
        <v>604</v>
      </c>
      <c r="N1074">
        <v>132</v>
      </c>
      <c r="O1074">
        <v>155</v>
      </c>
      <c r="P1074">
        <v>0</v>
      </c>
      <c r="Q1074">
        <v>0.5</v>
      </c>
      <c r="R1074">
        <v>3722</v>
      </c>
      <c r="S1074">
        <v>588</v>
      </c>
      <c r="T1074">
        <v>146</v>
      </c>
      <c r="U1074">
        <v>0.56</v>
      </c>
      <c r="V1074">
        <v>155</v>
      </c>
      <c r="W1074">
        <v>0.5</v>
      </c>
      <c r="X1074">
        <v>0</v>
      </c>
      <c r="Y1074">
        <v>41.64</v>
      </c>
      <c r="Z1074">
        <v>1.05</v>
      </c>
      <c r="AA1074">
        <v>36723</v>
      </c>
      <c r="AB1074">
        <v>5528</v>
      </c>
      <c r="AC1074">
        <v>118</v>
      </c>
      <c r="AD1074">
        <v>1.54</v>
      </c>
      <c r="AE1074">
        <v>205</v>
      </c>
      <c r="AF1074">
        <v>0.5</v>
      </c>
      <c r="AG1074">
        <v>0</v>
      </c>
      <c r="AH1074">
        <v>0.727</v>
      </c>
      <c r="AI1074">
        <v>5.58</v>
      </c>
      <c r="AJ1074">
        <v>1.6</v>
      </c>
      <c r="AK1074">
        <v>0</v>
      </c>
      <c r="AL1074">
        <v>0</v>
      </c>
      <c r="AM1074">
        <v>0</v>
      </c>
      <c r="AN1074">
        <v>0</v>
      </c>
      <c r="AO1074">
        <v>0</v>
      </c>
      <c r="AP1074">
        <v>0.890999999999999</v>
      </c>
      <c r="AQ1074">
        <v>0.017</v>
      </c>
      <c r="AR1074">
        <v>0</v>
      </c>
      <c r="AS1074" s="3">
        <v>46107.77731481481</v>
      </c>
    </row>
    <row r="1075" ht="25.5" customHeight="1">
      <c r="A1075" t="inlineStr">
        <is>
          <t>5b0cf2684eacab2308d924e8</t>
        </is>
      </c>
      <c r="B1075" s="2" t="str">
        <f>=HYPERLINK("https://www.xiaohongshu.com/user/profile/5b0cf2684eacab2308d924e8", "https://www.xiaohongshu.com/user/profile/5b0cf2684eacab2308d924e8")</f>
        <v>https://www.xiaohongshu.com/user/profile/5b0cf2684eacab2308d924e8</v>
      </c>
      <c r="C1075" s="2" t="str">
        <f>=HYPERLINK("https://pgy.xiaohongshu.com/solar/pre-trade/blogger-detail/5b0cf2684eacab2308d924e8", "https://pgy.xiaohongshu.com/solar/pre-trade/blogger-detail/5b0cf2684eacab2308d924e8")</f>
        <v>https://pgy.xiaohongshu.com/solar/pre-trade/blogger-detail/5b0cf2684eacab2308d924e8</v>
      </c>
      <c r="D1075" t="inlineStr">
        <is>
          <t>女</t>
        </is>
      </c>
      <c r="E1075" t="inlineStr">
        <is>
          <t>yuunonuuy</t>
        </is>
      </c>
      <c r="F1075" t="inlineStr">
        <is>
          <t>夕野葵是小葵老师</t>
        </is>
      </c>
      <c r="G1075" t="inlineStr">
        <is>
          <t>日本</t>
        </is>
      </c>
      <c r="H1075" t="inlineStr">
        <is>
          <t>主持人, 海外华人, 翻译</t>
        </is>
      </c>
      <c r="I1075" t="inlineStr">
        <is>
          <t>教育</t>
        </is>
      </c>
      <c r="J1075">
        <v>21171</v>
      </c>
      <c r="K1075" t="inlineStr">
        <is>
          <t>2.1</t>
        </is>
      </c>
      <c r="L1075">
        <v>8858</v>
      </c>
      <c r="M1075">
        <v>3178</v>
      </c>
      <c r="N1075">
        <v>192</v>
      </c>
      <c r="O1075">
        <v>2000</v>
      </c>
      <c r="P1075">
        <v>0</v>
      </c>
      <c r="Q1075">
        <v>1</v>
      </c>
      <c r="R1075">
        <v>0</v>
      </c>
      <c r="S1075">
        <v>0</v>
      </c>
      <c r="T1075">
        <v>0</v>
      </c>
      <c r="U1075">
        <v>0</v>
      </c>
      <c r="V1075">
        <v>800</v>
      </c>
      <c r="W1075">
        <v>0</v>
      </c>
      <c r="X1075">
        <v>0</v>
      </c>
      <c r="Y1075">
        <v>0</v>
      </c>
      <c r="Z1075">
        <v>0</v>
      </c>
      <c r="AA1075">
        <v>8858</v>
      </c>
      <c r="AB1075">
        <v>3178</v>
      </c>
      <c r="AC1075">
        <v>168</v>
      </c>
      <c r="AD1075">
        <v>2.13</v>
      </c>
      <c r="AE1075">
        <v>2000</v>
      </c>
      <c r="AF1075">
        <v>1</v>
      </c>
      <c r="AG1075">
        <v>0</v>
      </c>
      <c r="AH1075">
        <v>0.215</v>
      </c>
      <c r="AI1075">
        <v>225.78</v>
      </c>
      <c r="AJ1075">
        <v>10.42</v>
      </c>
      <c r="AK1075">
        <v>0</v>
      </c>
      <c r="AL1075">
        <v>0</v>
      </c>
      <c r="AM1075">
        <v>0</v>
      </c>
      <c r="AN1075">
        <v>0</v>
      </c>
      <c r="AO1075">
        <v>0</v>
      </c>
      <c r="AP1075">
        <v>0.88</v>
      </c>
      <c r="AQ1075">
        <v>0.0139999999999999</v>
      </c>
      <c r="AR1075">
        <v>0.001</v>
      </c>
      <c r="AS1075" s="3">
        <v>46107.77731481481</v>
      </c>
    </row>
    <row r="1076" ht="25.5" customHeight="1">
      <c r="A1076" t="inlineStr">
        <is>
          <t>5b905a1c09636b00015edb24</t>
        </is>
      </c>
      <c r="B1076" s="2" t="str">
        <f>=HYPERLINK("https://www.xiaohongshu.com/user/profile/5b905a1c09636b00015edb24", "https://www.xiaohongshu.com/user/profile/5b905a1c09636b00015edb24")</f>
        <v>https://www.xiaohongshu.com/user/profile/5b905a1c09636b00015edb24</v>
      </c>
      <c r="C1076" s="2" t="str">
        <f>=HYPERLINK("https://pgy.xiaohongshu.com/solar/pre-trade/blogger-detail/5b905a1c09636b00015edb24", "https://pgy.xiaohongshu.com/solar/pre-trade/blogger-detail/5b905a1c09636b00015edb24")</f>
        <v>https://pgy.xiaohongshu.com/solar/pre-trade/blogger-detail/5b905a1c09636b00015edb24</v>
      </c>
      <c r="D1076" t="inlineStr">
        <is>
          <t>女</t>
        </is>
      </c>
      <c r="E1076" t="inlineStr">
        <is>
          <t>snow226</t>
        </is>
      </c>
      <c r="F1076" t="inlineStr">
        <is>
          <t>雨山</t>
        </is>
      </c>
      <c r="G1076" t="inlineStr">
        <is>
          <t>马来西亚</t>
        </is>
      </c>
      <c r="H1076"/>
      <c r="I1076" t="inlineStr">
        <is>
          <t>教育</t>
        </is>
      </c>
      <c r="J1076">
        <v>1873</v>
      </c>
      <c r="K1076" t="inlineStr">
        <is>
          <t>0.2</t>
        </is>
      </c>
      <c r="L1076">
        <v>5031</v>
      </c>
      <c r="M1076">
        <v>2539</v>
      </c>
      <c r="N1076">
        <v>442</v>
      </c>
      <c r="O1076">
        <v>500</v>
      </c>
      <c r="P1076">
        <v>0</v>
      </c>
      <c r="Q1076">
        <v>0.667</v>
      </c>
      <c r="R1076">
        <v>0</v>
      </c>
      <c r="S1076">
        <v>0</v>
      </c>
      <c r="T1076">
        <v>0</v>
      </c>
      <c r="U1076">
        <v>0</v>
      </c>
      <c r="V1076">
        <v>500</v>
      </c>
      <c r="W1076">
        <v>0</v>
      </c>
      <c r="X1076">
        <v>0</v>
      </c>
      <c r="Y1076">
        <v>0</v>
      </c>
      <c r="Z1076">
        <v>0</v>
      </c>
      <c r="AA1076">
        <v>5031</v>
      </c>
      <c r="AB1076">
        <v>2539</v>
      </c>
      <c r="AC1076">
        <v>356</v>
      </c>
      <c r="AD1076">
        <v>1.82</v>
      </c>
      <c r="AE1076">
        <v>800</v>
      </c>
      <c r="AF1076">
        <v>0.667</v>
      </c>
      <c r="AG1076">
        <v>0</v>
      </c>
      <c r="AH1076">
        <v>0.042</v>
      </c>
      <c r="AI1076">
        <v>159.01</v>
      </c>
      <c r="AJ1076">
        <v>1.81</v>
      </c>
      <c r="AK1076">
        <v>0</v>
      </c>
      <c r="AL1076">
        <v>0</v>
      </c>
      <c r="AM1076">
        <v>0</v>
      </c>
      <c r="AN1076">
        <v>0</v>
      </c>
      <c r="AO1076">
        <v>0</v>
      </c>
      <c r="AP1076">
        <v>0.892</v>
      </c>
      <c r="AQ1076">
        <v>0.136999999999999</v>
      </c>
      <c r="AR1076">
        <v>0.266</v>
      </c>
      <c r="AS1076" s="3">
        <v>46107.77731481481</v>
      </c>
    </row>
    <row r="1077" ht="25.5" customHeight="1">
      <c r="A1077" t="inlineStr">
        <is>
          <t>616127630000000002027007</t>
        </is>
      </c>
      <c r="B1077" s="2" t="str">
        <f>=HYPERLINK("https://www.xiaohongshu.com/user/profile/616127630000000002027007", "https://www.xiaohongshu.com/user/profile/616127630000000002027007")</f>
        <v>https://www.xiaohongshu.com/user/profile/616127630000000002027007</v>
      </c>
      <c r="C1077" s="2" t="str">
        <f>=HYPERLINK("https://pgy.xiaohongshu.com/solar/pre-trade/blogger-detail/616127630000000002027007", "https://pgy.xiaohongshu.com/solar/pre-trade/blogger-detail/616127630000000002027007")</f>
        <v>https://pgy.xiaohongshu.com/solar/pre-trade/blogger-detail/616127630000000002027007</v>
      </c>
      <c r="D1077" t="inlineStr">
        <is>
          <t>女</t>
        </is>
      </c>
      <c r="E1077" t="inlineStr">
        <is>
          <t>9590701989</t>
        </is>
      </c>
      <c r="F1077" t="inlineStr">
        <is>
          <t>鸡蛋羹女士</t>
        </is>
      </c>
      <c r="G1077" t="inlineStr">
        <is>
          <t>新西兰</t>
        </is>
      </c>
      <c r="H1077"/>
      <c r="I1077" t="inlineStr">
        <is>
          <t>教育</t>
        </is>
      </c>
      <c r="J1077">
        <v>1235</v>
      </c>
      <c r="K1077" t="inlineStr">
        <is>
          <t>0.1</t>
        </is>
      </c>
      <c r="L1077">
        <v>9356</v>
      </c>
      <c r="M1077">
        <v>1665</v>
      </c>
      <c r="N1077">
        <v>162</v>
      </c>
      <c r="O1077">
        <v>700</v>
      </c>
      <c r="P1077">
        <v>0.053</v>
      </c>
      <c r="Q1077">
        <v>0.421</v>
      </c>
      <c r="R1077">
        <v>1556</v>
      </c>
      <c r="S1077">
        <v>318</v>
      </c>
      <c r="T1077">
        <v>31</v>
      </c>
      <c r="U1077">
        <v>0</v>
      </c>
      <c r="V1077">
        <v>0</v>
      </c>
      <c r="W1077">
        <v>0</v>
      </c>
      <c r="X1077">
        <v>0</v>
      </c>
      <c r="Y1077">
        <v>0</v>
      </c>
      <c r="Z1077">
        <v>0</v>
      </c>
      <c r="AA1077">
        <v>9495</v>
      </c>
      <c r="AB1077">
        <v>1720</v>
      </c>
      <c r="AC1077">
        <v>134</v>
      </c>
      <c r="AD1077">
        <v>1.91</v>
      </c>
      <c r="AE1077">
        <v>700</v>
      </c>
      <c r="AF1077">
        <v>0.444</v>
      </c>
      <c r="AG1077">
        <v>0.0559999999999999</v>
      </c>
      <c r="AH1077">
        <v>0.11</v>
      </c>
      <c r="AI1077">
        <v>73.72</v>
      </c>
      <c r="AJ1077">
        <v>4.12</v>
      </c>
      <c r="AK1077">
        <v>0</v>
      </c>
      <c r="AL1077">
        <v>0</v>
      </c>
      <c r="AM1077">
        <v>0</v>
      </c>
      <c r="AN1077">
        <v>0</v>
      </c>
      <c r="AO1077">
        <v>0</v>
      </c>
      <c r="AP1077">
        <v>0.967</v>
      </c>
      <c r="AQ1077">
        <v>0.341</v>
      </c>
      <c r="AR1077">
        <v>0</v>
      </c>
      <c r="AS1077" s="3">
        <v>46107.77731481481</v>
      </c>
    </row>
    <row r="1078" ht="25.5" customHeight="1">
      <c r="A1078" t="inlineStr">
        <is>
          <t>67d11850000000000d009fcd</t>
        </is>
      </c>
      <c r="B1078" s="2" t="str">
        <f>=HYPERLINK("https://www.xiaohongshu.com/user/profile/67d11850000000000d009fcd", "https://www.xiaohongshu.com/user/profile/67d11850000000000d009fcd")</f>
        <v>https://www.xiaohongshu.com/user/profile/67d11850000000000d009fcd</v>
      </c>
      <c r="C1078" s="2" t="str">
        <f>=HYPERLINK("https://pgy.xiaohongshu.com/solar/pre-trade/blogger-detail/67d11850000000000d009fcd", "https://pgy.xiaohongshu.com/solar/pre-trade/blogger-detail/67d11850000000000d009fcd")</f>
        <v>https://pgy.xiaohongshu.com/solar/pre-trade/blogger-detail/67d11850000000000d009fcd</v>
      </c>
      <c r="D1078" t="inlineStr">
        <is>
          <t>女</t>
        </is>
      </c>
      <c r="E1078" t="inlineStr">
        <is>
          <t>wendy050623</t>
        </is>
      </c>
      <c r="F1078" t="inlineStr">
        <is>
          <t>Wendyyy</t>
        </is>
      </c>
      <c r="G1078" t="inlineStr">
        <is>
          <t>韩国</t>
        </is>
      </c>
      <c r="H1078" t="inlineStr">
        <is>
          <t>外国人</t>
        </is>
      </c>
      <c r="I1078" t="inlineStr">
        <is>
          <t>教育</t>
        </is>
      </c>
      <c r="J1078">
        <v>2105</v>
      </c>
      <c r="K1078" t="inlineStr">
        <is>
          <t>0.2</t>
        </is>
      </c>
      <c r="L1078">
        <v>5711</v>
      </c>
      <c r="M1078">
        <v>861</v>
      </c>
      <c r="N1078">
        <v>103</v>
      </c>
      <c r="O1078">
        <v>400</v>
      </c>
      <c r="P1078">
        <v>0</v>
      </c>
      <c r="Q1078">
        <v>0.143</v>
      </c>
      <c r="R1078">
        <v>5711</v>
      </c>
      <c r="S1078">
        <v>861</v>
      </c>
      <c r="T1078">
        <v>86</v>
      </c>
      <c r="U1078">
        <v>0.76</v>
      </c>
      <c r="V1078">
        <v>400</v>
      </c>
      <c r="W1078">
        <v>0.143</v>
      </c>
      <c r="X1078">
        <v>0</v>
      </c>
      <c r="Y1078">
        <v>70.04</v>
      </c>
      <c r="Z1078">
        <v>3.88</v>
      </c>
      <c r="AA1078">
        <v>0</v>
      </c>
      <c r="AB1078">
        <v>0</v>
      </c>
      <c r="AC1078">
        <v>0</v>
      </c>
      <c r="AD1078">
        <v>0</v>
      </c>
      <c r="AE1078">
        <v>700</v>
      </c>
      <c r="AF1078">
        <v>0</v>
      </c>
      <c r="AG1078">
        <v>0</v>
      </c>
      <c r="AH1078">
        <v>0</v>
      </c>
      <c r="AI1078">
        <v>0</v>
      </c>
      <c r="AJ1078">
        <v>0</v>
      </c>
      <c r="AK1078">
        <v>0</v>
      </c>
      <c r="AL1078">
        <v>0</v>
      </c>
      <c r="AM1078">
        <v>0</v>
      </c>
      <c r="AN1078">
        <v>0</v>
      </c>
      <c r="AO1078">
        <v>0</v>
      </c>
      <c r="AP1078">
        <v>0.92</v>
      </c>
      <c r="AQ1078">
        <v>0.125</v>
      </c>
      <c r="AR1078">
        <v>0.215</v>
      </c>
      <c r="AS1078" s="3">
        <v>46107.77731481481</v>
      </c>
    </row>
    <row r="1079" ht="25.5" customHeight="1">
      <c r="A1079" t="inlineStr">
        <is>
          <t>66acb997000000000b0300bb</t>
        </is>
      </c>
      <c r="B1079" s="2" t="str">
        <f>=HYPERLINK("https://www.xiaohongshu.com/user/profile/66acb997000000000b0300bb", "https://www.xiaohongshu.com/user/profile/66acb997000000000b0300bb")</f>
        <v>https://www.xiaohongshu.com/user/profile/66acb997000000000b0300bb</v>
      </c>
      <c r="C1079" s="2" t="str">
        <f>=HYPERLINK("https://pgy.xiaohongshu.com/solar/pre-trade/blogger-detail/66acb997000000000b0300bb", "https://pgy.xiaohongshu.com/solar/pre-trade/blogger-detail/66acb997000000000b0300bb")</f>
        <v>https://pgy.xiaohongshu.com/solar/pre-trade/blogger-detail/66acb997000000000b0300bb</v>
      </c>
      <c r="D1079" t="inlineStr">
        <is>
          <t>女</t>
        </is>
      </c>
      <c r="E1079" t="inlineStr">
        <is>
          <t>ld68893251</t>
        </is>
      </c>
      <c r="F1079" t="inlineStr">
        <is>
          <t>芝士炸年糕</t>
        </is>
      </c>
      <c r="G1079" t="inlineStr">
        <is>
          <t>河南 开封 祥符区</t>
        </is>
      </c>
      <c r="H1079"/>
      <c r="I1079" t="inlineStr">
        <is>
          <t>教育</t>
        </is>
      </c>
      <c r="J1079">
        <v>2311</v>
      </c>
      <c r="K1079" t="inlineStr">
        <is>
          <t>0.2</t>
        </is>
      </c>
      <c r="L1079">
        <v>19473</v>
      </c>
      <c r="M1079">
        <v>3700</v>
      </c>
      <c r="N1079">
        <v>754</v>
      </c>
      <c r="O1079">
        <v>200</v>
      </c>
      <c r="P1079">
        <v>0</v>
      </c>
      <c r="Q1079">
        <v>0.778</v>
      </c>
      <c r="R1079">
        <v>20295</v>
      </c>
      <c r="S1079">
        <v>3767</v>
      </c>
      <c r="T1079">
        <v>655</v>
      </c>
      <c r="U1079">
        <v>0.35</v>
      </c>
      <c r="V1079">
        <v>200</v>
      </c>
      <c r="W1079">
        <v>0.824</v>
      </c>
      <c r="X1079">
        <v>0</v>
      </c>
      <c r="Y1079">
        <v>9.85</v>
      </c>
      <c r="Z1079">
        <v>0.26</v>
      </c>
      <c r="AA1079">
        <v>6035</v>
      </c>
      <c r="AB1079">
        <v>1443</v>
      </c>
      <c r="AC1079">
        <v>64</v>
      </c>
      <c r="AD1079">
        <v>1.71</v>
      </c>
      <c r="AE1079">
        <v>300</v>
      </c>
      <c r="AF1079">
        <v>0</v>
      </c>
      <c r="AG1079">
        <v>0</v>
      </c>
      <c r="AH1079">
        <v>0.144</v>
      </c>
      <c r="AI1079">
        <v>49.71</v>
      </c>
      <c r="AJ1079">
        <v>4.62</v>
      </c>
      <c r="AK1079">
        <v>0</v>
      </c>
      <c r="AL1079">
        <v>0</v>
      </c>
      <c r="AM1079">
        <v>0</v>
      </c>
      <c r="AN1079">
        <v>0</v>
      </c>
      <c r="AO1079">
        <v>0</v>
      </c>
      <c r="AP1079">
        <v>0.86</v>
      </c>
      <c r="AQ1079">
        <v>0.226</v>
      </c>
      <c r="AR1079">
        <v>0.256</v>
      </c>
      <c r="AS1079" s="3">
        <v>46107.77731481481</v>
      </c>
    </row>
    <row r="1080" ht="25.5" customHeight="1">
      <c r="A1080" t="inlineStr">
        <is>
          <t>60cc48470000000001004b09</t>
        </is>
      </c>
      <c r="B1080" s="2" t="str">
        <f>=HYPERLINK("https://www.xiaohongshu.com/user/profile/60cc48470000000001004b09", "https://www.xiaohongshu.com/user/profile/60cc48470000000001004b09")</f>
        <v>https://www.xiaohongshu.com/user/profile/60cc48470000000001004b09</v>
      </c>
      <c r="C1080" s="2" t="str">
        <f>=HYPERLINK("https://pgy.xiaohongshu.com/solar/pre-trade/blogger-detail/60cc48470000000001004b09", "https://pgy.xiaohongshu.com/solar/pre-trade/blogger-detail/60cc48470000000001004b09")</f>
        <v>https://pgy.xiaohongshu.com/solar/pre-trade/blogger-detail/60cc48470000000001004b09</v>
      </c>
      <c r="D1080" t="inlineStr">
        <is>
          <t>男</t>
        </is>
      </c>
      <c r="E1080" t="inlineStr">
        <is>
          <t>6389842548</t>
        </is>
      </c>
      <c r="F1080" t="inlineStr">
        <is>
          <t>我真的不行了</t>
        </is>
      </c>
      <c r="G1080" t="inlineStr">
        <is>
          <t>英国</t>
        </is>
      </c>
      <c r="H1080"/>
      <c r="I1080" t="inlineStr">
        <is>
          <t>教育, 生活记录</t>
        </is>
      </c>
      <c r="J1080">
        <v>8401</v>
      </c>
      <c r="K1080" t="inlineStr">
        <is>
          <t>0.8</t>
        </is>
      </c>
      <c r="L1080">
        <v>18505</v>
      </c>
      <c r="M1080">
        <v>6740</v>
      </c>
      <c r="N1080">
        <v>954</v>
      </c>
      <c r="O1080">
        <v>900</v>
      </c>
      <c r="P1080">
        <v>0.143</v>
      </c>
      <c r="Q1080">
        <v>1</v>
      </c>
      <c r="R1080">
        <v>0</v>
      </c>
      <c r="S1080">
        <v>0</v>
      </c>
      <c r="T1080">
        <v>0</v>
      </c>
      <c r="U1080">
        <v>0</v>
      </c>
      <c r="V1080">
        <v>900</v>
      </c>
      <c r="W1080">
        <v>0</v>
      </c>
      <c r="X1080">
        <v>0</v>
      </c>
      <c r="Y1080">
        <v>0</v>
      </c>
      <c r="Z1080">
        <v>0</v>
      </c>
      <c r="AA1080">
        <v>18505</v>
      </c>
      <c r="AB1080">
        <v>6740</v>
      </c>
      <c r="AC1080">
        <v>766</v>
      </c>
      <c r="AD1080">
        <v>1.68</v>
      </c>
      <c r="AE1080">
        <v>1200</v>
      </c>
      <c r="AF1080">
        <v>1</v>
      </c>
      <c r="AG1080">
        <v>0.143</v>
      </c>
      <c r="AH1080">
        <v>0.652</v>
      </c>
      <c r="AI1080">
        <v>64.85</v>
      </c>
      <c r="AJ1080">
        <v>1.26</v>
      </c>
      <c r="AK1080">
        <v>0</v>
      </c>
      <c r="AL1080">
        <v>0</v>
      </c>
      <c r="AM1080">
        <v>0</v>
      </c>
      <c r="AN1080">
        <v>0</v>
      </c>
      <c r="AO1080">
        <v>0</v>
      </c>
      <c r="AP1080">
        <v>0.97</v>
      </c>
      <c r="AQ1080">
        <v>0.152</v>
      </c>
      <c r="AR1080">
        <v>0.237</v>
      </c>
      <c r="AS1080" s="3">
        <v>46107.77731481481</v>
      </c>
    </row>
    <row r="1081" ht="25.5" customHeight="1">
      <c r="A1081" t="inlineStr">
        <is>
          <t>5c6ed2f6000000001203a26f</t>
        </is>
      </c>
      <c r="B1081" s="2" t="str">
        <f>=HYPERLINK("https://www.xiaohongshu.com/user/profile/5c6ed2f6000000001203a26f", "https://www.xiaohongshu.com/user/profile/5c6ed2f6000000001203a26f")</f>
        <v>https://www.xiaohongshu.com/user/profile/5c6ed2f6000000001203a26f</v>
      </c>
      <c r="C1081" s="2" t="str">
        <f>=HYPERLINK("https://pgy.xiaohongshu.com/solar/pre-trade/blogger-detail/5c6ed2f6000000001203a26f", "https://pgy.xiaohongshu.com/solar/pre-trade/blogger-detail/5c6ed2f6000000001203a26f")</f>
        <v>https://pgy.xiaohongshu.com/solar/pre-trade/blogger-detail/5c6ed2f6000000001203a26f</v>
      </c>
      <c r="D1081" t="inlineStr">
        <is>
          <t>女</t>
        </is>
      </c>
      <c r="E1081" t="inlineStr">
        <is>
          <t>968594143</t>
        </is>
      </c>
      <c r="F1081" t="inlineStr">
        <is>
          <t>空空的KK</t>
        </is>
      </c>
      <c r="G1081" t="inlineStr">
        <is>
          <t>湖北 荆州 沙市区</t>
        </is>
      </c>
      <c r="H1081"/>
      <c r="I1081" t="inlineStr">
        <is>
          <t>教育</t>
        </is>
      </c>
      <c r="J1081">
        <v>3282</v>
      </c>
      <c r="K1081" t="inlineStr">
        <is>
          <t>0.3</t>
        </is>
      </c>
      <c r="L1081">
        <v>4540</v>
      </c>
      <c r="M1081">
        <v>498</v>
      </c>
      <c r="N1081">
        <v>201</v>
      </c>
      <c r="O1081">
        <v>223</v>
      </c>
      <c r="P1081">
        <v>0</v>
      </c>
      <c r="Q1081">
        <v>0</v>
      </c>
      <c r="R1081">
        <v>4540</v>
      </c>
      <c r="S1081">
        <v>498</v>
      </c>
      <c r="T1081">
        <v>158</v>
      </c>
      <c r="U1081">
        <v>0.75</v>
      </c>
      <c r="V1081">
        <v>223</v>
      </c>
      <c r="W1081">
        <v>0</v>
      </c>
      <c r="X1081">
        <v>0</v>
      </c>
      <c r="Y1081">
        <v>49.12</v>
      </c>
      <c r="Z1081">
        <v>1.11</v>
      </c>
      <c r="AA1081">
        <v>0</v>
      </c>
      <c r="AB1081">
        <v>0</v>
      </c>
      <c r="AC1081">
        <v>0</v>
      </c>
      <c r="AD1081">
        <v>0</v>
      </c>
      <c r="AE1081">
        <v>0</v>
      </c>
      <c r="AF1081">
        <v>0</v>
      </c>
      <c r="AG1081">
        <v>0</v>
      </c>
      <c r="AH1081">
        <v>0</v>
      </c>
      <c r="AI1081">
        <v>0</v>
      </c>
      <c r="AJ1081">
        <v>0</v>
      </c>
      <c r="AK1081">
        <v>0</v>
      </c>
      <c r="AL1081">
        <v>0</v>
      </c>
      <c r="AM1081">
        <v>0</v>
      </c>
      <c r="AN1081">
        <v>0</v>
      </c>
      <c r="AO1081">
        <v>0</v>
      </c>
      <c r="AP1081">
        <v>0.852</v>
      </c>
      <c r="AQ1081">
        <v>0.015</v>
      </c>
      <c r="AR1081">
        <v>0.009</v>
      </c>
      <c r="AS1081" s="3">
        <v>46107.77753472222</v>
      </c>
    </row>
    <row r="1082" ht="25.5" customHeight="1">
      <c r="A1082" t="inlineStr">
        <is>
          <t>5f74ad2d00000000010053b7</t>
        </is>
      </c>
      <c r="B1082" s="2" t="str">
        <f>=HYPERLINK("https://www.xiaohongshu.com/user/profile/5f74ad2d00000000010053b7", "https://www.xiaohongshu.com/user/profile/5f74ad2d00000000010053b7")</f>
        <v>https://www.xiaohongshu.com/user/profile/5f74ad2d00000000010053b7</v>
      </c>
      <c r="C1082" s="2" t="str">
        <f>=HYPERLINK("https://pgy.xiaohongshu.com/solar/pre-trade/blogger-detail/5f74ad2d00000000010053b7", "https://pgy.xiaohongshu.com/solar/pre-trade/blogger-detail/5f74ad2d00000000010053b7")</f>
        <v>https://pgy.xiaohongshu.com/solar/pre-trade/blogger-detail/5f74ad2d00000000010053b7</v>
      </c>
      <c r="D1082" t="inlineStr">
        <is>
          <t>女</t>
        </is>
      </c>
      <c r="E1082" t="inlineStr">
        <is>
          <t>PistachioHarper</t>
        </is>
      </c>
      <c r="F1082" t="inlineStr">
        <is>
          <t>椰椰Flora</t>
        </is>
      </c>
      <c r="G1082" t="inlineStr">
        <is>
          <t>浙江 金华 武义县</t>
        </is>
      </c>
      <c r="H1082" t="inlineStr">
        <is>
          <t>留学背景, 铲屎官, 翻译</t>
        </is>
      </c>
      <c r="I1082" t="inlineStr">
        <is>
          <t>教育</t>
        </is>
      </c>
      <c r="J1082">
        <v>4366</v>
      </c>
      <c r="K1082" t="inlineStr">
        <is>
          <t>0.4</t>
        </is>
      </c>
      <c r="L1082">
        <v>4298</v>
      </c>
      <c r="M1082">
        <v>834</v>
      </c>
      <c r="N1082">
        <v>102</v>
      </c>
      <c r="O1082">
        <v>200</v>
      </c>
      <c r="P1082">
        <v>0</v>
      </c>
      <c r="Q1082">
        <v>0.4</v>
      </c>
      <c r="R1082">
        <v>0</v>
      </c>
      <c r="S1082">
        <v>0</v>
      </c>
      <c r="T1082">
        <v>0</v>
      </c>
      <c r="U1082">
        <v>0</v>
      </c>
      <c r="V1082">
        <v>200</v>
      </c>
      <c r="W1082">
        <v>0</v>
      </c>
      <c r="X1082">
        <v>0</v>
      </c>
      <c r="Y1082">
        <v>0</v>
      </c>
      <c r="Z1082">
        <v>0</v>
      </c>
      <c r="AA1082">
        <v>4298</v>
      </c>
      <c r="AB1082">
        <v>834</v>
      </c>
      <c r="AC1082">
        <v>80</v>
      </c>
      <c r="AD1082">
        <v>1.84</v>
      </c>
      <c r="AE1082">
        <v>280</v>
      </c>
      <c r="AF1082">
        <v>0.4</v>
      </c>
      <c r="AG1082">
        <v>0</v>
      </c>
      <c r="AH1082">
        <v>0.166999999999999</v>
      </c>
      <c r="AI1082">
        <v>65.15</v>
      </c>
      <c r="AJ1082">
        <v>2.75</v>
      </c>
      <c r="AK1082">
        <v>0</v>
      </c>
      <c r="AL1082">
        <v>0</v>
      </c>
      <c r="AM1082">
        <v>0</v>
      </c>
      <c r="AN1082">
        <v>0</v>
      </c>
      <c r="AO1082">
        <v>0</v>
      </c>
      <c r="AP1082">
        <v>0.937</v>
      </c>
      <c r="AQ1082">
        <v>0.0559999999999999</v>
      </c>
      <c r="AR1082">
        <v>0.0579999999999999</v>
      </c>
      <c r="AS1082" s="3">
        <v>46107.77753472222</v>
      </c>
    </row>
    <row r="1083" ht="25.5" customHeight="1">
      <c r="A1083" t="inlineStr">
        <is>
          <t>60390b06000000000101ef9f</t>
        </is>
      </c>
      <c r="B1083" s="2" t="str">
        <f>=HYPERLINK("https://www.xiaohongshu.com/user/profile/60390b06000000000101ef9f", "https://www.xiaohongshu.com/user/profile/60390b06000000000101ef9f")</f>
        <v>https://www.xiaohongshu.com/user/profile/60390b06000000000101ef9f</v>
      </c>
      <c r="C1083" s="2" t="str">
        <f>=HYPERLINK("https://pgy.xiaohongshu.com/solar/pre-trade/blogger-detail/60390b06000000000101ef9f", "https://pgy.xiaohongshu.com/solar/pre-trade/blogger-detail/60390b06000000000101ef9f")</f>
        <v>https://pgy.xiaohongshu.com/solar/pre-trade/blogger-detail/60390b06000000000101ef9f</v>
      </c>
      <c r="D1083" t="inlineStr">
        <is>
          <t>女</t>
        </is>
      </c>
      <c r="E1083" t="inlineStr">
        <is>
          <t>4273715891</t>
        </is>
      </c>
      <c r="F1083" t="inlineStr">
        <is>
          <t>狂背单词🦉</t>
        </is>
      </c>
      <c r="G1083" t="inlineStr">
        <is>
          <t>河南 新乡 红旗区</t>
        </is>
      </c>
      <c r="H1083"/>
      <c r="I1083" t="inlineStr">
        <is>
          <t>教育</t>
        </is>
      </c>
      <c r="J1083">
        <v>1139</v>
      </c>
      <c r="K1083" t="inlineStr">
        <is>
          <t>0.1</t>
        </is>
      </c>
      <c r="L1083">
        <v>15790</v>
      </c>
      <c r="M1083">
        <v>2600</v>
      </c>
      <c r="N1083">
        <v>235</v>
      </c>
      <c r="O1083">
        <v>100</v>
      </c>
      <c r="P1083">
        <v>0</v>
      </c>
      <c r="Q1083">
        <v>0.571</v>
      </c>
      <c r="R1083">
        <v>15790</v>
      </c>
      <c r="S1083">
        <v>2600</v>
      </c>
      <c r="T1083">
        <v>210</v>
      </c>
      <c r="U1083">
        <v>0.34</v>
      </c>
      <c r="V1083">
        <v>100</v>
      </c>
      <c r="W1083">
        <v>0.571</v>
      </c>
      <c r="X1083">
        <v>0</v>
      </c>
      <c r="Y1083">
        <v>6.33</v>
      </c>
      <c r="Z1083">
        <v>0.43</v>
      </c>
      <c r="AA1083">
        <v>0</v>
      </c>
      <c r="AB1083">
        <v>0</v>
      </c>
      <c r="AC1083">
        <v>0</v>
      </c>
      <c r="AD1083">
        <v>0</v>
      </c>
      <c r="AE1083">
        <v>100</v>
      </c>
      <c r="AF1083">
        <v>0</v>
      </c>
      <c r="AG1083">
        <v>0</v>
      </c>
      <c r="AH1083">
        <v>0</v>
      </c>
      <c r="AI1083">
        <v>0</v>
      </c>
      <c r="AJ1083">
        <v>0</v>
      </c>
      <c r="AK1083">
        <v>0</v>
      </c>
      <c r="AL1083">
        <v>0</v>
      </c>
      <c r="AM1083">
        <v>0</v>
      </c>
      <c r="AN1083">
        <v>0</v>
      </c>
      <c r="AO1083">
        <v>0</v>
      </c>
      <c r="AP1083">
        <v>0.956</v>
      </c>
      <c r="AQ1083">
        <v>0.135</v>
      </c>
      <c r="AR1083">
        <v>0</v>
      </c>
      <c r="AS1083" s="3">
        <v>46107.77753472222</v>
      </c>
    </row>
    <row r="1084" ht="25.5" customHeight="1">
      <c r="A1084" t="inlineStr">
        <is>
          <t>5fa22ed30000000001008f0f</t>
        </is>
      </c>
      <c r="B1084" s="2" t="str">
        <f>=HYPERLINK("https://www.xiaohongshu.com/user/profile/5fa22ed30000000001008f0f", "https://www.xiaohongshu.com/user/profile/5fa22ed30000000001008f0f")</f>
        <v>https://www.xiaohongshu.com/user/profile/5fa22ed30000000001008f0f</v>
      </c>
      <c r="C1084" s="2" t="str">
        <f>=HYPERLINK("https://pgy.xiaohongshu.com/solar/pre-trade/blogger-detail/5fa22ed30000000001008f0f", "https://pgy.xiaohongshu.com/solar/pre-trade/blogger-detail/5fa22ed30000000001008f0f")</f>
        <v>https://pgy.xiaohongshu.com/solar/pre-trade/blogger-detail/5fa22ed30000000001008f0f</v>
      </c>
      <c r="D1084" t="inlineStr">
        <is>
          <t>男</t>
        </is>
      </c>
      <c r="E1084" t="inlineStr">
        <is>
          <t>1067043034</t>
        </is>
      </c>
      <c r="F1084" t="inlineStr">
        <is>
          <t>四叶森塞わ</t>
        </is>
      </c>
      <c r="G1084" t="inlineStr">
        <is>
          <t>俄罗斯</t>
        </is>
      </c>
      <c r="H1084"/>
      <c r="I1084" t="inlineStr">
        <is>
          <t>教育, 素材</t>
        </is>
      </c>
      <c r="J1084">
        <v>2521</v>
      </c>
      <c r="K1084" t="inlineStr">
        <is>
          <t>0.3</t>
        </is>
      </c>
      <c r="L1084">
        <v>2850</v>
      </c>
      <c r="M1084">
        <v>995</v>
      </c>
      <c r="N1084">
        <v>169</v>
      </c>
      <c r="O1084">
        <v>183</v>
      </c>
      <c r="P1084">
        <v>0</v>
      </c>
      <c r="Q1084">
        <v>0.5</v>
      </c>
      <c r="R1084">
        <v>0</v>
      </c>
      <c r="S1084">
        <v>0</v>
      </c>
      <c r="T1084">
        <v>0</v>
      </c>
      <c r="U1084">
        <v>0</v>
      </c>
      <c r="V1084">
        <v>183</v>
      </c>
      <c r="W1084">
        <v>0</v>
      </c>
      <c r="X1084">
        <v>0</v>
      </c>
      <c r="Y1084">
        <v>0</v>
      </c>
      <c r="Z1084">
        <v>0</v>
      </c>
      <c r="AA1084">
        <v>2850</v>
      </c>
      <c r="AB1084">
        <v>995</v>
      </c>
      <c r="AC1084">
        <v>146</v>
      </c>
      <c r="AD1084">
        <v>1.69</v>
      </c>
      <c r="AE1084">
        <v>185</v>
      </c>
      <c r="AF1084">
        <v>0.5</v>
      </c>
      <c r="AG1084">
        <v>0</v>
      </c>
      <c r="AH1084">
        <v>0.228999999999999</v>
      </c>
      <c r="AI1084">
        <v>64.91</v>
      </c>
      <c r="AJ1084">
        <v>1.09</v>
      </c>
      <c r="AK1084">
        <v>0</v>
      </c>
      <c r="AL1084">
        <v>0</v>
      </c>
      <c r="AM1084">
        <v>0</v>
      </c>
      <c r="AN1084">
        <v>0</v>
      </c>
      <c r="AO1084">
        <v>0</v>
      </c>
      <c r="AP1084">
        <v>0.942</v>
      </c>
      <c r="AQ1084">
        <v>0.156</v>
      </c>
      <c r="AR1084">
        <v>0.139</v>
      </c>
      <c r="AS1084" s="3">
        <v>46107.77753472222</v>
      </c>
    </row>
    <row r="1085" ht="25.5" customHeight="1">
      <c r="A1085" t="inlineStr">
        <is>
          <t>5e7314d50000000001009ec5</t>
        </is>
      </c>
      <c r="B1085" s="2" t="str">
        <f>=HYPERLINK("https://www.xiaohongshu.com/user/profile/5e7314d50000000001009ec5", "https://www.xiaohongshu.com/user/profile/5e7314d50000000001009ec5")</f>
        <v>https://www.xiaohongshu.com/user/profile/5e7314d50000000001009ec5</v>
      </c>
      <c r="C1085" s="2" t="str">
        <f>=HYPERLINK("https://pgy.xiaohongshu.com/solar/pre-trade/blogger-detail/5e7314d50000000001009ec5", "https://pgy.xiaohongshu.com/solar/pre-trade/blogger-detail/5e7314d50000000001009ec5")</f>
        <v>https://pgy.xiaohongshu.com/solar/pre-trade/blogger-detail/5e7314d50000000001009ec5</v>
      </c>
      <c r="D1085" t="inlineStr">
        <is>
          <t>女</t>
        </is>
      </c>
      <c r="E1085" t="inlineStr">
        <is>
          <t>20059006mini</t>
        </is>
      </c>
      <c r="F1085" t="inlineStr">
        <is>
          <t>阿呆不是呆瓜（PPT美工版）</t>
        </is>
      </c>
      <c r="G1085" t="inlineStr">
        <is>
          <t>广西 贵港 港北区</t>
        </is>
      </c>
      <c r="H1085"/>
      <c r="I1085" t="inlineStr">
        <is>
          <t>教育</t>
        </is>
      </c>
      <c r="J1085">
        <v>3690</v>
      </c>
      <c r="K1085" t="inlineStr">
        <is>
          <t>0.4</t>
        </is>
      </c>
      <c r="L1085">
        <v>13525</v>
      </c>
      <c r="M1085">
        <v>4159</v>
      </c>
      <c r="N1085">
        <v>357</v>
      </c>
      <c r="O1085">
        <v>123</v>
      </c>
      <c r="P1085">
        <v>0</v>
      </c>
      <c r="Q1085">
        <v>0.714</v>
      </c>
      <c r="R1085">
        <v>0</v>
      </c>
      <c r="S1085">
        <v>0</v>
      </c>
      <c r="T1085">
        <v>0</v>
      </c>
      <c r="U1085">
        <v>0</v>
      </c>
      <c r="V1085">
        <v>123</v>
      </c>
      <c r="W1085">
        <v>0</v>
      </c>
      <c r="X1085">
        <v>0</v>
      </c>
      <c r="Y1085">
        <v>0</v>
      </c>
      <c r="Z1085">
        <v>0</v>
      </c>
      <c r="AA1085">
        <v>13525</v>
      </c>
      <c r="AB1085">
        <v>4159</v>
      </c>
      <c r="AC1085">
        <v>314</v>
      </c>
      <c r="AD1085">
        <v>1.57</v>
      </c>
      <c r="AE1085">
        <v>299</v>
      </c>
      <c r="AF1085">
        <v>0.714</v>
      </c>
      <c r="AG1085">
        <v>0</v>
      </c>
      <c r="AH1085">
        <v>0.026</v>
      </c>
      <c r="AI1085">
        <v>22.11</v>
      </c>
      <c r="AJ1085">
        <v>0.84</v>
      </c>
      <c r="AK1085">
        <v>0</v>
      </c>
      <c r="AL1085">
        <v>0</v>
      </c>
      <c r="AM1085">
        <v>0</v>
      </c>
      <c r="AN1085">
        <v>0</v>
      </c>
      <c r="AO1085">
        <v>0</v>
      </c>
      <c r="AP1085">
        <v>0.283</v>
      </c>
      <c r="AQ1085">
        <v>0.046</v>
      </c>
      <c r="AR1085">
        <v>0.122</v>
      </c>
      <c r="AS1085" s="3">
        <v>46107.77753472222</v>
      </c>
    </row>
    <row r="1086" ht="25.5" customHeight="1">
      <c r="A1086" t="inlineStr">
        <is>
          <t>629db0100000000019028d49</t>
        </is>
      </c>
      <c r="B1086" s="2" t="str">
        <f>=HYPERLINK("https://www.xiaohongshu.com/user/profile/629db0100000000019028d49", "https://www.xiaohongshu.com/user/profile/629db0100000000019028d49")</f>
        <v>https://www.xiaohongshu.com/user/profile/629db0100000000019028d49</v>
      </c>
      <c r="C1086" s="2" t="str">
        <f>=HYPERLINK("https://pgy.xiaohongshu.com/solar/pre-trade/blogger-detail/629db0100000000019028d49", "https://pgy.xiaohongshu.com/solar/pre-trade/blogger-detail/629db0100000000019028d49")</f>
        <v>https://pgy.xiaohongshu.com/solar/pre-trade/blogger-detail/629db0100000000019028d49</v>
      </c>
      <c r="D1086" t="inlineStr">
        <is>
          <t>女</t>
        </is>
      </c>
      <c r="E1086" t="inlineStr">
        <is>
          <t>5602981132</t>
        </is>
      </c>
      <c r="F1086" t="inlineStr">
        <is>
          <t>爆炒葱花</t>
        </is>
      </c>
      <c r="G1086" t="inlineStr">
        <is>
          <t>辽宁 沈阳 皇姑区</t>
        </is>
      </c>
      <c r="H1086"/>
      <c r="I1086" t="inlineStr">
        <is>
          <t>教育</t>
        </is>
      </c>
      <c r="J1086">
        <v>6916</v>
      </c>
      <c r="K1086" t="inlineStr">
        <is>
          <t>0.7</t>
        </is>
      </c>
      <c r="L1086">
        <v>5884</v>
      </c>
      <c r="M1086">
        <v>1892</v>
      </c>
      <c r="N1086">
        <v>523</v>
      </c>
      <c r="O1086">
        <v>350</v>
      </c>
      <c r="P1086">
        <v>0</v>
      </c>
      <c r="Q1086">
        <v>0.917</v>
      </c>
      <c r="R1086">
        <v>0</v>
      </c>
      <c r="S1086">
        <v>0</v>
      </c>
      <c r="T1086">
        <v>0</v>
      </c>
      <c r="U1086">
        <v>0</v>
      </c>
      <c r="V1086">
        <v>0</v>
      </c>
      <c r="W1086">
        <v>0</v>
      </c>
      <c r="X1086">
        <v>0</v>
      </c>
      <c r="Y1086">
        <v>0</v>
      </c>
      <c r="Z1086">
        <v>0</v>
      </c>
      <c r="AA1086">
        <v>5884</v>
      </c>
      <c r="AB1086">
        <v>1892</v>
      </c>
      <c r="AC1086">
        <v>489</v>
      </c>
      <c r="AD1086">
        <v>1.68</v>
      </c>
      <c r="AE1086">
        <v>350</v>
      </c>
      <c r="AF1086">
        <v>0.917</v>
      </c>
      <c r="AG1086">
        <v>0</v>
      </c>
      <c r="AH1086">
        <v>0.123</v>
      </c>
      <c r="AI1086">
        <v>59.48</v>
      </c>
      <c r="AJ1086">
        <v>0.67</v>
      </c>
      <c r="AK1086">
        <v>0</v>
      </c>
      <c r="AL1086">
        <v>0</v>
      </c>
      <c r="AM1086">
        <v>0</v>
      </c>
      <c r="AN1086">
        <v>0</v>
      </c>
      <c r="AO1086">
        <v>0</v>
      </c>
      <c r="AP1086">
        <v>0.829</v>
      </c>
      <c r="AQ1086">
        <v>0.06</v>
      </c>
      <c r="AR1086">
        <v>0.067</v>
      </c>
      <c r="AS1086" s="3">
        <v>46107.77753472222</v>
      </c>
    </row>
    <row r="1087" ht="25.5" customHeight="1">
      <c r="A1087" t="inlineStr">
        <is>
          <t>5ae8716911be106aa863f359</t>
        </is>
      </c>
      <c r="B1087" s="2" t="str">
        <f>=HYPERLINK("https://www.xiaohongshu.com/user/profile/5ae8716911be106aa863f359", "https://www.xiaohongshu.com/user/profile/5ae8716911be106aa863f359")</f>
        <v>https://www.xiaohongshu.com/user/profile/5ae8716911be106aa863f359</v>
      </c>
      <c r="C1087" s="2" t="str">
        <f>=HYPERLINK("https://pgy.xiaohongshu.com/solar/pre-trade/blogger-detail/5ae8716911be106aa863f359", "https://pgy.xiaohongshu.com/solar/pre-trade/blogger-detail/5ae8716911be106aa863f359")</f>
        <v>https://pgy.xiaohongshu.com/solar/pre-trade/blogger-detail/5ae8716911be106aa863f359</v>
      </c>
      <c r="D1087" t="inlineStr">
        <is>
          <t>男</t>
        </is>
      </c>
      <c r="E1087" t="inlineStr">
        <is>
          <t>readmorebooks7</t>
        </is>
      </c>
      <c r="F1087" t="inlineStr">
        <is>
          <t>恩情博士</t>
        </is>
      </c>
      <c r="G1087" t="inlineStr">
        <is>
          <t>广东 韶关 仁化县</t>
        </is>
      </c>
      <c r="H1087" t="inlineStr">
        <is>
          <t>留学背景, 学生</t>
        </is>
      </c>
      <c r="I1087" t="inlineStr">
        <is>
          <t>教育</t>
        </is>
      </c>
      <c r="J1087">
        <v>31425</v>
      </c>
      <c r="K1087" t="inlineStr">
        <is>
          <t>3.1</t>
        </is>
      </c>
      <c r="L1087">
        <v>40116</v>
      </c>
      <c r="M1087">
        <v>6307</v>
      </c>
      <c r="N1087">
        <v>186</v>
      </c>
      <c r="O1087">
        <v>600</v>
      </c>
      <c r="P1087">
        <v>0</v>
      </c>
      <c r="Q1087">
        <v>0.5</v>
      </c>
      <c r="R1087">
        <v>44908</v>
      </c>
      <c r="S1087">
        <v>6900</v>
      </c>
      <c r="T1087">
        <v>155</v>
      </c>
      <c r="U1087">
        <v>0.39</v>
      </c>
      <c r="V1087">
        <v>600</v>
      </c>
      <c r="W1087">
        <v>0.571</v>
      </c>
      <c r="X1087">
        <v>0</v>
      </c>
      <c r="Y1087">
        <v>13.36</v>
      </c>
      <c r="Z1087">
        <v>3.08</v>
      </c>
      <c r="AA1087">
        <v>5816</v>
      </c>
      <c r="AB1087">
        <v>716</v>
      </c>
      <c r="AC1087">
        <v>32</v>
      </c>
      <c r="AD1087">
        <v>0</v>
      </c>
      <c r="AE1087">
        <v>0</v>
      </c>
      <c r="AF1087">
        <v>0</v>
      </c>
      <c r="AG1087">
        <v>0</v>
      </c>
      <c r="AH1087">
        <v>0.187</v>
      </c>
      <c r="AI1087">
        <v>0</v>
      </c>
      <c r="AJ1087">
        <v>0</v>
      </c>
      <c r="AK1087">
        <v>0</v>
      </c>
      <c r="AL1087">
        <v>0</v>
      </c>
      <c r="AM1087">
        <v>0</v>
      </c>
      <c r="AN1087">
        <v>0</v>
      </c>
      <c r="AO1087">
        <v>0</v>
      </c>
      <c r="AP1087">
        <v>0.885999999999999</v>
      </c>
      <c r="AQ1087">
        <v>0.024</v>
      </c>
      <c r="AR1087">
        <v>0.038</v>
      </c>
      <c r="AS1087" s="3">
        <v>46107.77753472222</v>
      </c>
    </row>
    <row r="1088" ht="25.5" customHeight="1">
      <c r="A1088" t="inlineStr">
        <is>
          <t>5e95a618000000000100bcc4</t>
        </is>
      </c>
      <c r="B1088" s="2" t="str">
        <f>=HYPERLINK("https://www.xiaohongshu.com/user/profile/5e95a618000000000100bcc4", "https://www.xiaohongshu.com/user/profile/5e95a618000000000100bcc4")</f>
        <v>https://www.xiaohongshu.com/user/profile/5e95a618000000000100bcc4</v>
      </c>
      <c r="C1088" s="2" t="str">
        <f>=HYPERLINK("https://pgy.xiaohongshu.com/solar/pre-trade/blogger-detail/5e95a618000000000100bcc4", "https://pgy.xiaohongshu.com/solar/pre-trade/blogger-detail/5e95a618000000000100bcc4")</f>
        <v>https://pgy.xiaohongshu.com/solar/pre-trade/blogger-detail/5e95a618000000000100bcc4</v>
      </c>
      <c r="D1088" t="inlineStr">
        <is>
          <t>男</t>
        </is>
      </c>
      <c r="E1088" t="inlineStr">
        <is>
          <t>Misterp2024</t>
        </is>
      </c>
      <c r="F1088" t="inlineStr">
        <is>
          <t>穿西装的企鹅先生</t>
        </is>
      </c>
      <c r="G1088" t="inlineStr">
        <is>
          <t>广东 东莞</t>
        </is>
      </c>
      <c r="H1088" t="inlineStr">
        <is>
          <t>学生, 留学背景, 海外华人, 情侣</t>
        </is>
      </c>
      <c r="I1088" t="inlineStr">
        <is>
          <t>时尚</t>
        </is>
      </c>
      <c r="J1088">
        <v>48874</v>
      </c>
      <c r="K1088" t="inlineStr">
        <is>
          <t>4.9</t>
        </is>
      </c>
      <c r="L1088">
        <v>16233</v>
      </c>
      <c r="M1088">
        <v>2275</v>
      </c>
      <c r="N1088">
        <v>199</v>
      </c>
      <c r="O1088">
        <v>1000</v>
      </c>
      <c r="P1088">
        <v>0</v>
      </c>
      <c r="Q1088">
        <v>0.889</v>
      </c>
      <c r="R1088">
        <v>16686</v>
      </c>
      <c r="S1088">
        <v>2992</v>
      </c>
      <c r="T1088">
        <v>203</v>
      </c>
      <c r="U1088">
        <v>0.63</v>
      </c>
      <c r="V1088">
        <v>1000</v>
      </c>
      <c r="W1088">
        <v>1</v>
      </c>
      <c r="X1088">
        <v>0</v>
      </c>
      <c r="Y1088">
        <v>59.93</v>
      </c>
      <c r="Z1088">
        <v>4.64</v>
      </c>
      <c r="AA1088">
        <v>16233</v>
      </c>
      <c r="AB1088">
        <v>2143</v>
      </c>
      <c r="AC1088">
        <v>154</v>
      </c>
      <c r="AD1088">
        <v>2.43</v>
      </c>
      <c r="AE1088">
        <v>2000</v>
      </c>
      <c r="AF1088">
        <v>0.667</v>
      </c>
      <c r="AG1088">
        <v>0</v>
      </c>
      <c r="AH1088">
        <v>0.179</v>
      </c>
      <c r="AI1088">
        <v>123.21</v>
      </c>
      <c r="AJ1088">
        <v>11.76</v>
      </c>
      <c r="AK1088">
        <v>0</v>
      </c>
      <c r="AL1088">
        <v>0</v>
      </c>
      <c r="AM1088">
        <v>0</v>
      </c>
      <c r="AN1088">
        <v>0</v>
      </c>
      <c r="AO1088">
        <v>0</v>
      </c>
      <c r="AP1088">
        <v>0.777</v>
      </c>
      <c r="AQ1088">
        <v>0.019</v>
      </c>
      <c r="AR1088">
        <v>0</v>
      </c>
      <c r="AS1088" s="3">
        <v>46107.77753472222</v>
      </c>
    </row>
    <row r="1089" ht="25.5" customHeight="1">
      <c r="A1089" t="inlineStr">
        <is>
          <t>5937a01950c4b46e16323c72</t>
        </is>
      </c>
      <c r="B1089" s="2" t="str">
        <f>=HYPERLINK("https://www.xiaohongshu.com/user/profile/5937a01950c4b46e16323c72", "https://www.xiaohongshu.com/user/profile/5937a01950c4b46e16323c72")</f>
        <v>https://www.xiaohongshu.com/user/profile/5937a01950c4b46e16323c72</v>
      </c>
      <c r="C1089" s="2" t="str">
        <f>=HYPERLINK("https://pgy.xiaohongshu.com/solar/pre-trade/blogger-detail/5937a01950c4b46e16323c72", "https://pgy.xiaohongshu.com/solar/pre-trade/blogger-detail/5937a01950c4b46e16323c72")</f>
        <v>https://pgy.xiaohongshu.com/solar/pre-trade/blogger-detail/5937a01950c4b46e16323c72</v>
      </c>
      <c r="D1089" t="inlineStr">
        <is>
          <t>女</t>
        </is>
      </c>
      <c r="E1089" t="inlineStr">
        <is>
          <t>437990892</t>
        </is>
      </c>
      <c r="F1089" t="inlineStr">
        <is>
          <t>Sallybaby</t>
        </is>
      </c>
      <c r="G1089" t="inlineStr">
        <is>
          <t>山西 太原 杏花岭区</t>
        </is>
      </c>
      <c r="H1089" t="inlineStr">
        <is>
          <t>6-12岁, 妈妈, 学生</t>
        </is>
      </c>
      <c r="I1089"/>
      <c r="J1089">
        <v>1480</v>
      </c>
      <c r="K1089" t="inlineStr">
        <is>
          <t>0.1</t>
        </is>
      </c>
      <c r="L1089">
        <v>8606</v>
      </c>
      <c r="M1089">
        <v>1343</v>
      </c>
      <c r="N1089">
        <v>187</v>
      </c>
      <c r="O1089">
        <v>231</v>
      </c>
      <c r="P1089">
        <v>0</v>
      </c>
      <c r="Q1089">
        <v>0</v>
      </c>
      <c r="R1089">
        <v>8606</v>
      </c>
      <c r="S1089">
        <v>1343</v>
      </c>
      <c r="T1089">
        <v>174</v>
      </c>
      <c r="U1089">
        <v>0.47</v>
      </c>
      <c r="V1089">
        <v>231</v>
      </c>
      <c r="W1089">
        <v>0</v>
      </c>
      <c r="X1089">
        <v>0</v>
      </c>
      <c r="Y1089">
        <v>26.84</v>
      </c>
      <c r="Z1089">
        <v>1.24</v>
      </c>
      <c r="AA1089">
        <v>0</v>
      </c>
      <c r="AB1089">
        <v>0</v>
      </c>
      <c r="AC1089">
        <v>0</v>
      </c>
      <c r="AD1089">
        <v>0</v>
      </c>
      <c r="AE1089">
        <v>350</v>
      </c>
      <c r="AF1089">
        <v>0</v>
      </c>
      <c r="AG1089">
        <v>0</v>
      </c>
      <c r="AH1089">
        <v>0</v>
      </c>
      <c r="AI1089">
        <v>0</v>
      </c>
      <c r="AJ1089">
        <v>0</v>
      </c>
      <c r="AK1089">
        <v>0</v>
      </c>
      <c r="AL1089">
        <v>0</v>
      </c>
      <c r="AM1089">
        <v>0</v>
      </c>
      <c r="AN1089">
        <v>0</v>
      </c>
      <c r="AO1089">
        <v>0</v>
      </c>
      <c r="AP1089">
        <v>0.868</v>
      </c>
      <c r="AQ1089">
        <v>0.018</v>
      </c>
      <c r="AR1089">
        <v>0.005</v>
      </c>
      <c r="AS1089" s="3">
        <v>46107.77753472222</v>
      </c>
    </row>
    <row r="1090" ht="25.5" customHeight="1">
      <c r="A1090" t="inlineStr">
        <is>
          <t>5f33450100000000010073cf</t>
        </is>
      </c>
      <c r="B1090" s="2" t="str">
        <f>=HYPERLINK("https://www.xiaohongshu.com/user/profile/5f33450100000000010073cf", "https://www.xiaohongshu.com/user/profile/5f33450100000000010073cf")</f>
        <v>https://www.xiaohongshu.com/user/profile/5f33450100000000010073cf</v>
      </c>
      <c r="C1090" s="2" t="str">
        <f>=HYPERLINK("https://pgy.xiaohongshu.com/solar/pre-trade/blogger-detail/5f33450100000000010073cf", "https://pgy.xiaohongshu.com/solar/pre-trade/blogger-detail/5f33450100000000010073cf")</f>
        <v>https://pgy.xiaohongshu.com/solar/pre-trade/blogger-detail/5f33450100000000010073cf</v>
      </c>
      <c r="D1090" t="inlineStr">
        <is>
          <t>女</t>
        </is>
      </c>
      <c r="E1090" t="inlineStr">
        <is>
          <t>853088168</t>
        </is>
      </c>
      <c r="F1090" t="inlineStr">
        <is>
          <t>林林专四专八</t>
        </is>
      </c>
      <c r="G1090" t="inlineStr">
        <is>
          <t>云南 昆明 呈贡区</t>
        </is>
      </c>
      <c r="H1090"/>
      <c r="I1090" t="inlineStr">
        <is>
          <t>教育</t>
        </is>
      </c>
      <c r="J1090">
        <v>1949</v>
      </c>
      <c r="K1090" t="inlineStr">
        <is>
          <t>0.2</t>
        </is>
      </c>
      <c r="L1090">
        <v>4036</v>
      </c>
      <c r="M1090">
        <v>682</v>
      </c>
      <c r="N1090">
        <v>100</v>
      </c>
      <c r="O1090">
        <v>170</v>
      </c>
      <c r="P1090">
        <v>0.065</v>
      </c>
      <c r="Q1090">
        <v>0.387</v>
      </c>
      <c r="R1090">
        <v>4188</v>
      </c>
      <c r="S1090">
        <v>682</v>
      </c>
      <c r="T1090">
        <v>96</v>
      </c>
      <c r="U1090">
        <v>0.55</v>
      </c>
      <c r="V1090">
        <v>170</v>
      </c>
      <c r="W1090">
        <v>0.367</v>
      </c>
      <c r="X1090">
        <v>0.067</v>
      </c>
      <c r="Y1090">
        <v>40.59</v>
      </c>
      <c r="Z1090">
        <v>1.7</v>
      </c>
      <c r="AA1090">
        <v>3921</v>
      </c>
      <c r="AB1090">
        <v>1536</v>
      </c>
      <c r="AC1090">
        <v>274</v>
      </c>
      <c r="AD1090">
        <v>1.68</v>
      </c>
      <c r="AE1090">
        <v>270</v>
      </c>
      <c r="AF1090">
        <v>1</v>
      </c>
      <c r="AG1090">
        <v>0</v>
      </c>
      <c r="AH1090">
        <v>0.031</v>
      </c>
      <c r="AI1090">
        <v>68.86</v>
      </c>
      <c r="AJ1090">
        <v>0.97</v>
      </c>
      <c r="AK1090">
        <v>0</v>
      </c>
      <c r="AL1090">
        <v>0</v>
      </c>
      <c r="AM1090">
        <v>0</v>
      </c>
      <c r="AN1090">
        <v>0</v>
      </c>
      <c r="AO1090">
        <v>0</v>
      </c>
      <c r="AP1090">
        <v>0.898</v>
      </c>
      <c r="AQ1090">
        <v>0.252</v>
      </c>
      <c r="AR1090">
        <v>0.785999999999999</v>
      </c>
      <c r="AS1090" s="3">
        <v>46107.77753472222</v>
      </c>
    </row>
    <row r="1091" ht="25.5" customHeight="1">
      <c r="A1091" t="inlineStr">
        <is>
          <t>5767331b50c4b4615c81488f</t>
        </is>
      </c>
      <c r="B1091" s="2" t="str">
        <f>=HYPERLINK("https://www.xiaohongshu.com/user/profile/5767331b50c4b4615c81488f", "https://www.xiaohongshu.com/user/profile/5767331b50c4b4615c81488f")</f>
        <v>https://www.xiaohongshu.com/user/profile/5767331b50c4b4615c81488f</v>
      </c>
      <c r="C1091" s="2" t="str">
        <f>=HYPERLINK("https://pgy.xiaohongshu.com/solar/pre-trade/blogger-detail/5767331b50c4b4615c81488f", "https://pgy.xiaohongshu.com/solar/pre-trade/blogger-detail/5767331b50c4b4615c81488f")</f>
        <v>https://pgy.xiaohongshu.com/solar/pre-trade/blogger-detail/5767331b50c4b4615c81488f</v>
      </c>
      <c r="D1091" t="inlineStr">
        <is>
          <t>女</t>
        </is>
      </c>
      <c r="E1091" t="inlineStr">
        <is>
          <t>2112071493L</t>
        </is>
      </c>
      <c r="F1091" t="inlineStr">
        <is>
          <t>小林毕业了么？</t>
        </is>
      </c>
      <c r="G1091" t="inlineStr">
        <is>
          <t>重庆</t>
        </is>
      </c>
      <c r="H1091" t="inlineStr">
        <is>
          <t>考研过来人, 学生</t>
        </is>
      </c>
      <c r="I1091" t="inlineStr">
        <is>
          <t>教育, 生活记录</t>
        </is>
      </c>
      <c r="J1091">
        <v>4066</v>
      </c>
      <c r="K1091" t="inlineStr">
        <is>
          <t>0.4</t>
        </is>
      </c>
      <c r="L1091">
        <v>5347</v>
      </c>
      <c r="M1091">
        <v>833</v>
      </c>
      <c r="N1091">
        <v>156</v>
      </c>
      <c r="O1091">
        <v>300</v>
      </c>
      <c r="P1091">
        <v>0</v>
      </c>
      <c r="Q1091">
        <v>1</v>
      </c>
      <c r="R1091">
        <v>5347</v>
      </c>
      <c r="S1091">
        <v>833</v>
      </c>
      <c r="T1091">
        <v>154</v>
      </c>
      <c r="U1091">
        <v>0.66</v>
      </c>
      <c r="V1091">
        <v>300</v>
      </c>
      <c r="W1091">
        <v>1</v>
      </c>
      <c r="X1091">
        <v>0</v>
      </c>
      <c r="Y1091">
        <v>56.1</v>
      </c>
      <c r="Z1091">
        <v>1.92</v>
      </c>
      <c r="AA1091">
        <v>0</v>
      </c>
      <c r="AB1091">
        <v>0</v>
      </c>
      <c r="AC1091">
        <v>0</v>
      </c>
      <c r="AD1091">
        <v>0</v>
      </c>
      <c r="AE1091">
        <v>500</v>
      </c>
      <c r="AF1091">
        <v>0</v>
      </c>
      <c r="AG1091">
        <v>0</v>
      </c>
      <c r="AH1091">
        <v>0</v>
      </c>
      <c r="AI1091">
        <v>0</v>
      </c>
      <c r="AJ1091">
        <v>0</v>
      </c>
      <c r="AK1091">
        <v>0</v>
      </c>
      <c r="AL1091">
        <v>0</v>
      </c>
      <c r="AM1091">
        <v>0</v>
      </c>
      <c r="AN1091">
        <v>0</v>
      </c>
      <c r="AO1091">
        <v>0</v>
      </c>
      <c r="AP1091">
        <v>0.958</v>
      </c>
      <c r="AQ1091">
        <v>0.045</v>
      </c>
      <c r="AR1091">
        <v>0.073</v>
      </c>
      <c r="AS1091" s="3">
        <v>46107.77753472222</v>
      </c>
    </row>
    <row r="1092" ht="25.5" customHeight="1">
      <c r="A1092" t="inlineStr">
        <is>
          <t>5e7b463800000000010030c5</t>
        </is>
      </c>
      <c r="B1092" s="2" t="str">
        <f>=HYPERLINK("https://www.xiaohongshu.com/user/profile/5e7b463800000000010030c5", "https://www.xiaohongshu.com/user/profile/5e7b463800000000010030c5")</f>
        <v>https://www.xiaohongshu.com/user/profile/5e7b463800000000010030c5</v>
      </c>
      <c r="C1092" s="2" t="str">
        <f>=HYPERLINK("https://pgy.xiaohongshu.com/solar/pre-trade/blogger-detail/5e7b463800000000010030c5", "https://pgy.xiaohongshu.com/solar/pre-trade/blogger-detail/5e7b463800000000010030c5")</f>
        <v>https://pgy.xiaohongshu.com/solar/pre-trade/blogger-detail/5e7b463800000000010030c5</v>
      </c>
      <c r="D1092" t="inlineStr">
        <is>
          <t>男</t>
        </is>
      </c>
      <c r="E1092" t="inlineStr">
        <is>
          <t>902412100</t>
        </is>
      </c>
      <c r="F1092" t="inlineStr">
        <is>
          <t>明昊鑫</t>
        </is>
      </c>
      <c r="G1092" t="inlineStr">
        <is>
          <t>江苏 南京 玄武区</t>
        </is>
      </c>
      <c r="H1092"/>
      <c r="I1092" t="inlineStr">
        <is>
          <t>教育</t>
        </is>
      </c>
      <c r="J1092">
        <v>2275</v>
      </c>
      <c r="K1092" t="inlineStr">
        <is>
          <t>0.2</t>
        </is>
      </c>
      <c r="L1092">
        <v>49552</v>
      </c>
      <c r="M1092">
        <v>11983</v>
      </c>
      <c r="N1092">
        <v>677</v>
      </c>
      <c r="O1092">
        <v>200</v>
      </c>
      <c r="P1092">
        <v>0</v>
      </c>
      <c r="Q1092">
        <v>0.5</v>
      </c>
      <c r="R1092">
        <v>49552</v>
      </c>
      <c r="S1092">
        <v>11983</v>
      </c>
      <c r="T1092">
        <v>522</v>
      </c>
      <c r="U1092">
        <v>0.32</v>
      </c>
      <c r="V1092">
        <v>200</v>
      </c>
      <c r="W1092">
        <v>0.5</v>
      </c>
      <c r="X1092">
        <v>0</v>
      </c>
      <c r="Y1092">
        <v>4.04</v>
      </c>
      <c r="Z1092">
        <v>0.3</v>
      </c>
      <c r="AA1092">
        <v>0</v>
      </c>
      <c r="AB1092">
        <v>0</v>
      </c>
      <c r="AC1092">
        <v>0</v>
      </c>
      <c r="AD1092">
        <v>0</v>
      </c>
      <c r="AE1092">
        <v>200</v>
      </c>
      <c r="AF1092">
        <v>0</v>
      </c>
      <c r="AG1092">
        <v>0</v>
      </c>
      <c r="AH1092">
        <v>0</v>
      </c>
      <c r="AI1092">
        <v>0</v>
      </c>
      <c r="AJ1092">
        <v>0</v>
      </c>
      <c r="AK1092">
        <v>0</v>
      </c>
      <c r="AL1092">
        <v>0</v>
      </c>
      <c r="AM1092">
        <v>0</v>
      </c>
      <c r="AN1092">
        <v>0</v>
      </c>
      <c r="AO1092">
        <v>0</v>
      </c>
      <c r="AP1092">
        <v>0.833</v>
      </c>
      <c r="AQ1092">
        <v>0.051</v>
      </c>
      <c r="AR1092">
        <v>0.072</v>
      </c>
      <c r="AS1092" s="3">
        <v>46107.77753472222</v>
      </c>
    </row>
    <row r="1093" ht="25.5" customHeight="1">
      <c r="A1093" t="inlineStr">
        <is>
          <t>603f3ba8000000000100bfb0</t>
        </is>
      </c>
      <c r="B1093" s="2" t="str">
        <f>=HYPERLINK("https://www.xiaohongshu.com/user/profile/603f3ba8000000000100bfb0", "https://www.xiaohongshu.com/user/profile/603f3ba8000000000100bfb0")</f>
        <v>https://www.xiaohongshu.com/user/profile/603f3ba8000000000100bfb0</v>
      </c>
      <c r="C1093" s="2" t="str">
        <f>=HYPERLINK("https://pgy.xiaohongshu.com/solar/pre-trade/blogger-detail/603f3ba8000000000100bfb0", "https://pgy.xiaohongshu.com/solar/pre-trade/blogger-detail/603f3ba8000000000100bfb0")</f>
        <v>https://pgy.xiaohongshu.com/solar/pre-trade/blogger-detail/603f3ba8000000000100bfb0</v>
      </c>
      <c r="D1093" t="inlineStr">
        <is>
          <t>女</t>
        </is>
      </c>
      <c r="E1093" t="inlineStr">
        <is>
          <t>1803626808</t>
        </is>
      </c>
      <c r="F1093" t="inlineStr">
        <is>
          <t>HY学姐🐰</t>
        </is>
      </c>
      <c r="G1093" t="inlineStr">
        <is>
          <t>江苏 苏州 吴中区</t>
        </is>
      </c>
      <c r="H1093"/>
      <c r="I1093" t="inlineStr">
        <is>
          <t>教育</t>
        </is>
      </c>
      <c r="J1093">
        <v>3097</v>
      </c>
      <c r="K1093" t="inlineStr">
        <is>
          <t>0.3</t>
        </is>
      </c>
      <c r="L1093">
        <v>26778</v>
      </c>
      <c r="M1093">
        <v>6532</v>
      </c>
      <c r="N1093">
        <v>690</v>
      </c>
      <c r="O1093">
        <v>200</v>
      </c>
      <c r="P1093">
        <v>0.143</v>
      </c>
      <c r="Q1093">
        <v>0.857</v>
      </c>
      <c r="R1093">
        <v>26778</v>
      </c>
      <c r="S1093">
        <v>6532</v>
      </c>
      <c r="T1093">
        <v>549</v>
      </c>
      <c r="U1093">
        <v>0.33</v>
      </c>
      <c r="V1093">
        <v>200</v>
      </c>
      <c r="W1093">
        <v>0.857</v>
      </c>
      <c r="X1093">
        <v>0.143</v>
      </c>
      <c r="Y1093">
        <v>7.47</v>
      </c>
      <c r="Z1093">
        <v>0.29</v>
      </c>
      <c r="AA1093">
        <v>0</v>
      </c>
      <c r="AB1093">
        <v>0</v>
      </c>
      <c r="AC1093">
        <v>0</v>
      </c>
      <c r="AD1093">
        <v>0</v>
      </c>
      <c r="AE1093">
        <v>388</v>
      </c>
      <c r="AF1093">
        <v>0</v>
      </c>
      <c r="AG1093">
        <v>0</v>
      </c>
      <c r="AH1093">
        <v>0</v>
      </c>
      <c r="AI1093">
        <v>0</v>
      </c>
      <c r="AJ1093">
        <v>0</v>
      </c>
      <c r="AK1093">
        <v>0</v>
      </c>
      <c r="AL1093">
        <v>0</v>
      </c>
      <c r="AM1093">
        <v>0</v>
      </c>
      <c r="AN1093">
        <v>0</v>
      </c>
      <c r="AO1093">
        <v>0</v>
      </c>
      <c r="AP1093">
        <v>0.784</v>
      </c>
      <c r="AQ1093">
        <v>0.2</v>
      </c>
      <c r="AR1093">
        <v>0.185</v>
      </c>
      <c r="AS1093" s="3">
        <v>46107.77753472222</v>
      </c>
    </row>
    <row r="1094" ht="25.5" customHeight="1">
      <c r="A1094" t="inlineStr">
        <is>
          <t>6224dde90000000010004b0b</t>
        </is>
      </c>
      <c r="B1094" s="2" t="str">
        <f>=HYPERLINK("https://www.xiaohongshu.com/user/profile/6224dde90000000010004b0b", "https://www.xiaohongshu.com/user/profile/6224dde90000000010004b0b")</f>
        <v>https://www.xiaohongshu.com/user/profile/6224dde90000000010004b0b</v>
      </c>
      <c r="C1094" s="2" t="str">
        <f>=HYPERLINK("https://pgy.xiaohongshu.com/solar/pre-trade/blogger-detail/6224dde90000000010004b0b", "https://pgy.xiaohongshu.com/solar/pre-trade/blogger-detail/6224dde90000000010004b0b")</f>
        <v>https://pgy.xiaohongshu.com/solar/pre-trade/blogger-detail/6224dde90000000010004b0b</v>
      </c>
      <c r="D1094" t="inlineStr">
        <is>
          <t>女</t>
        </is>
      </c>
      <c r="E1094" t="inlineStr">
        <is>
          <t>Acarbose</t>
        </is>
      </c>
      <c r="F1094" t="inlineStr">
        <is>
          <t>阿替洛尔</t>
        </is>
      </c>
      <c r="G1094" t="inlineStr">
        <is>
          <t>湖南 长沙 雨花区</t>
        </is>
      </c>
      <c r="H1094" t="inlineStr">
        <is>
          <t>考研过来人, 学生</t>
        </is>
      </c>
      <c r="I1094" t="inlineStr">
        <is>
          <t>教育</t>
        </is>
      </c>
      <c r="J1094">
        <v>3273</v>
      </c>
      <c r="K1094" t="inlineStr">
        <is>
          <t>0.3</t>
        </is>
      </c>
      <c r="L1094">
        <v>11947</v>
      </c>
      <c r="M1094">
        <v>3851</v>
      </c>
      <c r="N1094">
        <v>122</v>
      </c>
      <c r="O1094">
        <v>228</v>
      </c>
      <c r="P1094">
        <v>0</v>
      </c>
      <c r="Q1094">
        <v>0</v>
      </c>
      <c r="R1094">
        <v>11947</v>
      </c>
      <c r="S1094">
        <v>3851</v>
      </c>
      <c r="T1094">
        <v>85</v>
      </c>
      <c r="U1094">
        <v>0.36</v>
      </c>
      <c r="V1094">
        <v>228</v>
      </c>
      <c r="W1094">
        <v>0</v>
      </c>
      <c r="X1094">
        <v>0</v>
      </c>
      <c r="Y1094">
        <v>19.08</v>
      </c>
      <c r="Z1094">
        <v>1.87</v>
      </c>
      <c r="AA1094">
        <v>0</v>
      </c>
      <c r="AB1094">
        <v>0</v>
      </c>
      <c r="AC1094">
        <v>0</v>
      </c>
      <c r="AD1094">
        <v>0</v>
      </c>
      <c r="AE1094">
        <v>351</v>
      </c>
      <c r="AF1094">
        <v>0</v>
      </c>
      <c r="AG1094">
        <v>0</v>
      </c>
      <c r="AH1094">
        <v>0</v>
      </c>
      <c r="AI1094">
        <v>0</v>
      </c>
      <c r="AJ1094">
        <v>0</v>
      </c>
      <c r="AK1094">
        <v>0</v>
      </c>
      <c r="AL1094">
        <v>0</v>
      </c>
      <c r="AM1094">
        <v>0</v>
      </c>
      <c r="AN1094">
        <v>0</v>
      </c>
      <c r="AO1094">
        <v>0</v>
      </c>
      <c r="AP1094">
        <v>0.895</v>
      </c>
      <c r="AQ1094">
        <v>0.06</v>
      </c>
      <c r="AR1094">
        <v>0.054</v>
      </c>
      <c r="AS1094" s="3">
        <v>46107.77753472222</v>
      </c>
    </row>
    <row r="1095" ht="25.5" customHeight="1">
      <c r="A1095" t="inlineStr">
        <is>
          <t>6752f3dc000000001c01b0b7</t>
        </is>
      </c>
      <c r="B1095" s="2" t="str">
        <f>=HYPERLINK("https://www.xiaohongshu.com/user/profile/6752f3dc000000001c01b0b7", "https://www.xiaohongshu.com/user/profile/6752f3dc000000001c01b0b7")</f>
        <v>https://www.xiaohongshu.com/user/profile/6752f3dc000000001c01b0b7</v>
      </c>
      <c r="C1095" s="2" t="str">
        <f>=HYPERLINK("https://pgy.xiaohongshu.com/solar/pre-trade/blogger-detail/6752f3dc000000001c01b0b7", "https://pgy.xiaohongshu.com/solar/pre-trade/blogger-detail/6752f3dc000000001c01b0b7")</f>
        <v>https://pgy.xiaohongshu.com/solar/pre-trade/blogger-detail/6752f3dc000000001c01b0b7</v>
      </c>
      <c r="D1095" t="inlineStr">
        <is>
          <t>女</t>
        </is>
      </c>
      <c r="E1095" t="inlineStr">
        <is>
          <t>oxygenY7</t>
        </is>
      </c>
      <c r="F1095" t="inlineStr">
        <is>
          <t>怡定上岸！</t>
        </is>
      </c>
      <c r="G1095" t="inlineStr">
        <is>
          <t>浙江 湖州 吴兴区</t>
        </is>
      </c>
      <c r="H1095" t="inlineStr">
        <is>
          <t>学生</t>
        </is>
      </c>
      <c r="I1095" t="inlineStr">
        <is>
          <t>教育</t>
        </is>
      </c>
      <c r="J1095">
        <v>3079</v>
      </c>
      <c r="K1095" t="inlineStr">
        <is>
          <t>0.3</t>
        </is>
      </c>
      <c r="L1095">
        <v>7718</v>
      </c>
      <c r="M1095">
        <v>1134</v>
      </c>
      <c r="N1095">
        <v>209</v>
      </c>
      <c r="O1095">
        <v>150</v>
      </c>
      <c r="P1095">
        <v>0</v>
      </c>
      <c r="Q1095">
        <v>0.6</v>
      </c>
      <c r="R1095">
        <v>7718</v>
      </c>
      <c r="S1095">
        <v>1134</v>
      </c>
      <c r="T1095">
        <v>183</v>
      </c>
      <c r="U1095">
        <v>0.43</v>
      </c>
      <c r="V1095">
        <v>150</v>
      </c>
      <c r="W1095">
        <v>0.6</v>
      </c>
      <c r="X1095">
        <v>0</v>
      </c>
      <c r="Y1095">
        <v>19.44</v>
      </c>
      <c r="Z1095">
        <v>0.72</v>
      </c>
      <c r="AA1095">
        <v>0</v>
      </c>
      <c r="AB1095">
        <v>0</v>
      </c>
      <c r="AC1095">
        <v>0</v>
      </c>
      <c r="AD1095">
        <v>0</v>
      </c>
      <c r="AE1095">
        <v>200</v>
      </c>
      <c r="AF1095">
        <v>0</v>
      </c>
      <c r="AG1095">
        <v>0</v>
      </c>
      <c r="AH1095">
        <v>0</v>
      </c>
      <c r="AI1095">
        <v>0</v>
      </c>
      <c r="AJ1095">
        <v>0</v>
      </c>
      <c r="AK1095">
        <v>0</v>
      </c>
      <c r="AL1095">
        <v>0</v>
      </c>
      <c r="AM1095">
        <v>0</v>
      </c>
      <c r="AN1095">
        <v>0</v>
      </c>
      <c r="AO1095">
        <v>0</v>
      </c>
      <c r="AP1095">
        <v>0.925</v>
      </c>
      <c r="AQ1095">
        <v>0.057</v>
      </c>
      <c r="AR1095">
        <v>0.038</v>
      </c>
      <c r="AS1095" s="3">
        <v>46107.77753472222</v>
      </c>
    </row>
    <row r="1096" ht="25.5" customHeight="1">
      <c r="A1096" t="inlineStr">
        <is>
          <t>5e206f1e00000000010069be</t>
        </is>
      </c>
      <c r="B1096" s="2" t="str">
        <f>=HYPERLINK("https://www.xiaohongshu.com/user/profile/5e206f1e00000000010069be", "https://www.xiaohongshu.com/user/profile/5e206f1e00000000010069be")</f>
        <v>https://www.xiaohongshu.com/user/profile/5e206f1e00000000010069be</v>
      </c>
      <c r="C1096" s="2" t="str">
        <f>=HYPERLINK("https://pgy.xiaohongshu.com/solar/pre-trade/blogger-detail/5e206f1e00000000010069be", "https://pgy.xiaohongshu.com/solar/pre-trade/blogger-detail/5e206f1e00000000010069be")</f>
        <v>https://pgy.xiaohongshu.com/solar/pre-trade/blogger-detail/5e206f1e00000000010069be</v>
      </c>
      <c r="D1096" t="inlineStr">
        <is>
          <t>女</t>
        </is>
      </c>
      <c r="E1096" t="inlineStr">
        <is>
          <t>Thirteen_13_</t>
        </is>
      </c>
      <c r="F1096" t="inlineStr">
        <is>
          <t>Thirteen13</t>
        </is>
      </c>
      <c r="G1096" t="inlineStr">
        <is>
          <t>河南 新乡 卫辉市</t>
        </is>
      </c>
      <c r="H1096"/>
      <c r="I1096" t="inlineStr">
        <is>
          <t>教育</t>
        </is>
      </c>
      <c r="J1096">
        <v>6549</v>
      </c>
      <c r="K1096" t="inlineStr">
        <is>
          <t>0.7</t>
        </is>
      </c>
      <c r="L1096">
        <v>4243</v>
      </c>
      <c r="M1096">
        <v>599</v>
      </c>
      <c r="N1096">
        <v>121</v>
      </c>
      <c r="O1096">
        <v>300</v>
      </c>
      <c r="P1096">
        <v>0</v>
      </c>
      <c r="Q1096">
        <v>0</v>
      </c>
      <c r="R1096">
        <v>4243</v>
      </c>
      <c r="S1096">
        <v>599</v>
      </c>
      <c r="T1096">
        <v>94</v>
      </c>
      <c r="U1096">
        <v>0.8</v>
      </c>
      <c r="V1096">
        <v>300</v>
      </c>
      <c r="W1096">
        <v>0</v>
      </c>
      <c r="X1096">
        <v>0</v>
      </c>
      <c r="Y1096">
        <v>70.7</v>
      </c>
      <c r="Z1096">
        <v>2.48</v>
      </c>
      <c r="AA1096">
        <v>0</v>
      </c>
      <c r="AB1096">
        <v>0</v>
      </c>
      <c r="AC1096">
        <v>0</v>
      </c>
      <c r="AD1096">
        <v>0</v>
      </c>
      <c r="AE1096">
        <v>550</v>
      </c>
      <c r="AF1096">
        <v>0</v>
      </c>
      <c r="AG1096">
        <v>0</v>
      </c>
      <c r="AH1096">
        <v>0</v>
      </c>
      <c r="AI1096">
        <v>0</v>
      </c>
      <c r="AJ1096">
        <v>0</v>
      </c>
      <c r="AK1096">
        <v>0</v>
      </c>
      <c r="AL1096">
        <v>0</v>
      </c>
      <c r="AM1096">
        <v>0</v>
      </c>
      <c r="AN1096">
        <v>0</v>
      </c>
      <c r="AO1096">
        <v>0</v>
      </c>
      <c r="AP1096">
        <v>0.900999999999999</v>
      </c>
      <c r="AQ1096">
        <v>0.035</v>
      </c>
      <c r="AR1096">
        <v>0.089</v>
      </c>
      <c r="AS1096" s="3">
        <v>46107.77753472222</v>
      </c>
    </row>
    <row r="1097" ht="25.5" customHeight="1">
      <c r="A1097" t="inlineStr">
        <is>
          <t>64f0abad0000000002013573</t>
        </is>
      </c>
      <c r="B1097" s="2" t="str">
        <f>=HYPERLINK("https://www.xiaohongshu.com/user/profile/64f0abad0000000002013573", "https://www.xiaohongshu.com/user/profile/64f0abad0000000002013573")</f>
        <v>https://www.xiaohongshu.com/user/profile/64f0abad0000000002013573</v>
      </c>
      <c r="C1097" s="2" t="str">
        <f>=HYPERLINK("https://pgy.xiaohongshu.com/solar/pre-trade/blogger-detail/64f0abad0000000002013573", "https://pgy.xiaohongshu.com/solar/pre-trade/blogger-detail/64f0abad0000000002013573")</f>
        <v>https://pgy.xiaohongshu.com/solar/pre-trade/blogger-detail/64f0abad0000000002013573</v>
      </c>
      <c r="D1097" t="inlineStr">
        <is>
          <t>女</t>
        </is>
      </c>
      <c r="E1097" t="inlineStr">
        <is>
          <t>8686551381</t>
        </is>
      </c>
      <c r="F1097" t="inlineStr">
        <is>
          <t>会孤单LLC（双上岸版）</t>
        </is>
      </c>
      <c r="G1097" t="inlineStr">
        <is>
          <t>江西 萍乡 湘东区</t>
        </is>
      </c>
      <c r="H1097" t="inlineStr">
        <is>
          <t>学生</t>
        </is>
      </c>
      <c r="I1097" t="inlineStr">
        <is>
          <t>教育</t>
        </is>
      </c>
      <c r="J1097">
        <v>4502</v>
      </c>
      <c r="K1097" t="inlineStr">
        <is>
          <t>0.5</t>
        </is>
      </c>
      <c r="L1097">
        <v>5670</v>
      </c>
      <c r="M1097">
        <v>1013</v>
      </c>
      <c r="N1097">
        <v>131</v>
      </c>
      <c r="O1097">
        <v>120</v>
      </c>
      <c r="P1097">
        <v>0</v>
      </c>
      <c r="Q1097">
        <v>0.25</v>
      </c>
      <c r="R1097">
        <v>5670</v>
      </c>
      <c r="S1097">
        <v>1013</v>
      </c>
      <c r="T1097">
        <v>108</v>
      </c>
      <c r="U1097">
        <v>0.42</v>
      </c>
      <c r="V1097">
        <v>120</v>
      </c>
      <c r="W1097">
        <v>0.25</v>
      </c>
      <c r="X1097">
        <v>0</v>
      </c>
      <c r="Y1097">
        <v>21.16</v>
      </c>
      <c r="Z1097">
        <v>0.91</v>
      </c>
      <c r="AA1097">
        <v>0</v>
      </c>
      <c r="AB1097">
        <v>0</v>
      </c>
      <c r="AC1097">
        <v>0</v>
      </c>
      <c r="AD1097">
        <v>0</v>
      </c>
      <c r="AE1097">
        <v>199</v>
      </c>
      <c r="AF1097">
        <v>0</v>
      </c>
      <c r="AG1097">
        <v>0</v>
      </c>
      <c r="AH1097">
        <v>0</v>
      </c>
      <c r="AI1097">
        <v>0</v>
      </c>
      <c r="AJ1097">
        <v>0</v>
      </c>
      <c r="AK1097">
        <v>0</v>
      </c>
      <c r="AL1097">
        <v>0</v>
      </c>
      <c r="AM1097">
        <v>0</v>
      </c>
      <c r="AN1097">
        <v>0</v>
      </c>
      <c r="AO1097">
        <v>0</v>
      </c>
      <c r="AP1097">
        <v>0.87</v>
      </c>
      <c r="AQ1097">
        <v>0.016</v>
      </c>
      <c r="AR1097">
        <v>0.01</v>
      </c>
      <c r="AS1097" s="3">
        <v>46107.77753472222</v>
      </c>
    </row>
    <row r="1098" ht="25.5" customHeight="1">
      <c r="A1098" t="inlineStr">
        <is>
          <t>5dac7e6c000000000100b46f</t>
        </is>
      </c>
      <c r="B1098" s="2" t="str">
        <f>=HYPERLINK("https://www.xiaohongshu.com/user/profile/5dac7e6c000000000100b46f", "https://www.xiaohongshu.com/user/profile/5dac7e6c000000000100b46f")</f>
        <v>https://www.xiaohongshu.com/user/profile/5dac7e6c000000000100b46f</v>
      </c>
      <c r="C1098" s="2" t="str">
        <f>=HYPERLINK("https://pgy.xiaohongshu.com/solar/pre-trade/blogger-detail/5dac7e6c000000000100b46f", "https://pgy.xiaohongshu.com/solar/pre-trade/blogger-detail/5dac7e6c000000000100b46f")</f>
        <v>https://pgy.xiaohongshu.com/solar/pre-trade/blogger-detail/5dac7e6c000000000100b46f</v>
      </c>
      <c r="D1098" t="inlineStr">
        <is>
          <t>男</t>
        </is>
      </c>
      <c r="E1098" t="inlineStr">
        <is>
          <t>Yea8527</t>
        </is>
      </c>
      <c r="F1098" t="inlineStr">
        <is>
          <t>是炸鸡呀</t>
        </is>
      </c>
      <c r="G1098" t="inlineStr">
        <is>
          <t>韩国</t>
        </is>
      </c>
      <c r="H1098" t="inlineStr">
        <is>
          <t>留学背景, 海外华人</t>
        </is>
      </c>
      <c r="I1098" t="inlineStr">
        <is>
          <t>教育, 出行旅游, 生活记录</t>
        </is>
      </c>
      <c r="J1098">
        <v>4306</v>
      </c>
      <c r="K1098" t="inlineStr">
        <is>
          <t>0.4</t>
        </is>
      </c>
      <c r="L1098">
        <v>19157</v>
      </c>
      <c r="M1098">
        <v>4212</v>
      </c>
      <c r="N1098">
        <v>150</v>
      </c>
      <c r="O1098">
        <v>500</v>
      </c>
      <c r="P1098">
        <v>0</v>
      </c>
      <c r="Q1098">
        <v>0.5</v>
      </c>
      <c r="R1098">
        <v>0</v>
      </c>
      <c r="S1098">
        <v>0</v>
      </c>
      <c r="T1098">
        <v>0</v>
      </c>
      <c r="U1098">
        <v>0</v>
      </c>
      <c r="V1098">
        <v>500</v>
      </c>
      <c r="W1098">
        <v>0</v>
      </c>
      <c r="X1098">
        <v>0</v>
      </c>
      <c r="Y1098">
        <v>0</v>
      </c>
      <c r="Z1098">
        <v>0</v>
      </c>
      <c r="AA1098">
        <v>19157</v>
      </c>
      <c r="AB1098">
        <v>4212</v>
      </c>
      <c r="AC1098">
        <v>118</v>
      </c>
      <c r="AD1098">
        <v>1.69</v>
      </c>
      <c r="AE1098">
        <v>800</v>
      </c>
      <c r="AF1098">
        <v>0.5</v>
      </c>
      <c r="AG1098">
        <v>0</v>
      </c>
      <c r="AH1098">
        <v>0.173</v>
      </c>
      <c r="AI1098">
        <v>41.76</v>
      </c>
      <c r="AJ1098">
        <v>5.32</v>
      </c>
      <c r="AK1098">
        <v>0</v>
      </c>
      <c r="AL1098">
        <v>0</v>
      </c>
      <c r="AM1098">
        <v>0</v>
      </c>
      <c r="AN1098">
        <v>0</v>
      </c>
      <c r="AO1098">
        <v>0</v>
      </c>
      <c r="AP1098">
        <v>0.892</v>
      </c>
      <c r="AQ1098">
        <v>0.06</v>
      </c>
      <c r="AR1098">
        <v>0.09</v>
      </c>
      <c r="AS1098" s="3">
        <v>46107.77753472222</v>
      </c>
    </row>
    <row r="1099" ht="25.5" customHeight="1">
      <c r="A1099" t="inlineStr">
        <is>
          <t>646b911b000000001002bdb7</t>
        </is>
      </c>
      <c r="B1099" s="2" t="str">
        <f>=HYPERLINK("https://www.xiaohongshu.com/user/profile/646b911b000000001002bdb7", "https://www.xiaohongshu.com/user/profile/646b911b000000001002bdb7")</f>
        <v>https://www.xiaohongshu.com/user/profile/646b911b000000001002bdb7</v>
      </c>
      <c r="C1099" s="2" t="str">
        <f>=HYPERLINK("https://pgy.xiaohongshu.com/solar/pre-trade/blogger-detail/646b911b000000001002bdb7", "https://pgy.xiaohongshu.com/solar/pre-trade/blogger-detail/646b911b000000001002bdb7")</f>
        <v>https://pgy.xiaohongshu.com/solar/pre-trade/blogger-detail/646b911b000000001002bdb7</v>
      </c>
      <c r="D1099" t="inlineStr">
        <is>
          <t>男</t>
        </is>
      </c>
      <c r="E1099" t="inlineStr">
        <is>
          <t>6896409017</t>
        </is>
      </c>
      <c r="F1099" t="inlineStr">
        <is>
          <t>鹤莱</t>
        </is>
      </c>
      <c r="G1099" t="inlineStr">
        <is>
          <t>湖北 武汉 硚口区</t>
        </is>
      </c>
      <c r="H1099"/>
      <c r="I1099" t="inlineStr">
        <is>
          <t>教育</t>
        </is>
      </c>
      <c r="J1099">
        <v>1080</v>
      </c>
      <c r="K1099" t="inlineStr">
        <is>
          <t>0.1</t>
        </is>
      </c>
      <c r="L1099">
        <v>4591</v>
      </c>
      <c r="M1099">
        <v>1010</v>
      </c>
      <c r="N1099">
        <v>104</v>
      </c>
      <c r="O1099">
        <v>180</v>
      </c>
      <c r="P1099">
        <v>0</v>
      </c>
      <c r="Q1099">
        <v>0.25</v>
      </c>
      <c r="R1099">
        <v>4591</v>
      </c>
      <c r="S1099">
        <v>1010</v>
      </c>
      <c r="T1099">
        <v>90</v>
      </c>
      <c r="U1099">
        <v>0.48</v>
      </c>
      <c r="V1099">
        <v>180</v>
      </c>
      <c r="W1099">
        <v>0.25</v>
      </c>
      <c r="X1099">
        <v>0</v>
      </c>
      <c r="Y1099">
        <v>39.21</v>
      </c>
      <c r="Z1099">
        <v>1.73</v>
      </c>
      <c r="AA1099">
        <v>0</v>
      </c>
      <c r="AB1099">
        <v>0</v>
      </c>
      <c r="AC1099">
        <v>0</v>
      </c>
      <c r="AD1099">
        <v>0</v>
      </c>
      <c r="AE1099">
        <v>380</v>
      </c>
      <c r="AF1099">
        <v>0</v>
      </c>
      <c r="AG1099">
        <v>0</v>
      </c>
      <c r="AH1099">
        <v>0</v>
      </c>
      <c r="AI1099">
        <v>0</v>
      </c>
      <c r="AJ1099">
        <v>0</v>
      </c>
      <c r="AK1099">
        <v>0</v>
      </c>
      <c r="AL1099">
        <v>0</v>
      </c>
      <c r="AM1099">
        <v>0</v>
      </c>
      <c r="AN1099">
        <v>0</v>
      </c>
      <c r="AO1099">
        <v>0</v>
      </c>
      <c r="AP1099">
        <v>0.888</v>
      </c>
      <c r="AQ1099">
        <v>0.072</v>
      </c>
      <c r="AR1099">
        <v>0</v>
      </c>
      <c r="AS1099" s="3">
        <v>46107.77753472222</v>
      </c>
    </row>
    <row r="1100" ht="25.5" customHeight="1">
      <c r="A1100" t="inlineStr">
        <is>
          <t>5b66670f4eacab300926703f</t>
        </is>
      </c>
      <c r="B1100" s="2" t="str">
        <f>=HYPERLINK("https://www.xiaohongshu.com/user/profile/5b66670f4eacab300926703f", "https://www.xiaohongshu.com/user/profile/5b66670f4eacab300926703f")</f>
        <v>https://www.xiaohongshu.com/user/profile/5b66670f4eacab300926703f</v>
      </c>
      <c r="C1100" s="2" t="str">
        <f>=HYPERLINK("https://pgy.xiaohongshu.com/solar/pre-trade/blogger-detail/5b66670f4eacab300926703f", "https://pgy.xiaohongshu.com/solar/pre-trade/blogger-detail/5b66670f4eacab300926703f")</f>
        <v>https://pgy.xiaohongshu.com/solar/pre-trade/blogger-detail/5b66670f4eacab300926703f</v>
      </c>
      <c r="D1100" t="inlineStr">
        <is>
          <t>女</t>
        </is>
      </c>
      <c r="E1100" t="inlineStr">
        <is>
          <t>806992193</t>
        </is>
      </c>
      <c r="F1100" t="inlineStr">
        <is>
          <t>思政本质</t>
        </is>
      </c>
      <c r="G1100" t="inlineStr">
        <is>
          <t>山东 枣庄 峄城区</t>
        </is>
      </c>
      <c r="H1100"/>
      <c r="I1100" t="inlineStr">
        <is>
          <t>教育</t>
        </is>
      </c>
      <c r="J1100">
        <v>4105</v>
      </c>
      <c r="K1100" t="inlineStr">
        <is>
          <t>0.4</t>
        </is>
      </c>
      <c r="L1100">
        <v>3024</v>
      </c>
      <c r="M1100">
        <v>557</v>
      </c>
      <c r="N1100">
        <v>138</v>
      </c>
      <c r="O1100">
        <v>142</v>
      </c>
      <c r="P1100">
        <v>0</v>
      </c>
      <c r="Q1100">
        <v>0.25</v>
      </c>
      <c r="R1100">
        <v>3024</v>
      </c>
      <c r="S1100">
        <v>557</v>
      </c>
      <c r="T1100">
        <v>116</v>
      </c>
      <c r="U1100">
        <v>0.55</v>
      </c>
      <c r="V1100">
        <v>142</v>
      </c>
      <c r="W1100">
        <v>0.25</v>
      </c>
      <c r="X1100">
        <v>0</v>
      </c>
      <c r="Y1100">
        <v>46.95</v>
      </c>
      <c r="Z1100">
        <v>1.03</v>
      </c>
      <c r="AA1100">
        <v>0</v>
      </c>
      <c r="AB1100">
        <v>0</v>
      </c>
      <c r="AC1100">
        <v>0</v>
      </c>
      <c r="AD1100">
        <v>0</v>
      </c>
      <c r="AE1100">
        <v>350</v>
      </c>
      <c r="AF1100">
        <v>0</v>
      </c>
      <c r="AG1100">
        <v>0</v>
      </c>
      <c r="AH1100">
        <v>0</v>
      </c>
      <c r="AI1100">
        <v>0</v>
      </c>
      <c r="AJ1100">
        <v>0</v>
      </c>
      <c r="AK1100">
        <v>0</v>
      </c>
      <c r="AL1100">
        <v>0</v>
      </c>
      <c r="AM1100">
        <v>0</v>
      </c>
      <c r="AN1100">
        <v>0</v>
      </c>
      <c r="AO1100">
        <v>0</v>
      </c>
      <c r="AP1100">
        <v>0.782</v>
      </c>
      <c r="AQ1100">
        <v>0.009</v>
      </c>
      <c r="AR1100">
        <v>0.009</v>
      </c>
      <c r="AS1100" s="3">
        <v>46107.77753472222</v>
      </c>
    </row>
    <row r="1101" ht="25.5" customHeight="1">
      <c r="A1101" t="inlineStr">
        <is>
          <t>60e58fc5000000002002690f</t>
        </is>
      </c>
      <c r="B1101" s="2" t="str">
        <f>=HYPERLINK("https://www.xiaohongshu.com/user/profile/60e58fc5000000002002690f", "https://www.xiaohongshu.com/user/profile/60e58fc5000000002002690f")</f>
        <v>https://www.xiaohongshu.com/user/profile/60e58fc5000000002002690f</v>
      </c>
      <c r="C1101" s="2" t="str">
        <f>=HYPERLINK("https://pgy.xiaohongshu.com/solar/pre-trade/blogger-detail/60e58fc5000000002002690f", "https://pgy.xiaohongshu.com/solar/pre-trade/blogger-detail/60e58fc5000000002002690f")</f>
        <v>https://pgy.xiaohongshu.com/solar/pre-trade/blogger-detail/60e58fc5000000002002690f</v>
      </c>
      <c r="D1101" t="inlineStr">
        <is>
          <t>女</t>
        </is>
      </c>
      <c r="E1101" t="inlineStr">
        <is>
          <t>9544499815</t>
        </is>
      </c>
      <c r="F1101" t="inlineStr">
        <is>
          <t>July's ESL Journey</t>
        </is>
      </c>
      <c r="G1101" t="inlineStr">
        <is>
          <t>广东 深圳 南山区</t>
        </is>
      </c>
      <c r="H1101"/>
      <c r="I1101" t="inlineStr">
        <is>
          <t>教育</t>
        </is>
      </c>
      <c r="J1101">
        <v>22304</v>
      </c>
      <c r="K1101" t="inlineStr">
        <is>
          <t>2.2</t>
        </is>
      </c>
      <c r="L1101">
        <v>7949</v>
      </c>
      <c r="M1101">
        <v>758</v>
      </c>
      <c r="N1101">
        <v>127</v>
      </c>
      <c r="O1101">
        <v>293</v>
      </c>
      <c r="P1101">
        <v>0.03</v>
      </c>
      <c r="Q1101">
        <v>0.273</v>
      </c>
      <c r="R1101">
        <v>7949</v>
      </c>
      <c r="S1101">
        <v>758</v>
      </c>
      <c r="T1101">
        <v>118</v>
      </c>
      <c r="U1101">
        <v>0.69</v>
      </c>
      <c r="V1101">
        <v>293</v>
      </c>
      <c r="W1101">
        <v>0.273</v>
      </c>
      <c r="X1101">
        <v>0.03</v>
      </c>
      <c r="Y1101">
        <v>36.86</v>
      </c>
      <c r="Z1101">
        <v>2.31</v>
      </c>
      <c r="AA1101">
        <v>0</v>
      </c>
      <c r="AB1101">
        <v>0</v>
      </c>
      <c r="AC1101">
        <v>0</v>
      </c>
      <c r="AD1101">
        <v>0</v>
      </c>
      <c r="AE1101">
        <v>2819</v>
      </c>
      <c r="AF1101">
        <v>0</v>
      </c>
      <c r="AG1101">
        <v>0</v>
      </c>
      <c r="AH1101">
        <v>0</v>
      </c>
      <c r="AI1101">
        <v>0</v>
      </c>
      <c r="AJ1101">
        <v>0</v>
      </c>
      <c r="AK1101">
        <v>0</v>
      </c>
      <c r="AL1101">
        <v>0</v>
      </c>
      <c r="AM1101">
        <v>0</v>
      </c>
      <c r="AN1101">
        <v>0</v>
      </c>
      <c r="AO1101">
        <v>0</v>
      </c>
      <c r="AP1101">
        <v>0.971</v>
      </c>
      <c r="AQ1101">
        <v>0.11</v>
      </c>
      <c r="AR1101">
        <v>0.214</v>
      </c>
      <c r="AS1101" s="3">
        <v>46107.77775462963</v>
      </c>
    </row>
    <row r="1102" ht="25.5" customHeight="1">
      <c r="A1102" t="inlineStr">
        <is>
          <t>5ffedc660000000001002f2a</t>
        </is>
      </c>
      <c r="B1102" s="2" t="str">
        <f>=HYPERLINK("https://www.xiaohongshu.com/user/profile/5ffedc660000000001002f2a", "https://www.xiaohongshu.com/user/profile/5ffedc660000000001002f2a")</f>
        <v>https://www.xiaohongshu.com/user/profile/5ffedc660000000001002f2a</v>
      </c>
      <c r="C1102" s="2" t="str">
        <f>=HYPERLINK("https://pgy.xiaohongshu.com/solar/pre-trade/blogger-detail/5ffedc660000000001002f2a", "https://pgy.xiaohongshu.com/solar/pre-trade/blogger-detail/5ffedc660000000001002f2a")</f>
        <v>https://pgy.xiaohongshu.com/solar/pre-trade/blogger-detail/5ffedc660000000001002f2a</v>
      </c>
      <c r="D1102" t="inlineStr">
        <is>
          <t>女</t>
        </is>
      </c>
      <c r="E1102" t="inlineStr">
        <is>
          <t>4269249284</t>
        </is>
      </c>
      <c r="F1102" t="inlineStr">
        <is>
          <t>李喵喵i</t>
        </is>
      </c>
      <c r="G1102" t="inlineStr">
        <is>
          <t>江苏 南京 浦口区</t>
        </is>
      </c>
      <c r="H1102"/>
      <c r="I1102" t="inlineStr">
        <is>
          <t>教育</t>
        </is>
      </c>
      <c r="J1102">
        <v>1598</v>
      </c>
      <c r="K1102" t="inlineStr">
        <is>
          <t>0.2</t>
        </is>
      </c>
      <c r="L1102">
        <v>68299</v>
      </c>
      <c r="M1102">
        <v>10982</v>
      </c>
      <c r="N1102">
        <v>1542</v>
      </c>
      <c r="O1102">
        <v>200</v>
      </c>
      <c r="P1102">
        <v>0</v>
      </c>
      <c r="Q1102">
        <v>1</v>
      </c>
      <c r="R1102">
        <v>68299</v>
      </c>
      <c r="S1102">
        <v>10982</v>
      </c>
      <c r="T1102">
        <v>1431</v>
      </c>
      <c r="U1102">
        <v>0.32</v>
      </c>
      <c r="V1102">
        <v>200</v>
      </c>
      <c r="W1102">
        <v>1</v>
      </c>
      <c r="X1102">
        <v>0</v>
      </c>
      <c r="Y1102">
        <v>2.93</v>
      </c>
      <c r="Z1102">
        <v>0.13</v>
      </c>
      <c r="AA1102">
        <v>0</v>
      </c>
      <c r="AB1102">
        <v>0</v>
      </c>
      <c r="AC1102">
        <v>0</v>
      </c>
      <c r="AD1102">
        <v>0</v>
      </c>
      <c r="AE1102">
        <v>250</v>
      </c>
      <c r="AF1102">
        <v>0</v>
      </c>
      <c r="AG1102">
        <v>0</v>
      </c>
      <c r="AH1102">
        <v>0</v>
      </c>
      <c r="AI1102">
        <v>0</v>
      </c>
      <c r="AJ1102">
        <v>0</v>
      </c>
      <c r="AK1102">
        <v>0</v>
      </c>
      <c r="AL1102">
        <v>0</v>
      </c>
      <c r="AM1102">
        <v>0</v>
      </c>
      <c r="AN1102">
        <v>0</v>
      </c>
      <c r="AO1102">
        <v>0</v>
      </c>
      <c r="AP1102">
        <v>0.929</v>
      </c>
      <c r="AQ1102">
        <v>0.059</v>
      </c>
      <c r="AR1102">
        <v>0.063</v>
      </c>
      <c r="AS1102" s="3">
        <v>46107.77775462963</v>
      </c>
    </row>
    <row r="1103" ht="25.5" customHeight="1">
      <c r="A1103" t="inlineStr">
        <is>
          <t>584c40565e87e77421e0bcd4</t>
        </is>
      </c>
      <c r="B1103" s="2" t="str">
        <f>=HYPERLINK("https://www.xiaohongshu.com/user/profile/584c40565e87e77421e0bcd4", "https://www.xiaohongshu.com/user/profile/584c40565e87e77421e0bcd4")</f>
        <v>https://www.xiaohongshu.com/user/profile/584c40565e87e77421e0bcd4</v>
      </c>
      <c r="C1103" s="2" t="str">
        <f>=HYPERLINK("https://pgy.xiaohongshu.com/solar/pre-trade/blogger-detail/584c40565e87e77421e0bcd4", "https://pgy.xiaohongshu.com/solar/pre-trade/blogger-detail/584c40565e87e77421e0bcd4")</f>
        <v>https://pgy.xiaohongshu.com/solar/pre-trade/blogger-detail/584c40565e87e77421e0bcd4</v>
      </c>
      <c r="D1103" t="inlineStr">
        <is>
          <t>男</t>
        </is>
      </c>
      <c r="E1103" t="inlineStr">
        <is>
          <t>949423843</t>
        </is>
      </c>
      <c r="F1103" t="inlineStr">
        <is>
          <t>chwzhu</t>
        </is>
      </c>
      <c r="G1103" t="inlineStr">
        <is>
          <t>瑞士</t>
        </is>
      </c>
      <c r="H1103" t="inlineStr">
        <is>
          <t>留学背景, 海外华人, 学生</t>
        </is>
      </c>
      <c r="I1103" t="inlineStr">
        <is>
          <t>教育</t>
        </is>
      </c>
      <c r="J1103">
        <v>12574</v>
      </c>
      <c r="K1103" t="inlineStr">
        <is>
          <t>1.3</t>
        </is>
      </c>
      <c r="L1103">
        <v>10136</v>
      </c>
      <c r="M1103">
        <v>1364</v>
      </c>
      <c r="N1103">
        <v>111</v>
      </c>
      <c r="O1103">
        <v>1700</v>
      </c>
      <c r="P1103">
        <v>0</v>
      </c>
      <c r="Q1103">
        <v>0.286</v>
      </c>
      <c r="R1103">
        <v>10136</v>
      </c>
      <c r="S1103">
        <v>1364</v>
      </c>
      <c r="T1103">
        <v>109</v>
      </c>
      <c r="U1103">
        <v>1.55</v>
      </c>
      <c r="V1103">
        <v>1700</v>
      </c>
      <c r="W1103">
        <v>0.286</v>
      </c>
      <c r="X1103">
        <v>0</v>
      </c>
      <c r="Y1103">
        <v>167.72</v>
      </c>
      <c r="Z1103">
        <v>15.32</v>
      </c>
      <c r="AA1103">
        <v>0</v>
      </c>
      <c r="AB1103">
        <v>0</v>
      </c>
      <c r="AC1103">
        <v>0</v>
      </c>
      <c r="AD1103">
        <v>0</v>
      </c>
      <c r="AE1103">
        <v>0</v>
      </c>
      <c r="AF1103">
        <v>0</v>
      </c>
      <c r="AG1103">
        <v>0</v>
      </c>
      <c r="AH1103">
        <v>0</v>
      </c>
      <c r="AI1103">
        <v>0</v>
      </c>
      <c r="AJ1103">
        <v>0</v>
      </c>
      <c r="AK1103">
        <v>0</v>
      </c>
      <c r="AL1103">
        <v>0</v>
      </c>
      <c r="AM1103">
        <v>0</v>
      </c>
      <c r="AN1103">
        <v>0</v>
      </c>
      <c r="AO1103">
        <v>0</v>
      </c>
      <c r="AP1103">
        <v>0.875</v>
      </c>
      <c r="AQ1103">
        <v>0.049</v>
      </c>
      <c r="AR1103">
        <v>0.00699999999999999</v>
      </c>
      <c r="AS1103" s="3">
        <v>46107.77775462963</v>
      </c>
    </row>
    <row r="1104" ht="25.5" customHeight="1">
      <c r="A1104" t="inlineStr">
        <is>
          <t>66015807000000000600c930</t>
        </is>
      </c>
      <c r="B1104" s="2" t="str">
        <f>=HYPERLINK("https://www.xiaohongshu.com/user/profile/66015807000000000600c930", "https://www.xiaohongshu.com/user/profile/66015807000000000600c930")</f>
        <v>https://www.xiaohongshu.com/user/profile/66015807000000000600c930</v>
      </c>
      <c r="C1104" s="2" t="str">
        <f>=HYPERLINK("https://pgy.xiaohongshu.com/solar/pre-trade/blogger-detail/66015807000000000600c930", "https://pgy.xiaohongshu.com/solar/pre-trade/blogger-detail/66015807000000000600c930")</f>
        <v>https://pgy.xiaohongshu.com/solar/pre-trade/blogger-detail/66015807000000000600c930</v>
      </c>
      <c r="D1104" t="inlineStr">
        <is>
          <t>女</t>
        </is>
      </c>
      <c r="E1104" t="inlineStr">
        <is>
          <t>94246445488</t>
        </is>
      </c>
      <c r="F1104" t="inlineStr">
        <is>
          <t>Evelyn的语言日记</t>
        </is>
      </c>
      <c r="G1104" t="inlineStr">
        <is>
          <t>广东 深圳 宝安区</t>
        </is>
      </c>
      <c r="H1104"/>
      <c r="I1104" t="inlineStr">
        <is>
          <t>教育</t>
        </is>
      </c>
      <c r="J1104">
        <v>8695</v>
      </c>
      <c r="K1104" t="inlineStr">
        <is>
          <t>0.9</t>
        </is>
      </c>
      <c r="L1104">
        <v>4556</v>
      </c>
      <c r="M1104">
        <v>969</v>
      </c>
      <c r="N1104">
        <v>181</v>
      </c>
      <c r="O1104">
        <v>200</v>
      </c>
      <c r="P1104">
        <v>0</v>
      </c>
      <c r="Q1104">
        <v>0.5</v>
      </c>
      <c r="R1104">
        <v>0</v>
      </c>
      <c r="S1104">
        <v>0</v>
      </c>
      <c r="T1104">
        <v>0</v>
      </c>
      <c r="U1104">
        <v>0</v>
      </c>
      <c r="V1104">
        <v>200</v>
      </c>
      <c r="W1104">
        <v>0</v>
      </c>
      <c r="X1104">
        <v>0</v>
      </c>
      <c r="Y1104">
        <v>0</v>
      </c>
      <c r="Z1104">
        <v>0</v>
      </c>
      <c r="AA1104">
        <v>4556</v>
      </c>
      <c r="AB1104">
        <v>969</v>
      </c>
      <c r="AC1104">
        <v>143</v>
      </c>
      <c r="AD1104">
        <v>0</v>
      </c>
      <c r="AE1104">
        <v>0</v>
      </c>
      <c r="AF1104">
        <v>0.5</v>
      </c>
      <c r="AG1104">
        <v>0</v>
      </c>
      <c r="AH1104">
        <v>0.015</v>
      </c>
      <c r="AI1104">
        <v>0</v>
      </c>
      <c r="AJ1104">
        <v>0</v>
      </c>
      <c r="AK1104">
        <v>0</v>
      </c>
      <c r="AL1104">
        <v>0</v>
      </c>
      <c r="AM1104">
        <v>0</v>
      </c>
      <c r="AN1104">
        <v>0</v>
      </c>
      <c r="AO1104">
        <v>0</v>
      </c>
      <c r="AP1104">
        <v>0.932999999999999</v>
      </c>
      <c r="AQ1104">
        <v>0.031</v>
      </c>
      <c r="AR1104">
        <v>0.016</v>
      </c>
      <c r="AS1104" s="3">
        <v>46107.77775462963</v>
      </c>
    </row>
    <row r="1105" ht="25.5" customHeight="1">
      <c r="A1105" t="inlineStr">
        <is>
          <t>5f41a82e000000000101d36d</t>
        </is>
      </c>
      <c r="B1105" s="2" t="str">
        <f>=HYPERLINK("https://www.xiaohongshu.com/user/profile/5f41a82e000000000101d36d", "https://www.xiaohongshu.com/user/profile/5f41a82e000000000101d36d")</f>
        <v>https://www.xiaohongshu.com/user/profile/5f41a82e000000000101d36d</v>
      </c>
      <c r="C1105" s="2" t="str">
        <f>=HYPERLINK("https://pgy.xiaohongshu.com/solar/pre-trade/blogger-detail/5f41a82e000000000101d36d", "https://pgy.xiaohongshu.com/solar/pre-trade/blogger-detail/5f41a82e000000000101d36d")</f>
        <v>https://pgy.xiaohongshu.com/solar/pre-trade/blogger-detail/5f41a82e000000000101d36d</v>
      </c>
      <c r="D1105" t="inlineStr">
        <is>
          <t>女</t>
        </is>
      </c>
      <c r="E1105" t="inlineStr">
        <is>
          <t>397604071</t>
        </is>
      </c>
      <c r="F1105" t="inlineStr">
        <is>
          <t>No BS English</t>
        </is>
      </c>
      <c r="G1105" t="inlineStr">
        <is>
          <t>美国</t>
        </is>
      </c>
      <c r="H1105" t="inlineStr">
        <is>
          <t>留学背景, 海外华人</t>
        </is>
      </c>
      <c r="I1105" t="inlineStr">
        <is>
          <t>教育</t>
        </is>
      </c>
      <c r="J1105">
        <v>14827</v>
      </c>
      <c r="K1105" t="inlineStr">
        <is>
          <t>1.5</t>
        </is>
      </c>
      <c r="L1105">
        <v>12668</v>
      </c>
      <c r="M1105">
        <v>1413</v>
      </c>
      <c r="N1105">
        <v>117</v>
      </c>
      <c r="O1105">
        <v>2000</v>
      </c>
      <c r="P1105">
        <v>0</v>
      </c>
      <c r="Q1105">
        <v>0.332999999999999</v>
      </c>
      <c r="R1105">
        <v>12668</v>
      </c>
      <c r="S1105">
        <v>1413</v>
      </c>
      <c r="T1105">
        <v>108</v>
      </c>
      <c r="U1105">
        <v>1.72</v>
      </c>
      <c r="V1105">
        <v>2000</v>
      </c>
      <c r="W1105">
        <v>0.332999999999999</v>
      </c>
      <c r="X1105">
        <v>0</v>
      </c>
      <c r="Y1105">
        <v>157.89</v>
      </c>
      <c r="Z1105">
        <v>17.09</v>
      </c>
      <c r="AA1105">
        <v>0</v>
      </c>
      <c r="AB1105">
        <v>0</v>
      </c>
      <c r="AC1105">
        <v>0</v>
      </c>
      <c r="AD1105">
        <v>0</v>
      </c>
      <c r="AE1105">
        <v>5000</v>
      </c>
      <c r="AF1105">
        <v>0</v>
      </c>
      <c r="AG1105">
        <v>0</v>
      </c>
      <c r="AH1105">
        <v>0</v>
      </c>
      <c r="AI1105">
        <v>0</v>
      </c>
      <c r="AJ1105">
        <v>0</v>
      </c>
      <c r="AK1105">
        <v>0</v>
      </c>
      <c r="AL1105">
        <v>0</v>
      </c>
      <c r="AM1105">
        <v>0</v>
      </c>
      <c r="AN1105">
        <v>0</v>
      </c>
      <c r="AO1105">
        <v>0</v>
      </c>
      <c r="AP1105">
        <v>0.951</v>
      </c>
      <c r="AQ1105">
        <v>0.049</v>
      </c>
      <c r="AR1105">
        <v>0.036</v>
      </c>
      <c r="AS1105" s="3">
        <v>46107.77775462963</v>
      </c>
    </row>
    <row r="1106" ht="25.5" customHeight="1">
      <c r="A1106" t="inlineStr">
        <is>
          <t>5fe6b1e7000000000101edca</t>
        </is>
      </c>
      <c r="B1106" s="2" t="str">
        <f>=HYPERLINK("https://www.xiaohongshu.com/user/profile/5fe6b1e7000000000101edca", "https://www.xiaohongshu.com/user/profile/5fe6b1e7000000000101edca")</f>
        <v>https://www.xiaohongshu.com/user/profile/5fe6b1e7000000000101edca</v>
      </c>
      <c r="C1106" s="2" t="str">
        <f>=HYPERLINK("https://pgy.xiaohongshu.com/solar/pre-trade/blogger-detail/5fe6b1e7000000000101edca", "https://pgy.xiaohongshu.com/solar/pre-trade/blogger-detail/5fe6b1e7000000000101edca")</f>
        <v>https://pgy.xiaohongshu.com/solar/pre-trade/blogger-detail/5fe6b1e7000000000101edca</v>
      </c>
      <c r="D1106" t="inlineStr">
        <is>
          <t>男</t>
        </is>
      </c>
      <c r="E1106" t="inlineStr">
        <is>
          <t>1024630555</t>
        </is>
      </c>
      <c r="F1106" t="inlineStr">
        <is>
          <t>朱老师沪语CoolTalk</t>
        </is>
      </c>
      <c r="G1106" t="inlineStr">
        <is>
          <t>上海</t>
        </is>
      </c>
      <c r="H1106"/>
      <c r="I1106" t="inlineStr">
        <is>
          <t>教育</t>
        </is>
      </c>
      <c r="J1106">
        <v>28947</v>
      </c>
      <c r="K1106" t="inlineStr">
        <is>
          <t>2.9</t>
        </is>
      </c>
      <c r="L1106">
        <v>9396</v>
      </c>
      <c r="M1106">
        <v>2414</v>
      </c>
      <c r="N1106">
        <v>172</v>
      </c>
      <c r="O1106">
        <v>1000</v>
      </c>
      <c r="P1106">
        <v>0</v>
      </c>
      <c r="Q1106">
        <v>0.556</v>
      </c>
      <c r="R1106">
        <v>0</v>
      </c>
      <c r="S1106">
        <v>0</v>
      </c>
      <c r="T1106">
        <v>0</v>
      </c>
      <c r="U1106">
        <v>0</v>
      </c>
      <c r="V1106">
        <v>1000</v>
      </c>
      <c r="W1106">
        <v>0</v>
      </c>
      <c r="X1106">
        <v>0</v>
      </c>
      <c r="Y1106">
        <v>0</v>
      </c>
      <c r="Z1106">
        <v>0</v>
      </c>
      <c r="AA1106">
        <v>9396</v>
      </c>
      <c r="AB1106">
        <v>2414</v>
      </c>
      <c r="AC1106">
        <v>133</v>
      </c>
      <c r="AD1106">
        <v>2.54</v>
      </c>
      <c r="AE1106">
        <v>2500</v>
      </c>
      <c r="AF1106">
        <v>0.556</v>
      </c>
      <c r="AG1106">
        <v>0</v>
      </c>
      <c r="AH1106">
        <v>0.21</v>
      </c>
      <c r="AI1106">
        <v>266.07</v>
      </c>
      <c r="AJ1106">
        <v>14.53</v>
      </c>
      <c r="AK1106">
        <v>0</v>
      </c>
      <c r="AL1106">
        <v>0</v>
      </c>
      <c r="AM1106">
        <v>0</v>
      </c>
      <c r="AN1106">
        <v>0</v>
      </c>
      <c r="AO1106">
        <v>0</v>
      </c>
      <c r="AP1106">
        <v>0.956</v>
      </c>
      <c r="AQ1106">
        <v>0.026</v>
      </c>
      <c r="AR1106">
        <v>0.019</v>
      </c>
      <c r="AS1106" s="3">
        <v>46107.77775462963</v>
      </c>
    </row>
    <row r="1107" ht="25.5" customHeight="1">
      <c r="A1107" t="inlineStr">
        <is>
          <t>635684cf00000000180288f5</t>
        </is>
      </c>
      <c r="B1107" s="2" t="str">
        <f>=HYPERLINK("https://www.xiaohongshu.com/user/profile/635684cf00000000180288f5", "https://www.xiaohongshu.com/user/profile/635684cf00000000180288f5")</f>
        <v>https://www.xiaohongshu.com/user/profile/635684cf00000000180288f5</v>
      </c>
      <c r="C1107" s="2" t="str">
        <f>=HYPERLINK("https://pgy.xiaohongshu.com/solar/pre-trade/blogger-detail/635684cf00000000180288f5", "https://pgy.xiaohongshu.com/solar/pre-trade/blogger-detail/635684cf00000000180288f5")</f>
        <v>https://pgy.xiaohongshu.com/solar/pre-trade/blogger-detail/635684cf00000000180288f5</v>
      </c>
      <c r="D1107" t="inlineStr">
        <is>
          <t>女</t>
        </is>
      </c>
      <c r="E1107" t="inlineStr">
        <is>
          <t>3823444499</t>
        </is>
      </c>
      <c r="F1107" t="inlineStr">
        <is>
          <t>每天练习英语3分钟</t>
        </is>
      </c>
      <c r="G1107" t="inlineStr">
        <is>
          <t>福建 福州 晋安区</t>
        </is>
      </c>
      <c r="H1107"/>
      <c r="I1107" t="inlineStr">
        <is>
          <t>教育</t>
        </is>
      </c>
      <c r="J1107">
        <v>19118</v>
      </c>
      <c r="K1107" t="inlineStr">
        <is>
          <t>1.9</t>
        </is>
      </c>
      <c r="L1107">
        <v>9483</v>
      </c>
      <c r="M1107">
        <v>811</v>
      </c>
      <c r="N1107">
        <v>220</v>
      </c>
      <c r="O1107">
        <v>510</v>
      </c>
      <c r="P1107">
        <v>0</v>
      </c>
      <c r="Q1107">
        <v>0.5</v>
      </c>
      <c r="R1107">
        <v>9483</v>
      </c>
      <c r="S1107">
        <v>811</v>
      </c>
      <c r="T1107">
        <v>202</v>
      </c>
      <c r="U1107">
        <v>0.93</v>
      </c>
      <c r="V1107">
        <v>510</v>
      </c>
      <c r="W1107">
        <v>0.5</v>
      </c>
      <c r="X1107">
        <v>0</v>
      </c>
      <c r="Y1107">
        <v>53.78</v>
      </c>
      <c r="Z1107">
        <v>2.31</v>
      </c>
      <c r="AA1107">
        <v>0</v>
      </c>
      <c r="AB1107">
        <v>0</v>
      </c>
      <c r="AC1107">
        <v>0</v>
      </c>
      <c r="AD1107">
        <v>0</v>
      </c>
      <c r="AE1107">
        <v>2394</v>
      </c>
      <c r="AF1107">
        <v>0</v>
      </c>
      <c r="AG1107">
        <v>0</v>
      </c>
      <c r="AH1107">
        <v>0</v>
      </c>
      <c r="AI1107">
        <v>0</v>
      </c>
      <c r="AJ1107">
        <v>0</v>
      </c>
      <c r="AK1107">
        <v>0</v>
      </c>
      <c r="AL1107">
        <v>0</v>
      </c>
      <c r="AM1107">
        <v>0</v>
      </c>
      <c r="AN1107">
        <v>0</v>
      </c>
      <c r="AO1107">
        <v>0</v>
      </c>
      <c r="AP1107">
        <v>0.875999999999999</v>
      </c>
      <c r="AQ1107">
        <v>0.02</v>
      </c>
      <c r="AR1107">
        <v>0.011</v>
      </c>
      <c r="AS1107" s="3">
        <v>46107.77775462963</v>
      </c>
    </row>
    <row r="1108" ht="25.5" customHeight="1">
      <c r="A1108" t="inlineStr">
        <is>
          <t>60c750610000000001008a03</t>
        </is>
      </c>
      <c r="B1108" s="2" t="str">
        <f>=HYPERLINK("https://www.xiaohongshu.com/user/profile/60c750610000000001008a03", "https://www.xiaohongshu.com/user/profile/60c750610000000001008a03")</f>
        <v>https://www.xiaohongshu.com/user/profile/60c750610000000001008a03</v>
      </c>
      <c r="C1108" s="2" t="str">
        <f>=HYPERLINK("https://pgy.xiaohongshu.com/solar/pre-trade/blogger-detail/60c750610000000001008a03", "https://pgy.xiaohongshu.com/solar/pre-trade/blogger-detail/60c750610000000001008a03")</f>
        <v>https://pgy.xiaohongshu.com/solar/pre-trade/blogger-detail/60c750610000000001008a03</v>
      </c>
      <c r="D1108" t="inlineStr">
        <is>
          <t>女</t>
        </is>
      </c>
      <c r="E1108" t="inlineStr">
        <is>
          <t>abcd77777777</t>
        </is>
      </c>
      <c r="F1108" t="inlineStr">
        <is>
          <t>专升本心理甜甜老师</t>
        </is>
      </c>
      <c r="G1108" t="inlineStr">
        <is>
          <t>河南 郑州 管城回族区</t>
        </is>
      </c>
      <c r="H1108"/>
      <c r="I1108" t="inlineStr">
        <is>
          <t>教育</t>
        </is>
      </c>
      <c r="J1108">
        <v>1596</v>
      </c>
      <c r="K1108" t="inlineStr">
        <is>
          <t>0.2</t>
        </is>
      </c>
      <c r="L1108">
        <v>5847</v>
      </c>
      <c r="M1108">
        <v>1346</v>
      </c>
      <c r="N1108">
        <v>171</v>
      </c>
      <c r="O1108">
        <v>200</v>
      </c>
      <c r="P1108">
        <v>0</v>
      </c>
      <c r="Q1108">
        <v>0.5</v>
      </c>
      <c r="R1108">
        <v>5847</v>
      </c>
      <c r="S1108">
        <v>1346</v>
      </c>
      <c r="T1108">
        <v>152</v>
      </c>
      <c r="U1108">
        <v>0.45</v>
      </c>
      <c r="V1108">
        <v>200</v>
      </c>
      <c r="W1108">
        <v>0.5</v>
      </c>
      <c r="X1108">
        <v>0</v>
      </c>
      <c r="Y1108">
        <v>34.2</v>
      </c>
      <c r="Z1108">
        <v>1.17</v>
      </c>
      <c r="AA1108">
        <v>0</v>
      </c>
      <c r="AB1108">
        <v>0</v>
      </c>
      <c r="AC1108">
        <v>0</v>
      </c>
      <c r="AD1108">
        <v>0</v>
      </c>
      <c r="AE1108">
        <v>200</v>
      </c>
      <c r="AF1108">
        <v>0</v>
      </c>
      <c r="AG1108">
        <v>0</v>
      </c>
      <c r="AH1108">
        <v>0</v>
      </c>
      <c r="AI1108">
        <v>0</v>
      </c>
      <c r="AJ1108">
        <v>0</v>
      </c>
      <c r="AK1108">
        <v>0</v>
      </c>
      <c r="AL1108">
        <v>0</v>
      </c>
      <c r="AM1108">
        <v>0</v>
      </c>
      <c r="AN1108">
        <v>0</v>
      </c>
      <c r="AO1108">
        <v>0</v>
      </c>
      <c r="AP1108">
        <v>0.775999999999999</v>
      </c>
      <c r="AQ1108">
        <v>0.102</v>
      </c>
      <c r="AR1108">
        <v>0.088</v>
      </c>
      <c r="AS1108" s="3">
        <v>46107.77775462963</v>
      </c>
    </row>
    <row r="1109" ht="25.5" customHeight="1">
      <c r="A1109" t="inlineStr">
        <is>
          <t>64f4ba550000000004024845</t>
        </is>
      </c>
      <c r="B1109" s="2" t="str">
        <f>=HYPERLINK("https://www.xiaohongshu.com/user/profile/64f4ba550000000004024845", "https://www.xiaohongshu.com/user/profile/64f4ba550000000004024845")</f>
        <v>https://www.xiaohongshu.com/user/profile/64f4ba550000000004024845</v>
      </c>
      <c r="C1109" s="2" t="str">
        <f>=HYPERLINK("https://pgy.xiaohongshu.com/solar/pre-trade/blogger-detail/64f4ba550000000004024845", "https://pgy.xiaohongshu.com/solar/pre-trade/blogger-detail/64f4ba550000000004024845")</f>
        <v>https://pgy.xiaohongshu.com/solar/pre-trade/blogger-detail/64f4ba550000000004024845</v>
      </c>
      <c r="D1109" t="inlineStr">
        <is>
          <t>女</t>
        </is>
      </c>
      <c r="E1109" t="inlineStr">
        <is>
          <t>zyj18338795872</t>
        </is>
      </c>
      <c r="F1109" t="inlineStr">
        <is>
          <t>嘎嘎哩嘎嘎</t>
        </is>
      </c>
      <c r="G1109" t="inlineStr">
        <is>
          <t>山东 德州 夏津县</t>
        </is>
      </c>
      <c r="H1109"/>
      <c r="I1109"/>
      <c r="J1109">
        <v>5531</v>
      </c>
      <c r="K1109" t="inlineStr">
        <is>
          <t>0.6</t>
        </is>
      </c>
      <c r="L1109">
        <v>5260</v>
      </c>
      <c r="M1109">
        <v>1379</v>
      </c>
      <c r="N1109">
        <v>303</v>
      </c>
      <c r="O1109">
        <v>150</v>
      </c>
      <c r="P1109">
        <v>0</v>
      </c>
      <c r="Q1109">
        <v>0.5</v>
      </c>
      <c r="R1109">
        <v>5260</v>
      </c>
      <c r="S1109">
        <v>1379</v>
      </c>
      <c r="T1109">
        <v>168</v>
      </c>
      <c r="U1109">
        <v>0.41</v>
      </c>
      <c r="V1109">
        <v>150</v>
      </c>
      <c r="W1109">
        <v>0.5</v>
      </c>
      <c r="X1109">
        <v>0</v>
      </c>
      <c r="Y1109">
        <v>28.52</v>
      </c>
      <c r="Z1109">
        <v>0.5</v>
      </c>
      <c r="AA1109">
        <v>0</v>
      </c>
      <c r="AB1109">
        <v>0</v>
      </c>
      <c r="AC1109">
        <v>0</v>
      </c>
      <c r="AD1109">
        <v>0</v>
      </c>
      <c r="AE1109">
        <v>0</v>
      </c>
      <c r="AF1109">
        <v>0</v>
      </c>
      <c r="AG1109">
        <v>0</v>
      </c>
      <c r="AH1109">
        <v>0</v>
      </c>
      <c r="AI1109">
        <v>0</v>
      </c>
      <c r="AJ1109">
        <v>0</v>
      </c>
      <c r="AK1109">
        <v>0</v>
      </c>
      <c r="AL1109">
        <v>0</v>
      </c>
      <c r="AM1109">
        <v>0</v>
      </c>
      <c r="AN1109">
        <v>0</v>
      </c>
      <c r="AO1109">
        <v>0</v>
      </c>
      <c r="AP1109">
        <v>0.807</v>
      </c>
      <c r="AQ1109">
        <v>0.049</v>
      </c>
      <c r="AR1109">
        <v>0.034</v>
      </c>
      <c r="AS1109" s="3">
        <v>46107.77775462963</v>
      </c>
    </row>
    <row r="1110" ht="25.5" customHeight="1">
      <c r="A1110" t="inlineStr">
        <is>
          <t>665d34020000000007007418</t>
        </is>
      </c>
      <c r="B1110" s="2" t="str">
        <f>=HYPERLINK("https://www.xiaohongshu.com/user/profile/665d34020000000007007418", "https://www.xiaohongshu.com/user/profile/665d34020000000007007418")</f>
        <v>https://www.xiaohongshu.com/user/profile/665d34020000000007007418</v>
      </c>
      <c r="C1110" s="2" t="str">
        <f>=HYPERLINK("https://pgy.xiaohongshu.com/solar/pre-trade/blogger-detail/665d34020000000007007418", "https://pgy.xiaohongshu.com/solar/pre-trade/blogger-detail/665d34020000000007007418")</f>
        <v>https://pgy.xiaohongshu.com/solar/pre-trade/blogger-detail/665d34020000000007007418</v>
      </c>
      <c r="D1110" t="inlineStr">
        <is>
          <t>男</t>
        </is>
      </c>
      <c r="E1110" t="inlineStr">
        <is>
          <t>11678731001</t>
        </is>
      </c>
      <c r="F1110" t="inlineStr">
        <is>
          <t>Lee</t>
        </is>
      </c>
      <c r="G1110" t="inlineStr">
        <is>
          <t>广东 佛山 禅城区</t>
        </is>
      </c>
      <c r="H1110" t="inlineStr">
        <is>
          <t>运动员</t>
        </is>
      </c>
      <c r="I1110" t="inlineStr">
        <is>
          <t>教育</t>
        </is>
      </c>
      <c r="J1110">
        <v>2539</v>
      </c>
      <c r="K1110" t="inlineStr">
        <is>
          <t>0.3</t>
        </is>
      </c>
      <c r="L1110">
        <v>2152</v>
      </c>
      <c r="M1110">
        <v>1337</v>
      </c>
      <c r="N1110">
        <v>237</v>
      </c>
      <c r="O1110">
        <v>300</v>
      </c>
      <c r="P1110">
        <v>0.067</v>
      </c>
      <c r="Q1110">
        <v>0.6</v>
      </c>
      <c r="R1110">
        <v>0</v>
      </c>
      <c r="S1110">
        <v>0</v>
      </c>
      <c r="T1110">
        <v>0</v>
      </c>
      <c r="U1110">
        <v>0</v>
      </c>
      <c r="V1110">
        <v>0</v>
      </c>
      <c r="W1110">
        <v>0</v>
      </c>
      <c r="X1110">
        <v>0</v>
      </c>
      <c r="Y1110">
        <v>0</v>
      </c>
      <c r="Z1110">
        <v>0</v>
      </c>
      <c r="AA1110">
        <v>2152</v>
      </c>
      <c r="AB1110">
        <v>1337</v>
      </c>
      <c r="AC1110">
        <v>201</v>
      </c>
      <c r="AD1110">
        <v>1.72</v>
      </c>
      <c r="AE1110">
        <v>300</v>
      </c>
      <c r="AF1110">
        <v>0.6</v>
      </c>
      <c r="AG1110">
        <v>0.067</v>
      </c>
      <c r="AH1110">
        <v>0.208</v>
      </c>
      <c r="AI1110">
        <v>139.41</v>
      </c>
      <c r="AJ1110">
        <v>1.27</v>
      </c>
      <c r="AK1110">
        <v>0</v>
      </c>
      <c r="AL1110">
        <v>0</v>
      </c>
      <c r="AM1110">
        <v>0</v>
      </c>
      <c r="AN1110">
        <v>0</v>
      </c>
      <c r="AO1110">
        <v>0</v>
      </c>
      <c r="AP1110">
        <v>0.963</v>
      </c>
      <c r="AQ1110">
        <v>0.233</v>
      </c>
      <c r="AR1110">
        <v>0</v>
      </c>
      <c r="AS1110" s="3">
        <v>46107.77775462963</v>
      </c>
    </row>
    <row r="1111" ht="25.5" customHeight="1">
      <c r="A1111" t="inlineStr">
        <is>
          <t>5d72677b0000000001001b8f</t>
        </is>
      </c>
      <c r="B1111" s="2" t="str">
        <f>=HYPERLINK("https://www.xiaohongshu.com/user/profile/5d72677b0000000001001b8f", "https://www.xiaohongshu.com/user/profile/5d72677b0000000001001b8f")</f>
        <v>https://www.xiaohongshu.com/user/profile/5d72677b0000000001001b8f</v>
      </c>
      <c r="C1111" s="2" t="str">
        <f>=HYPERLINK("https://pgy.xiaohongshu.com/solar/pre-trade/blogger-detail/5d72677b0000000001001b8f", "https://pgy.xiaohongshu.com/solar/pre-trade/blogger-detail/5d72677b0000000001001b8f")</f>
        <v>https://pgy.xiaohongshu.com/solar/pre-trade/blogger-detail/5d72677b0000000001001b8f</v>
      </c>
      <c r="D1111" t="inlineStr">
        <is>
          <t>男</t>
        </is>
      </c>
      <c r="E1111" t="inlineStr">
        <is>
          <t>Facee7</t>
        </is>
      </c>
      <c r="F1111" t="inlineStr">
        <is>
          <t>甜肥圆</t>
        </is>
      </c>
      <c r="G1111" t="inlineStr">
        <is>
          <t>湖北 武汉 武昌区</t>
        </is>
      </c>
      <c r="H1111" t="inlineStr">
        <is>
          <t>创业者</t>
        </is>
      </c>
      <c r="I1111" t="inlineStr">
        <is>
          <t>教育</t>
        </is>
      </c>
      <c r="J1111">
        <v>1857</v>
      </c>
      <c r="K1111" t="inlineStr">
        <is>
          <t>0.2</t>
        </is>
      </c>
      <c r="L1111">
        <v>7171</v>
      </c>
      <c r="M1111">
        <v>1883</v>
      </c>
      <c r="N1111">
        <v>312</v>
      </c>
      <c r="O1111">
        <v>180</v>
      </c>
      <c r="P1111">
        <v>0</v>
      </c>
      <c r="Q1111">
        <v>0.667</v>
      </c>
      <c r="R1111">
        <v>1645</v>
      </c>
      <c r="S1111">
        <v>139</v>
      </c>
      <c r="T1111">
        <v>5</v>
      </c>
      <c r="U1111">
        <v>1.59</v>
      </c>
      <c r="V1111">
        <v>180</v>
      </c>
      <c r="W1111">
        <v>0</v>
      </c>
      <c r="X1111">
        <v>0</v>
      </c>
      <c r="Y1111">
        <v>109.42</v>
      </c>
      <c r="Z1111">
        <v>30</v>
      </c>
      <c r="AA1111">
        <v>14244</v>
      </c>
      <c r="AB1111">
        <v>2588</v>
      </c>
      <c r="AC1111">
        <v>350</v>
      </c>
      <c r="AD1111">
        <v>1.62</v>
      </c>
      <c r="AE1111">
        <v>300</v>
      </c>
      <c r="AF1111">
        <v>1</v>
      </c>
      <c r="AG1111">
        <v>0</v>
      </c>
      <c r="AH1111">
        <v>0.026</v>
      </c>
      <c r="AI1111">
        <v>21.06</v>
      </c>
      <c r="AJ1111">
        <v>0.63</v>
      </c>
      <c r="AK1111">
        <v>0</v>
      </c>
      <c r="AL1111">
        <v>0</v>
      </c>
      <c r="AM1111">
        <v>0</v>
      </c>
      <c r="AN1111">
        <v>0</v>
      </c>
      <c r="AO1111">
        <v>0</v>
      </c>
      <c r="AP1111">
        <v>0.902</v>
      </c>
      <c r="AQ1111">
        <v>0.074</v>
      </c>
      <c r="AR1111">
        <v>0.133</v>
      </c>
      <c r="AS1111" s="3">
        <v>46107.77775462963</v>
      </c>
    </row>
    <row r="1112" ht="25.5" customHeight="1">
      <c r="A1112" t="inlineStr">
        <is>
          <t>5b442e54e8ac2b2988e4d47f</t>
        </is>
      </c>
      <c r="B1112" s="2" t="str">
        <f>=HYPERLINK("https://www.xiaohongshu.com/user/profile/5b442e54e8ac2b2988e4d47f", "https://www.xiaohongshu.com/user/profile/5b442e54e8ac2b2988e4d47f")</f>
        <v>https://www.xiaohongshu.com/user/profile/5b442e54e8ac2b2988e4d47f</v>
      </c>
      <c r="C1112" s="2" t="str">
        <f>=HYPERLINK("https://pgy.xiaohongshu.com/solar/pre-trade/blogger-detail/5b442e54e8ac2b2988e4d47f", "https://pgy.xiaohongshu.com/solar/pre-trade/blogger-detail/5b442e54e8ac2b2988e4d47f")</f>
        <v>https://pgy.xiaohongshu.com/solar/pre-trade/blogger-detail/5b442e54e8ac2b2988e4d47f</v>
      </c>
      <c r="D1112" t="inlineStr">
        <is>
          <t>男</t>
        </is>
      </c>
      <c r="E1112" t="inlineStr">
        <is>
          <t>631851033</t>
        </is>
      </c>
      <c r="F1112" t="inlineStr">
        <is>
          <t>bruce（博士毕业中）</t>
        </is>
      </c>
      <c r="G1112" t="inlineStr">
        <is>
          <t>四川 眉山 东坡区</t>
        </is>
      </c>
      <c r="H1112"/>
      <c r="I1112" t="inlineStr">
        <is>
          <t>职场, 教育</t>
        </is>
      </c>
      <c r="J1112">
        <v>2587</v>
      </c>
      <c r="K1112" t="inlineStr">
        <is>
          <t>0.3</t>
        </is>
      </c>
      <c r="L1112">
        <v>31016</v>
      </c>
      <c r="M1112">
        <v>7933</v>
      </c>
      <c r="N1112">
        <v>574</v>
      </c>
      <c r="O1112">
        <v>228</v>
      </c>
      <c r="P1112">
        <v>0</v>
      </c>
      <c r="Q1112">
        <v>0.5</v>
      </c>
      <c r="R1112">
        <v>31016</v>
      </c>
      <c r="S1112">
        <v>7933</v>
      </c>
      <c r="T1112">
        <v>558</v>
      </c>
      <c r="U1112">
        <v>0.33</v>
      </c>
      <c r="V1112">
        <v>228</v>
      </c>
      <c r="W1112">
        <v>0.5</v>
      </c>
      <c r="X1112">
        <v>0</v>
      </c>
      <c r="Y1112">
        <v>7.35</v>
      </c>
      <c r="Z1112">
        <v>0.4</v>
      </c>
      <c r="AA1112">
        <v>0</v>
      </c>
      <c r="AB1112">
        <v>0</v>
      </c>
      <c r="AC1112">
        <v>0</v>
      </c>
      <c r="AD1112">
        <v>0</v>
      </c>
      <c r="AE1112">
        <v>369</v>
      </c>
      <c r="AF1112">
        <v>0</v>
      </c>
      <c r="AG1112">
        <v>0</v>
      </c>
      <c r="AH1112">
        <v>0</v>
      </c>
      <c r="AI1112">
        <v>0</v>
      </c>
      <c r="AJ1112">
        <v>0</v>
      </c>
      <c r="AK1112">
        <v>0</v>
      </c>
      <c r="AL1112">
        <v>0</v>
      </c>
      <c r="AM1112">
        <v>0</v>
      </c>
      <c r="AN1112">
        <v>0</v>
      </c>
      <c r="AO1112">
        <v>0</v>
      </c>
      <c r="AP1112">
        <v>0.864</v>
      </c>
      <c r="AQ1112">
        <v>0.045</v>
      </c>
      <c r="AR1112">
        <v>0.021</v>
      </c>
      <c r="AS1112" s="3">
        <v>46107.77775462963</v>
      </c>
    </row>
    <row r="1113" ht="25.5" customHeight="1">
      <c r="A1113" t="inlineStr">
        <is>
          <t>60660b800000000001001d68</t>
        </is>
      </c>
      <c r="B1113" s="2" t="str">
        <f>=HYPERLINK("https://www.xiaohongshu.com/user/profile/60660b800000000001001d68", "https://www.xiaohongshu.com/user/profile/60660b800000000001001d68")</f>
        <v>https://www.xiaohongshu.com/user/profile/60660b800000000001001d68</v>
      </c>
      <c r="C1113" s="2" t="str">
        <f>=HYPERLINK("https://pgy.xiaohongshu.com/solar/pre-trade/blogger-detail/60660b800000000001001d68", "https://pgy.xiaohongshu.com/solar/pre-trade/blogger-detail/60660b800000000001001d68")</f>
        <v>https://pgy.xiaohongshu.com/solar/pre-trade/blogger-detail/60660b800000000001001d68</v>
      </c>
      <c r="D1113" t="inlineStr">
        <is>
          <t>男</t>
        </is>
      </c>
      <c r="E1113" t="inlineStr">
        <is>
          <t>2655413384</t>
        </is>
      </c>
      <c r="F1113" t="inlineStr">
        <is>
          <t>懒羊羊</t>
        </is>
      </c>
      <c r="G1113" t="inlineStr">
        <is>
          <t>江苏 苏州 苏州工业园区</t>
        </is>
      </c>
      <c r="H1113"/>
      <c r="I1113" t="inlineStr">
        <is>
          <t>教育</t>
        </is>
      </c>
      <c r="J1113">
        <v>1897</v>
      </c>
      <c r="K1113" t="inlineStr">
        <is>
          <t>0.2</t>
        </is>
      </c>
      <c r="L1113">
        <v>19981</v>
      </c>
      <c r="M1113">
        <v>5458</v>
      </c>
      <c r="N1113">
        <v>132</v>
      </c>
      <c r="O1113">
        <v>200</v>
      </c>
      <c r="P1113">
        <v>0</v>
      </c>
      <c r="Q1113">
        <v>0</v>
      </c>
      <c r="R1113">
        <v>19981</v>
      </c>
      <c r="S1113">
        <v>5458</v>
      </c>
      <c r="T1113">
        <v>73</v>
      </c>
      <c r="U1113">
        <v>0.34</v>
      </c>
      <c r="V1113">
        <v>200</v>
      </c>
      <c r="W1113">
        <v>0</v>
      </c>
      <c r="X1113">
        <v>0</v>
      </c>
      <c r="Y1113">
        <v>10.01</v>
      </c>
      <c r="Z1113">
        <v>1.52</v>
      </c>
      <c r="AA1113">
        <v>0</v>
      </c>
      <c r="AB1113">
        <v>0</v>
      </c>
      <c r="AC1113">
        <v>0</v>
      </c>
      <c r="AD1113">
        <v>0</v>
      </c>
      <c r="AE1113">
        <v>300</v>
      </c>
      <c r="AF1113">
        <v>0</v>
      </c>
      <c r="AG1113">
        <v>0</v>
      </c>
      <c r="AH1113">
        <v>0</v>
      </c>
      <c r="AI1113">
        <v>0</v>
      </c>
      <c r="AJ1113">
        <v>0</v>
      </c>
      <c r="AK1113">
        <v>0</v>
      </c>
      <c r="AL1113">
        <v>0</v>
      </c>
      <c r="AM1113">
        <v>0</v>
      </c>
      <c r="AN1113">
        <v>0</v>
      </c>
      <c r="AO1113">
        <v>0</v>
      </c>
      <c r="AP1113">
        <v>0.910999999999999</v>
      </c>
      <c r="AQ1113">
        <v>0.079</v>
      </c>
      <c r="AR1113">
        <v>0.231</v>
      </c>
      <c r="AS1113" s="3">
        <v>46107.77775462963</v>
      </c>
    </row>
    <row r="1114" ht="25.5" customHeight="1">
      <c r="A1114" t="inlineStr">
        <is>
          <t>5fc8f8e8000000000100451b</t>
        </is>
      </c>
      <c r="B1114" s="2" t="str">
        <f>=HYPERLINK("https://www.xiaohongshu.com/user/profile/5fc8f8e8000000000100451b", "https://www.xiaohongshu.com/user/profile/5fc8f8e8000000000100451b")</f>
        <v>https://www.xiaohongshu.com/user/profile/5fc8f8e8000000000100451b</v>
      </c>
      <c r="C1114" s="2" t="str">
        <f>=HYPERLINK("https://pgy.xiaohongshu.com/solar/pre-trade/blogger-detail/5fc8f8e8000000000100451b", "https://pgy.xiaohongshu.com/solar/pre-trade/blogger-detail/5fc8f8e8000000000100451b")</f>
        <v>https://pgy.xiaohongshu.com/solar/pre-trade/blogger-detail/5fc8f8e8000000000100451b</v>
      </c>
      <c r="D1114" t="inlineStr">
        <is>
          <t>男</t>
        </is>
      </c>
      <c r="E1114" t="inlineStr">
        <is>
          <t>king271</t>
        </is>
      </c>
      <c r="F1114" t="inlineStr">
        <is>
          <t>周kinn今天在学习</t>
        </is>
      </c>
      <c r="G1114" t="inlineStr">
        <is>
          <t>新加坡</t>
        </is>
      </c>
      <c r="H1114" t="inlineStr">
        <is>
          <t>留学背景</t>
        </is>
      </c>
      <c r="I1114" t="inlineStr">
        <is>
          <t>教育</t>
        </is>
      </c>
      <c r="J1114">
        <v>7125</v>
      </c>
      <c r="K1114" t="inlineStr">
        <is>
          <t>0.7</t>
        </is>
      </c>
      <c r="L1114">
        <v>5130</v>
      </c>
      <c r="M1114">
        <v>1458</v>
      </c>
      <c r="N1114">
        <v>190</v>
      </c>
      <c r="O1114">
        <v>800</v>
      </c>
      <c r="P1114">
        <v>0.25</v>
      </c>
      <c r="Q1114">
        <v>0.5</v>
      </c>
      <c r="R1114">
        <v>3499</v>
      </c>
      <c r="S1114">
        <v>323</v>
      </c>
      <c r="T1114">
        <v>27</v>
      </c>
      <c r="U1114">
        <v>2.78</v>
      </c>
      <c r="V1114">
        <v>800</v>
      </c>
      <c r="W1114">
        <v>0</v>
      </c>
      <c r="X1114">
        <v>0</v>
      </c>
      <c r="Y1114">
        <v>228.64</v>
      </c>
      <c r="Z1114">
        <v>27.59</v>
      </c>
      <c r="AA1114">
        <v>5790</v>
      </c>
      <c r="AB1114">
        <v>2049</v>
      </c>
      <c r="AC1114">
        <v>303</v>
      </c>
      <c r="AD1114">
        <v>1.99</v>
      </c>
      <c r="AE1114">
        <v>1000</v>
      </c>
      <c r="AF1114">
        <v>0.667</v>
      </c>
      <c r="AG1114">
        <v>0.332999999999999</v>
      </c>
      <c r="AH1114">
        <v>0.074</v>
      </c>
      <c r="AI1114">
        <v>172.71</v>
      </c>
      <c r="AJ1114">
        <v>3.04</v>
      </c>
      <c r="AK1114">
        <v>0</v>
      </c>
      <c r="AL1114">
        <v>0</v>
      </c>
      <c r="AM1114">
        <v>0</v>
      </c>
      <c r="AN1114">
        <v>0</v>
      </c>
      <c r="AO1114">
        <v>0</v>
      </c>
      <c r="AP1114">
        <v>0.84</v>
      </c>
      <c r="AQ1114">
        <v>0.04</v>
      </c>
      <c r="AR1114">
        <v>0.035</v>
      </c>
      <c r="AS1114" s="3">
        <v>46107.77775462963</v>
      </c>
    </row>
    <row r="1115" ht="25.5" customHeight="1">
      <c r="A1115" t="inlineStr">
        <is>
          <t>5c277ffc000000000701b674</t>
        </is>
      </c>
      <c r="B1115" s="2" t="str">
        <f>=HYPERLINK("https://www.xiaohongshu.com/user/profile/5c277ffc000000000701b674", "https://www.xiaohongshu.com/user/profile/5c277ffc000000000701b674")</f>
        <v>https://www.xiaohongshu.com/user/profile/5c277ffc000000000701b674</v>
      </c>
      <c r="C1115" s="2" t="str">
        <f>=HYPERLINK("https://pgy.xiaohongshu.com/solar/pre-trade/blogger-detail/5c277ffc000000000701b674", "https://pgy.xiaohongshu.com/solar/pre-trade/blogger-detail/5c277ffc000000000701b674")</f>
        <v>https://pgy.xiaohongshu.com/solar/pre-trade/blogger-detail/5c277ffc000000000701b674</v>
      </c>
      <c r="D1115" t="inlineStr">
        <is>
          <t>男</t>
        </is>
      </c>
      <c r="E1115" t="inlineStr">
        <is>
          <t>JonathonYan_</t>
        </is>
      </c>
      <c r="F1115" t="inlineStr">
        <is>
          <t>等等Eden</t>
        </is>
      </c>
      <c r="G1115" t="inlineStr">
        <is>
          <t>福建 厦门 湖里区</t>
        </is>
      </c>
      <c r="H1115"/>
      <c r="I1115" t="inlineStr">
        <is>
          <t>教育</t>
        </is>
      </c>
      <c r="J1115">
        <v>26882</v>
      </c>
      <c r="K1115" t="inlineStr">
        <is>
          <t>2.7</t>
        </is>
      </c>
      <c r="L1115">
        <v>5078</v>
      </c>
      <c r="M1115">
        <v>1463</v>
      </c>
      <c r="N1115">
        <v>101</v>
      </c>
      <c r="O1115">
        <v>2000</v>
      </c>
      <c r="P1115">
        <v>0</v>
      </c>
      <c r="Q1115">
        <v>0.5</v>
      </c>
      <c r="R1115">
        <v>0</v>
      </c>
      <c r="S1115">
        <v>0</v>
      </c>
      <c r="T1115">
        <v>0</v>
      </c>
      <c r="U1115">
        <v>0</v>
      </c>
      <c r="V1115">
        <v>2000</v>
      </c>
      <c r="W1115">
        <v>0</v>
      </c>
      <c r="X1115">
        <v>0</v>
      </c>
      <c r="Y1115">
        <v>0</v>
      </c>
      <c r="Z1115">
        <v>0</v>
      </c>
      <c r="AA1115">
        <v>5078</v>
      </c>
      <c r="AB1115">
        <v>1463</v>
      </c>
      <c r="AC1115">
        <v>83</v>
      </c>
      <c r="AD1115">
        <v>3.89</v>
      </c>
      <c r="AE1115">
        <v>3500</v>
      </c>
      <c r="AF1115">
        <v>0.5</v>
      </c>
      <c r="AG1115">
        <v>0</v>
      </c>
      <c r="AH1115">
        <v>0.094</v>
      </c>
      <c r="AI1115">
        <v>689.18</v>
      </c>
      <c r="AJ1115">
        <v>34.65</v>
      </c>
      <c r="AK1115">
        <v>0</v>
      </c>
      <c r="AL1115">
        <v>0</v>
      </c>
      <c r="AM1115">
        <v>0</v>
      </c>
      <c r="AN1115">
        <v>0</v>
      </c>
      <c r="AO1115">
        <v>0</v>
      </c>
      <c r="AP1115">
        <v>0.884</v>
      </c>
      <c r="AQ1115">
        <v>0.009</v>
      </c>
      <c r="AR1115">
        <v>-0.005</v>
      </c>
      <c r="AS1115" s="3">
        <v>46107.77775462963</v>
      </c>
    </row>
    <row r="1116" ht="25.5" customHeight="1">
      <c r="A1116" t="inlineStr">
        <is>
          <t>63cd2f570000000026011db9</t>
        </is>
      </c>
      <c r="B1116" s="2" t="str">
        <f>=HYPERLINK("https://www.xiaohongshu.com/user/profile/63cd2f570000000026011db9", "https://www.xiaohongshu.com/user/profile/63cd2f570000000026011db9")</f>
        <v>https://www.xiaohongshu.com/user/profile/63cd2f570000000026011db9</v>
      </c>
      <c r="C1116" s="2" t="str">
        <f>=HYPERLINK("https://pgy.xiaohongshu.com/solar/pre-trade/blogger-detail/63cd2f570000000026011db9", "https://pgy.xiaohongshu.com/solar/pre-trade/blogger-detail/63cd2f570000000026011db9")</f>
        <v>https://pgy.xiaohongshu.com/solar/pre-trade/blogger-detail/63cd2f570000000026011db9</v>
      </c>
      <c r="D1116" t="inlineStr">
        <is>
          <t>女</t>
        </is>
      </c>
      <c r="E1116" t="inlineStr">
        <is>
          <t>5041034245</t>
        </is>
      </c>
      <c r="F1116" t="inlineStr">
        <is>
          <t>Ace羊羊学英语</t>
        </is>
      </c>
      <c r="G1116" t="inlineStr">
        <is>
          <t>广东 深圳 龙华区</t>
        </is>
      </c>
      <c r="H1116"/>
      <c r="I1116" t="inlineStr">
        <is>
          <t>教育</t>
        </is>
      </c>
      <c r="J1116">
        <v>3029</v>
      </c>
      <c r="K1116" t="inlineStr">
        <is>
          <t>0.3</t>
        </is>
      </c>
      <c r="L1116">
        <v>1605</v>
      </c>
      <c r="M1116">
        <v>1173</v>
      </c>
      <c r="N1116">
        <v>132</v>
      </c>
      <c r="O1116">
        <v>119</v>
      </c>
      <c r="P1116">
        <v>0.038</v>
      </c>
      <c r="Q1116">
        <v>0.077</v>
      </c>
      <c r="R1116">
        <v>0</v>
      </c>
      <c r="S1116">
        <v>0</v>
      </c>
      <c r="T1116">
        <v>0</v>
      </c>
      <c r="U1116">
        <v>0</v>
      </c>
      <c r="V1116">
        <v>119</v>
      </c>
      <c r="W1116">
        <v>0</v>
      </c>
      <c r="X1116">
        <v>0</v>
      </c>
      <c r="Y1116">
        <v>0</v>
      </c>
      <c r="Z1116">
        <v>0</v>
      </c>
      <c r="AA1116">
        <v>1605</v>
      </c>
      <c r="AB1116">
        <v>1173</v>
      </c>
      <c r="AC1116">
        <v>105</v>
      </c>
      <c r="AD1116">
        <v>1.84</v>
      </c>
      <c r="AE1116">
        <v>399</v>
      </c>
      <c r="AF1116">
        <v>0.077</v>
      </c>
      <c r="AG1116">
        <v>0.038</v>
      </c>
      <c r="AH1116">
        <v>0.26</v>
      </c>
      <c r="AI1116">
        <v>248.52</v>
      </c>
      <c r="AJ1116">
        <v>3.02</v>
      </c>
      <c r="AK1116">
        <v>0</v>
      </c>
      <c r="AL1116">
        <v>0</v>
      </c>
      <c r="AM1116">
        <v>0</v>
      </c>
      <c r="AN1116">
        <v>0</v>
      </c>
      <c r="AO1116">
        <v>0</v>
      </c>
      <c r="AP1116">
        <v>0.991</v>
      </c>
      <c r="AQ1116">
        <v>0.215</v>
      </c>
      <c r="AR1116">
        <v>0</v>
      </c>
      <c r="AS1116" s="3">
        <v>46107.77775462963</v>
      </c>
    </row>
    <row r="1117" ht="25.5" customHeight="1">
      <c r="A1117" t="inlineStr">
        <is>
          <t>5976f24d50c4b476593e55a4</t>
        </is>
      </c>
      <c r="B1117" s="2" t="str">
        <f>=HYPERLINK("https://www.xiaohongshu.com/user/profile/5976f24d50c4b476593e55a4", "https://www.xiaohongshu.com/user/profile/5976f24d50c4b476593e55a4")</f>
        <v>https://www.xiaohongshu.com/user/profile/5976f24d50c4b476593e55a4</v>
      </c>
      <c r="C1117" s="2" t="str">
        <f>=HYPERLINK("https://pgy.xiaohongshu.com/solar/pre-trade/blogger-detail/5976f24d50c4b476593e55a4", "https://pgy.xiaohongshu.com/solar/pre-trade/blogger-detail/5976f24d50c4b476593e55a4")</f>
        <v>https://pgy.xiaohongshu.com/solar/pre-trade/blogger-detail/5976f24d50c4b476593e55a4</v>
      </c>
      <c r="D1117" t="inlineStr">
        <is>
          <t>女</t>
        </is>
      </c>
      <c r="E1117" t="inlineStr">
        <is>
          <t>498374189</t>
        </is>
      </c>
      <c r="F1117" t="inlineStr">
        <is>
          <t>Fahima Talks</t>
        </is>
      </c>
      <c r="G1117" t="inlineStr">
        <is>
          <t>广东 深圳 宝安区</t>
        </is>
      </c>
      <c r="H1117"/>
      <c r="I1117" t="inlineStr">
        <is>
          <t>教育</t>
        </is>
      </c>
      <c r="J1117">
        <v>2486</v>
      </c>
      <c r="K1117" t="inlineStr">
        <is>
          <t>0.2</t>
        </is>
      </c>
      <c r="L1117">
        <v>8043</v>
      </c>
      <c r="M1117">
        <v>2089</v>
      </c>
      <c r="N1117">
        <v>265</v>
      </c>
      <c r="O1117">
        <v>200</v>
      </c>
      <c r="P1117">
        <v>0</v>
      </c>
      <c r="Q1117">
        <v>0.5</v>
      </c>
      <c r="R1117">
        <v>0</v>
      </c>
      <c r="S1117">
        <v>0</v>
      </c>
      <c r="T1117">
        <v>0</v>
      </c>
      <c r="U1117">
        <v>0</v>
      </c>
      <c r="V1117">
        <v>200</v>
      </c>
      <c r="W1117">
        <v>0</v>
      </c>
      <c r="X1117">
        <v>0</v>
      </c>
      <c r="Y1117">
        <v>0</v>
      </c>
      <c r="Z1117">
        <v>0</v>
      </c>
      <c r="AA1117">
        <v>8043</v>
      </c>
      <c r="AB1117">
        <v>2089</v>
      </c>
      <c r="AC1117">
        <v>205</v>
      </c>
      <c r="AD1117">
        <v>1.74</v>
      </c>
      <c r="AE1117">
        <v>500</v>
      </c>
      <c r="AF1117">
        <v>0.5</v>
      </c>
      <c r="AG1117">
        <v>0</v>
      </c>
      <c r="AH1117">
        <v>0.122</v>
      </c>
      <c r="AI1117">
        <v>62.17</v>
      </c>
      <c r="AJ1117">
        <v>1.89</v>
      </c>
      <c r="AK1117">
        <v>0</v>
      </c>
      <c r="AL1117">
        <v>0</v>
      </c>
      <c r="AM1117">
        <v>0</v>
      </c>
      <c r="AN1117">
        <v>0</v>
      </c>
      <c r="AO1117">
        <v>0</v>
      </c>
      <c r="AP1117">
        <v>0.897</v>
      </c>
      <c r="AQ1117">
        <v>0.054</v>
      </c>
      <c r="AR1117">
        <v>0.051</v>
      </c>
      <c r="AS1117" s="3">
        <v>46107.77775462963</v>
      </c>
    </row>
    <row r="1118" ht="25.5" customHeight="1">
      <c r="A1118" t="inlineStr">
        <is>
          <t>5a3f320ee8ac2b5d4a73cb04</t>
        </is>
      </c>
      <c r="B1118" s="2" t="str">
        <f>=HYPERLINK("https://www.xiaohongshu.com/user/profile/5a3f320ee8ac2b5d4a73cb04", "https://www.xiaohongshu.com/user/profile/5a3f320ee8ac2b5d4a73cb04")</f>
        <v>https://www.xiaohongshu.com/user/profile/5a3f320ee8ac2b5d4a73cb04</v>
      </c>
      <c r="C1118" s="2" t="str">
        <f>=HYPERLINK("https://pgy.xiaohongshu.com/solar/pre-trade/blogger-detail/5a3f320ee8ac2b5d4a73cb04", "https://pgy.xiaohongshu.com/solar/pre-trade/blogger-detail/5a3f320ee8ac2b5d4a73cb04")</f>
        <v>https://pgy.xiaohongshu.com/solar/pre-trade/blogger-detail/5a3f320ee8ac2b5d4a73cb04</v>
      </c>
      <c r="D1118" t="inlineStr">
        <is>
          <t>女</t>
        </is>
      </c>
      <c r="E1118" t="inlineStr">
        <is>
          <t>264987671</t>
        </is>
      </c>
      <c r="F1118" t="inlineStr">
        <is>
          <t>Melissa～Moving forward</t>
        </is>
      </c>
      <c r="G1118" t="inlineStr">
        <is>
          <t>浙江 嘉兴 嘉善县</t>
        </is>
      </c>
      <c r="H1118" t="inlineStr">
        <is>
          <t>工程师</t>
        </is>
      </c>
      <c r="I1118" t="inlineStr">
        <is>
          <t>职场, 教育</t>
        </is>
      </c>
      <c r="J1118">
        <v>3421</v>
      </c>
      <c r="K1118" t="inlineStr">
        <is>
          <t>0.3</t>
        </is>
      </c>
      <c r="L1118">
        <v>6338</v>
      </c>
      <c r="M1118">
        <v>709</v>
      </c>
      <c r="N1118">
        <v>134</v>
      </c>
      <c r="O1118">
        <v>150</v>
      </c>
      <c r="P1118">
        <v>0</v>
      </c>
      <c r="Q1118">
        <v>0.222</v>
      </c>
      <c r="R1118">
        <v>5915</v>
      </c>
      <c r="S1118">
        <v>445</v>
      </c>
      <c r="T1118">
        <v>75</v>
      </c>
      <c r="U1118">
        <v>0.64</v>
      </c>
      <c r="V1118">
        <v>150</v>
      </c>
      <c r="W1118">
        <v>0.091</v>
      </c>
      <c r="X1118">
        <v>0</v>
      </c>
      <c r="Y1118">
        <v>25.36</v>
      </c>
      <c r="Z1118">
        <v>1.49</v>
      </c>
      <c r="AA1118">
        <v>6761</v>
      </c>
      <c r="AB1118">
        <v>1512</v>
      </c>
      <c r="AC1118">
        <v>165</v>
      </c>
      <c r="AD1118">
        <v>1.63</v>
      </c>
      <c r="AE1118">
        <v>200</v>
      </c>
      <c r="AF1118">
        <v>0.429</v>
      </c>
      <c r="AG1118">
        <v>0</v>
      </c>
      <c r="AH1118">
        <v>0.057</v>
      </c>
      <c r="AI1118">
        <v>29.58</v>
      </c>
      <c r="AJ1118">
        <v>0.8</v>
      </c>
      <c r="AK1118">
        <v>0</v>
      </c>
      <c r="AL1118">
        <v>0</v>
      </c>
      <c r="AM1118">
        <v>0</v>
      </c>
      <c r="AN1118">
        <v>0</v>
      </c>
      <c r="AO1118">
        <v>0</v>
      </c>
      <c r="AP1118">
        <v>0.99</v>
      </c>
      <c r="AQ1118">
        <v>0.237</v>
      </c>
      <c r="AR1118">
        <v>0</v>
      </c>
      <c r="AS1118" s="3">
        <v>46107.77775462963</v>
      </c>
    </row>
    <row r="1119" ht="25.5" customHeight="1">
      <c r="A1119" t="inlineStr">
        <is>
          <t>60e543f6000000000100b025</t>
        </is>
      </c>
      <c r="B1119" s="2" t="str">
        <f>=HYPERLINK("https://www.xiaohongshu.com/user/profile/60e543f6000000000100b025", "https://www.xiaohongshu.com/user/profile/60e543f6000000000100b025")</f>
        <v>https://www.xiaohongshu.com/user/profile/60e543f6000000000100b025</v>
      </c>
      <c r="C1119" s="2" t="str">
        <f>=HYPERLINK("https://pgy.xiaohongshu.com/solar/pre-trade/blogger-detail/60e543f6000000000100b025", "https://pgy.xiaohongshu.com/solar/pre-trade/blogger-detail/60e543f6000000000100b025")</f>
        <v>https://pgy.xiaohongshu.com/solar/pre-trade/blogger-detail/60e543f6000000000100b025</v>
      </c>
      <c r="D1119" t="inlineStr">
        <is>
          <t>女</t>
        </is>
      </c>
      <c r="E1119" t="inlineStr">
        <is>
          <t>2679877046</t>
        </is>
      </c>
      <c r="F1119" t="inlineStr">
        <is>
          <t>Frank登登</t>
        </is>
      </c>
      <c r="G1119" t="inlineStr">
        <is>
          <t>北京</t>
        </is>
      </c>
      <c r="H1119"/>
      <c r="I1119" t="inlineStr">
        <is>
          <t>教育</t>
        </is>
      </c>
      <c r="J1119">
        <v>4512</v>
      </c>
      <c r="K1119" t="inlineStr">
        <is>
          <t>0.5</t>
        </is>
      </c>
      <c r="L1119">
        <v>4387</v>
      </c>
      <c r="M1119">
        <v>2300</v>
      </c>
      <c r="N1119">
        <v>257</v>
      </c>
      <c r="O1119">
        <v>150</v>
      </c>
      <c r="P1119">
        <v>0</v>
      </c>
      <c r="Q1119">
        <v>0.692</v>
      </c>
      <c r="R1119">
        <v>2676</v>
      </c>
      <c r="S1119">
        <v>477</v>
      </c>
      <c r="T1119">
        <v>25</v>
      </c>
      <c r="U1119">
        <v>0.61</v>
      </c>
      <c r="V1119">
        <v>150</v>
      </c>
      <c r="W1119">
        <v>0</v>
      </c>
      <c r="X1119">
        <v>0</v>
      </c>
      <c r="Y1119">
        <v>56.05</v>
      </c>
      <c r="Z1119">
        <v>6</v>
      </c>
      <c r="AA1119">
        <v>4488</v>
      </c>
      <c r="AB1119">
        <v>2317</v>
      </c>
      <c r="AC1119">
        <v>194</v>
      </c>
      <c r="AD1119">
        <v>1.59</v>
      </c>
      <c r="AE1119">
        <v>200</v>
      </c>
      <c r="AF1119">
        <v>0.72</v>
      </c>
      <c r="AG1119">
        <v>0</v>
      </c>
      <c r="AH1119">
        <v>0.3</v>
      </c>
      <c r="AI1119">
        <v>44.56</v>
      </c>
      <c r="AJ1119">
        <v>0.77</v>
      </c>
      <c r="AK1119">
        <v>0</v>
      </c>
      <c r="AL1119">
        <v>0</v>
      </c>
      <c r="AM1119">
        <v>0</v>
      </c>
      <c r="AN1119">
        <v>0</v>
      </c>
      <c r="AO1119">
        <v>0</v>
      </c>
      <c r="AP1119">
        <v>0.992</v>
      </c>
      <c r="AQ1119">
        <v>0.23</v>
      </c>
      <c r="AR1119">
        <v>0.492</v>
      </c>
      <c r="AS1119" s="3">
        <v>46107.77775462963</v>
      </c>
    </row>
    <row r="1120" ht="25.5" customHeight="1">
      <c r="A1120" t="inlineStr">
        <is>
          <t>61c5ea83000000001000776f</t>
        </is>
      </c>
      <c r="B1120" s="2" t="str">
        <f>=HYPERLINK("https://www.xiaohongshu.com/user/profile/61c5ea83000000001000776f", "https://www.xiaohongshu.com/user/profile/61c5ea83000000001000776f")</f>
        <v>https://www.xiaohongshu.com/user/profile/61c5ea83000000001000776f</v>
      </c>
      <c r="C1120" s="2" t="str">
        <f>=HYPERLINK("https://pgy.xiaohongshu.com/solar/pre-trade/blogger-detail/61c5ea83000000001000776f", "https://pgy.xiaohongshu.com/solar/pre-trade/blogger-detail/61c5ea83000000001000776f")</f>
        <v>https://pgy.xiaohongshu.com/solar/pre-trade/blogger-detail/61c5ea83000000001000776f</v>
      </c>
      <c r="D1120" t="inlineStr">
        <is>
          <t>女</t>
        </is>
      </c>
      <c r="E1120" t="inlineStr">
        <is>
          <t>2800044482</t>
        </is>
      </c>
      <c r="F1120" t="inlineStr">
        <is>
          <t>糕了个糕儿</t>
        </is>
      </c>
      <c r="G1120" t="inlineStr">
        <is>
          <t>澳大利亚</t>
        </is>
      </c>
      <c r="H1120" t="inlineStr">
        <is>
          <t>留学背景, 海外华人</t>
        </is>
      </c>
      <c r="I1120" t="inlineStr">
        <is>
          <t>生活记录</t>
        </is>
      </c>
      <c r="J1120">
        <v>5216</v>
      </c>
      <c r="K1120" t="inlineStr">
        <is>
          <t>0.5</t>
        </is>
      </c>
      <c r="L1120">
        <v>30163</v>
      </c>
      <c r="M1120">
        <v>5409</v>
      </c>
      <c r="N1120">
        <v>562</v>
      </c>
      <c r="O1120">
        <v>800</v>
      </c>
      <c r="P1120">
        <v>0</v>
      </c>
      <c r="Q1120">
        <v>0.6</v>
      </c>
      <c r="R1120">
        <v>68350</v>
      </c>
      <c r="S1120">
        <v>14157</v>
      </c>
      <c r="T1120">
        <v>753</v>
      </c>
      <c r="U1120">
        <v>0.36</v>
      </c>
      <c r="V1120">
        <v>800</v>
      </c>
      <c r="W1120">
        <v>1</v>
      </c>
      <c r="X1120">
        <v>0</v>
      </c>
      <c r="Y1120">
        <v>11.7</v>
      </c>
      <c r="Z1120">
        <v>0.94</v>
      </c>
      <c r="AA1120">
        <v>16824</v>
      </c>
      <c r="AB1120">
        <v>3192</v>
      </c>
      <c r="AC1120">
        <v>258</v>
      </c>
      <c r="AD1120">
        <v>1.97</v>
      </c>
      <c r="AE1120">
        <v>1500</v>
      </c>
      <c r="AF1120">
        <v>0.5</v>
      </c>
      <c r="AG1120">
        <v>0</v>
      </c>
      <c r="AH1120">
        <v>0.263</v>
      </c>
      <c r="AI1120">
        <v>89.16</v>
      </c>
      <c r="AJ1120">
        <v>4.79</v>
      </c>
      <c r="AK1120">
        <v>0</v>
      </c>
      <c r="AL1120">
        <v>0</v>
      </c>
      <c r="AM1120">
        <v>0</v>
      </c>
      <c r="AN1120">
        <v>0</v>
      </c>
      <c r="AO1120">
        <v>0</v>
      </c>
      <c r="AP1120">
        <v>0.885</v>
      </c>
      <c r="AQ1120">
        <v>0.052</v>
      </c>
      <c r="AR1120">
        <v>0.0579999999999999</v>
      </c>
      <c r="AS1120" s="3">
        <v>46107.77775462963</v>
      </c>
    </row>
    <row r="1121" ht="25.5" customHeight="1">
      <c r="A1121" t="inlineStr">
        <is>
          <t>63217e55000000002303daf0</t>
        </is>
      </c>
      <c r="B1121" s="2" t="str">
        <f>=HYPERLINK("https://www.xiaohongshu.com/user/profile/63217e55000000002303daf0", "https://www.xiaohongshu.com/user/profile/63217e55000000002303daf0")</f>
        <v>https://www.xiaohongshu.com/user/profile/63217e55000000002303daf0</v>
      </c>
      <c r="C1121" s="2" t="str">
        <f>=HYPERLINK("https://pgy.xiaohongshu.com/solar/pre-trade/blogger-detail/63217e55000000002303daf0", "https://pgy.xiaohongshu.com/solar/pre-trade/blogger-detail/63217e55000000002303daf0")</f>
        <v>https://pgy.xiaohongshu.com/solar/pre-trade/blogger-detail/63217e55000000002303daf0</v>
      </c>
      <c r="D1121" t="inlineStr">
        <is>
          <t>男</t>
        </is>
      </c>
      <c r="E1121" t="inlineStr">
        <is>
          <t>6707369702</t>
        </is>
      </c>
      <c r="F1121" t="inlineStr">
        <is>
          <t>自救者</t>
        </is>
      </c>
      <c r="G1121" t="inlineStr">
        <is>
          <t>北京</t>
        </is>
      </c>
      <c r="H1121" t="inlineStr">
        <is>
          <t>学生</t>
        </is>
      </c>
      <c r="I1121" t="inlineStr">
        <is>
          <t>生活记录</t>
        </is>
      </c>
      <c r="J1121">
        <v>10396</v>
      </c>
      <c r="K1121" t="inlineStr">
        <is>
          <t>1.0</t>
        </is>
      </c>
      <c r="L1121">
        <v>15473</v>
      </c>
      <c r="M1121">
        <v>3159</v>
      </c>
      <c r="N1121">
        <v>100</v>
      </c>
      <c r="O1121">
        <v>1200</v>
      </c>
      <c r="P1121">
        <v>0.166999999999999</v>
      </c>
      <c r="Q1121">
        <v>0.332999999999999</v>
      </c>
      <c r="R1121">
        <v>10033</v>
      </c>
      <c r="S1121">
        <v>1641</v>
      </c>
      <c r="T1121">
        <v>94</v>
      </c>
      <c r="U1121">
        <v>1.03</v>
      </c>
      <c r="V1121">
        <v>1200</v>
      </c>
      <c r="W1121">
        <v>0.4</v>
      </c>
      <c r="X1121">
        <v>0.2</v>
      </c>
      <c r="Y1121">
        <v>119.61</v>
      </c>
      <c r="Z1121">
        <v>12</v>
      </c>
      <c r="AA1121">
        <v>67634</v>
      </c>
      <c r="AB1121">
        <v>8612</v>
      </c>
      <c r="AC1121">
        <v>95</v>
      </c>
      <c r="AD1121">
        <v>1.79</v>
      </c>
      <c r="AE1121">
        <v>2500</v>
      </c>
      <c r="AF1121">
        <v>0</v>
      </c>
      <c r="AG1121">
        <v>0</v>
      </c>
      <c r="AH1121">
        <v>0.039</v>
      </c>
      <c r="AI1121">
        <v>36.96</v>
      </c>
      <c r="AJ1121">
        <v>24.75</v>
      </c>
      <c r="AK1121">
        <v>0</v>
      </c>
      <c r="AL1121">
        <v>0</v>
      </c>
      <c r="AM1121">
        <v>0</v>
      </c>
      <c r="AN1121">
        <v>0</v>
      </c>
      <c r="AO1121">
        <v>0</v>
      </c>
      <c r="AP1121">
        <v>0.895999999999999</v>
      </c>
      <c r="AQ1121">
        <v>0.047</v>
      </c>
      <c r="AR1121">
        <v>0.024</v>
      </c>
      <c r="AS1121" s="3">
        <v>46107.77795138889</v>
      </c>
    </row>
    <row r="1122" ht="25.5" customHeight="1">
      <c r="A1122" t="inlineStr">
        <is>
          <t>5b53f7b211be10127b222d24</t>
        </is>
      </c>
      <c r="B1122" s="2" t="str">
        <f>=HYPERLINK("https://www.xiaohongshu.com/user/profile/5b53f7b211be10127b222d24", "https://www.xiaohongshu.com/user/profile/5b53f7b211be10127b222d24")</f>
        <v>https://www.xiaohongshu.com/user/profile/5b53f7b211be10127b222d24</v>
      </c>
      <c r="C1122" s="2" t="str">
        <f>=HYPERLINK("https://pgy.xiaohongshu.com/solar/pre-trade/blogger-detail/5b53f7b211be10127b222d24", "https://pgy.xiaohongshu.com/solar/pre-trade/blogger-detail/5b53f7b211be10127b222d24")</f>
        <v>https://pgy.xiaohongshu.com/solar/pre-trade/blogger-detail/5b53f7b211be10127b222d24</v>
      </c>
      <c r="D1122" t="inlineStr">
        <is>
          <t>男</t>
        </is>
      </c>
      <c r="E1122" t="inlineStr">
        <is>
          <t>W424398250</t>
        </is>
      </c>
      <c r="F1122" t="inlineStr">
        <is>
          <t>考研大灰哥</t>
        </is>
      </c>
      <c r="G1122" t="inlineStr">
        <is>
          <t>吉林 长春 南关区</t>
        </is>
      </c>
      <c r="H1122"/>
      <c r="I1122" t="inlineStr">
        <is>
          <t>教育</t>
        </is>
      </c>
      <c r="J1122">
        <v>4711</v>
      </c>
      <c r="K1122" t="inlineStr">
        <is>
          <t>0.5</t>
        </is>
      </c>
      <c r="L1122">
        <v>12036</v>
      </c>
      <c r="M1122">
        <v>2417</v>
      </c>
      <c r="N1122">
        <v>295</v>
      </c>
      <c r="O1122">
        <v>120</v>
      </c>
      <c r="P1122">
        <v>0</v>
      </c>
      <c r="Q1122">
        <v>0.25</v>
      </c>
      <c r="R1122">
        <v>20247</v>
      </c>
      <c r="S1122">
        <v>4628</v>
      </c>
      <c r="T1122">
        <v>443</v>
      </c>
      <c r="U1122">
        <v>0.33</v>
      </c>
      <c r="V1122">
        <v>120</v>
      </c>
      <c r="W1122">
        <v>0.332999999999999</v>
      </c>
      <c r="X1122">
        <v>0</v>
      </c>
      <c r="Y1122">
        <v>5.93</v>
      </c>
      <c r="Z1122">
        <v>0.22</v>
      </c>
      <c r="AA1122">
        <v>2570</v>
      </c>
      <c r="AB1122">
        <v>422</v>
      </c>
      <c r="AC1122">
        <v>8</v>
      </c>
      <c r="AD1122">
        <v>1.91</v>
      </c>
      <c r="AE1122">
        <v>175</v>
      </c>
      <c r="AF1122">
        <v>0</v>
      </c>
      <c r="AG1122">
        <v>0</v>
      </c>
      <c r="AH1122">
        <v>0.044</v>
      </c>
      <c r="AI1122">
        <v>68.08</v>
      </c>
      <c r="AJ1122">
        <v>16.67</v>
      </c>
      <c r="AK1122">
        <v>0</v>
      </c>
      <c r="AL1122">
        <v>0</v>
      </c>
      <c r="AM1122">
        <v>0</v>
      </c>
      <c r="AN1122">
        <v>0</v>
      </c>
      <c r="AO1122">
        <v>0</v>
      </c>
      <c r="AP1122">
        <v>0.885</v>
      </c>
      <c r="AQ1122">
        <v>0.159</v>
      </c>
      <c r="AR1122">
        <v>0.674</v>
      </c>
      <c r="AS1122" s="3">
        <v>46107.77795138889</v>
      </c>
    </row>
    <row r="1123" ht="25.5" customHeight="1">
      <c r="A1123" t="inlineStr">
        <is>
          <t>626cee960000000015019d3a</t>
        </is>
      </c>
      <c r="B1123" s="2" t="str">
        <f>=HYPERLINK("https://www.xiaohongshu.com/user/profile/626cee960000000015019d3a", "https://www.xiaohongshu.com/user/profile/626cee960000000015019d3a")</f>
        <v>https://www.xiaohongshu.com/user/profile/626cee960000000015019d3a</v>
      </c>
      <c r="C1123" s="2" t="str">
        <f>=HYPERLINK("https://pgy.xiaohongshu.com/solar/pre-trade/blogger-detail/626cee960000000015019d3a", "https://pgy.xiaohongshu.com/solar/pre-trade/blogger-detail/626cee960000000015019d3a")</f>
        <v>https://pgy.xiaohongshu.com/solar/pre-trade/blogger-detail/626cee960000000015019d3a</v>
      </c>
      <c r="D1123" t="inlineStr">
        <is>
          <t>女</t>
        </is>
      </c>
      <c r="E1123" t="inlineStr">
        <is>
          <t>5492889661</t>
        </is>
      </c>
      <c r="F1123" t="inlineStr">
        <is>
          <t>三毛老师</t>
        </is>
      </c>
      <c r="G1123" t="inlineStr">
        <is>
          <t>澳大利亚</t>
        </is>
      </c>
      <c r="H1123" t="inlineStr">
        <is>
          <t>外国人</t>
        </is>
      </c>
      <c r="I1123" t="inlineStr">
        <is>
          <t>教育</t>
        </is>
      </c>
      <c r="J1123">
        <v>20349</v>
      </c>
      <c r="K1123" t="inlineStr">
        <is>
          <t>2.0</t>
        </is>
      </c>
      <c r="L1123">
        <v>8660</v>
      </c>
      <c r="M1123">
        <v>3252</v>
      </c>
      <c r="N1123">
        <v>304</v>
      </c>
      <c r="O1123">
        <v>500</v>
      </c>
      <c r="P1123">
        <v>0.075</v>
      </c>
      <c r="Q1123">
        <v>0.7</v>
      </c>
      <c r="R1123">
        <v>0</v>
      </c>
      <c r="S1123">
        <v>0</v>
      </c>
      <c r="T1123">
        <v>0</v>
      </c>
      <c r="U1123">
        <v>0</v>
      </c>
      <c r="V1123">
        <v>100</v>
      </c>
      <c r="W1123">
        <v>0</v>
      </c>
      <c r="X1123">
        <v>0</v>
      </c>
      <c r="Y1123">
        <v>0</v>
      </c>
      <c r="Z1123">
        <v>0</v>
      </c>
      <c r="AA1123">
        <v>8660</v>
      </c>
      <c r="AB1123">
        <v>3252</v>
      </c>
      <c r="AC1123">
        <v>198</v>
      </c>
      <c r="AD1123">
        <v>1.65</v>
      </c>
      <c r="AE1123">
        <v>500</v>
      </c>
      <c r="AF1123">
        <v>0.7</v>
      </c>
      <c r="AG1123">
        <v>0.075</v>
      </c>
      <c r="AH1123">
        <v>0.384</v>
      </c>
      <c r="AI1123">
        <v>57.74</v>
      </c>
      <c r="AJ1123">
        <v>1.64</v>
      </c>
      <c r="AK1123">
        <v>0</v>
      </c>
      <c r="AL1123">
        <v>0</v>
      </c>
      <c r="AM1123">
        <v>0</v>
      </c>
      <c r="AN1123">
        <v>0</v>
      </c>
      <c r="AO1123">
        <v>0</v>
      </c>
      <c r="AP1123">
        <v>0.999</v>
      </c>
      <c r="AQ1123">
        <v>0.281</v>
      </c>
      <c r="AR1123">
        <v>0</v>
      </c>
      <c r="AS1123" s="3">
        <v>46107.77795138889</v>
      </c>
    </row>
    <row r="1124" ht="25.5" customHeight="1">
      <c r="A1124" t="inlineStr">
        <is>
          <t>6211c92e00000000210221ac</t>
        </is>
      </c>
      <c r="B1124" s="2" t="str">
        <f>=HYPERLINK("https://www.xiaohongshu.com/user/profile/6211c92e00000000210221ac", "https://www.xiaohongshu.com/user/profile/6211c92e00000000210221ac")</f>
        <v>https://www.xiaohongshu.com/user/profile/6211c92e00000000210221ac</v>
      </c>
      <c r="C1124" s="2" t="str">
        <f>=HYPERLINK("https://pgy.xiaohongshu.com/solar/pre-trade/blogger-detail/6211c92e00000000210221ac", "https://pgy.xiaohongshu.com/solar/pre-trade/blogger-detail/6211c92e00000000210221ac")</f>
        <v>https://pgy.xiaohongshu.com/solar/pre-trade/blogger-detail/6211c92e00000000210221ac</v>
      </c>
      <c r="D1124" t="inlineStr">
        <is>
          <t>男</t>
        </is>
      </c>
      <c r="E1124" t="inlineStr">
        <is>
          <t>1644293321</t>
        </is>
      </c>
      <c r="F1124" t="inlineStr">
        <is>
          <t>宇宙客厅</t>
        </is>
      </c>
      <c r="G1124" t="inlineStr">
        <is>
          <t>北京</t>
        </is>
      </c>
      <c r="H1124" t="inlineStr">
        <is>
          <t>学生</t>
        </is>
      </c>
      <c r="I1124" t="inlineStr">
        <is>
          <t>出行旅游</t>
        </is>
      </c>
      <c r="J1124">
        <v>24528</v>
      </c>
      <c r="K1124" t="inlineStr">
        <is>
          <t>2.5</t>
        </is>
      </c>
      <c r="L1124">
        <v>11103</v>
      </c>
      <c r="M1124">
        <v>1345</v>
      </c>
      <c r="N1124">
        <v>116</v>
      </c>
      <c r="O1124">
        <v>1100</v>
      </c>
      <c r="P1124">
        <v>0</v>
      </c>
      <c r="Q1124">
        <v>0.125</v>
      </c>
      <c r="R1124">
        <v>11103</v>
      </c>
      <c r="S1124">
        <v>1345</v>
      </c>
      <c r="T1124">
        <v>57</v>
      </c>
      <c r="U1124">
        <v>1.12</v>
      </c>
      <c r="V1124">
        <v>1100</v>
      </c>
      <c r="W1124">
        <v>0.125</v>
      </c>
      <c r="X1124">
        <v>0</v>
      </c>
      <c r="Y1124">
        <v>99.07</v>
      </c>
      <c r="Z1124">
        <v>9.44</v>
      </c>
      <c r="AA1124">
        <v>0</v>
      </c>
      <c r="AB1124">
        <v>0</v>
      </c>
      <c r="AC1124">
        <v>0</v>
      </c>
      <c r="AD1124">
        <v>0</v>
      </c>
      <c r="AE1124">
        <v>0</v>
      </c>
      <c r="AF1124">
        <v>0</v>
      </c>
      <c r="AG1124">
        <v>0</v>
      </c>
      <c r="AH1124">
        <v>0</v>
      </c>
      <c r="AI1124">
        <v>0</v>
      </c>
      <c r="AJ1124">
        <v>0</v>
      </c>
      <c r="AK1124">
        <v>0</v>
      </c>
      <c r="AL1124">
        <v>0</v>
      </c>
      <c r="AM1124">
        <v>0</v>
      </c>
      <c r="AN1124">
        <v>0</v>
      </c>
      <c r="AO1124">
        <v>0</v>
      </c>
      <c r="AP1124">
        <v>0.934</v>
      </c>
      <c r="AQ1124">
        <v>0.046</v>
      </c>
      <c r="AR1124">
        <v>0.048</v>
      </c>
      <c r="AS1124" s="3">
        <v>46107.77795138889</v>
      </c>
    </row>
    <row r="1125" ht="25.5" customHeight="1">
      <c r="A1125" t="inlineStr">
        <is>
          <t>68b7b41600000000190363f9</t>
        </is>
      </c>
      <c r="B1125" s="2" t="str">
        <f>=HYPERLINK("https://www.xiaohongshu.com/user/profile/68b7b41600000000190363f9", "https://www.xiaohongshu.com/user/profile/68b7b41600000000190363f9")</f>
        <v>https://www.xiaohongshu.com/user/profile/68b7b41600000000190363f9</v>
      </c>
      <c r="C1125" s="2" t="str">
        <f>=HYPERLINK("https://pgy.xiaohongshu.com/solar/pre-trade/blogger-detail/68b7b41600000000190363f9", "https://pgy.xiaohongshu.com/solar/pre-trade/blogger-detail/68b7b41600000000190363f9")</f>
        <v>https://pgy.xiaohongshu.com/solar/pre-trade/blogger-detail/68b7b41600000000190363f9</v>
      </c>
      <c r="D1125" t="inlineStr">
        <is>
          <t>男</t>
        </is>
      </c>
      <c r="E1125" t="inlineStr">
        <is>
          <t>94355512115</t>
        </is>
      </c>
      <c r="F1125" t="inlineStr">
        <is>
          <t>精英视界-words of wisdom</t>
        </is>
      </c>
      <c r="G1125" t="inlineStr">
        <is>
          <t>福建 厦门 翔安区</t>
        </is>
      </c>
      <c r="H1125"/>
      <c r="I1125" t="inlineStr">
        <is>
          <t>教育, 情感</t>
        </is>
      </c>
      <c r="J1125">
        <v>7416</v>
      </c>
      <c r="K1125" t="inlineStr">
        <is>
          <t>0.7</t>
        </is>
      </c>
      <c r="L1125">
        <v>3454</v>
      </c>
      <c r="M1125">
        <v>1655</v>
      </c>
      <c r="N1125">
        <v>259</v>
      </c>
      <c r="O1125">
        <v>150</v>
      </c>
      <c r="P1125">
        <v>0.074</v>
      </c>
      <c r="Q1125">
        <v>0.556</v>
      </c>
      <c r="R1125">
        <v>32883</v>
      </c>
      <c r="S1125">
        <v>3681</v>
      </c>
      <c r="T1125">
        <v>544</v>
      </c>
      <c r="U1125">
        <v>0.34</v>
      </c>
      <c r="V1125">
        <v>150</v>
      </c>
      <c r="W1125">
        <v>0.5</v>
      </c>
      <c r="X1125">
        <v>0</v>
      </c>
      <c r="Y1125">
        <v>4.56</v>
      </c>
      <c r="Z1125">
        <v>0.23</v>
      </c>
      <c r="AA1125">
        <v>3454</v>
      </c>
      <c r="AB1125">
        <v>1655</v>
      </c>
      <c r="AC1125">
        <v>202</v>
      </c>
      <c r="AD1125">
        <v>1.62</v>
      </c>
      <c r="AE1125">
        <v>200</v>
      </c>
      <c r="AF1125">
        <v>0.56</v>
      </c>
      <c r="AG1125">
        <v>0.08</v>
      </c>
      <c r="AH1125">
        <v>0.243</v>
      </c>
      <c r="AI1125">
        <v>57.9</v>
      </c>
      <c r="AJ1125">
        <v>0.77</v>
      </c>
      <c r="AK1125">
        <v>0</v>
      </c>
      <c r="AL1125">
        <v>0</v>
      </c>
      <c r="AM1125">
        <v>0</v>
      </c>
      <c r="AN1125">
        <v>0</v>
      </c>
      <c r="AO1125">
        <v>0</v>
      </c>
      <c r="AP1125">
        <v>0.976</v>
      </c>
      <c r="AQ1125">
        <v>0.225</v>
      </c>
      <c r="AR1125">
        <v>0.833</v>
      </c>
      <c r="AS1125" s="3">
        <v>46107.77795138889</v>
      </c>
    </row>
    <row r="1126" ht="25.5" customHeight="1">
      <c r="A1126" t="inlineStr">
        <is>
          <t>6163ee380000000002023e39</t>
        </is>
      </c>
      <c r="B1126" s="2" t="str">
        <f>=HYPERLINK("https://www.xiaohongshu.com/user/profile/6163ee380000000002023e39", "https://www.xiaohongshu.com/user/profile/6163ee380000000002023e39")</f>
        <v>https://www.xiaohongshu.com/user/profile/6163ee380000000002023e39</v>
      </c>
      <c r="C1126" s="2" t="str">
        <f>=HYPERLINK("https://pgy.xiaohongshu.com/solar/pre-trade/blogger-detail/6163ee380000000002023e39", "https://pgy.xiaohongshu.com/solar/pre-trade/blogger-detail/6163ee380000000002023e39")</f>
        <v>https://pgy.xiaohongshu.com/solar/pre-trade/blogger-detail/6163ee380000000002023e39</v>
      </c>
      <c r="D1126" t="inlineStr">
        <is>
          <t>女</t>
        </is>
      </c>
      <c r="E1126" t="inlineStr">
        <is>
          <t>4234607466</t>
        </is>
      </c>
      <c r="F1126" t="inlineStr">
        <is>
          <t>李醒醒</t>
        </is>
      </c>
      <c r="G1126" t="inlineStr">
        <is>
          <t>英国</t>
        </is>
      </c>
      <c r="H1126"/>
      <c r="I1126" t="inlineStr">
        <is>
          <t>美食, 教育</t>
        </is>
      </c>
      <c r="J1126">
        <v>1672</v>
      </c>
      <c r="K1126" t="inlineStr">
        <is>
          <t>0.2</t>
        </is>
      </c>
      <c r="L1126">
        <v>5689</v>
      </c>
      <c r="M1126">
        <v>1092</v>
      </c>
      <c r="N1126">
        <v>106</v>
      </c>
      <c r="O1126">
        <v>600</v>
      </c>
      <c r="P1126">
        <v>0</v>
      </c>
      <c r="Q1126">
        <v>0.429</v>
      </c>
      <c r="R1126">
        <v>57462</v>
      </c>
      <c r="S1126">
        <v>12666</v>
      </c>
      <c r="T1126">
        <v>765</v>
      </c>
      <c r="U1126">
        <v>0.35</v>
      </c>
      <c r="V1126">
        <v>600</v>
      </c>
      <c r="W1126">
        <v>0.667</v>
      </c>
      <c r="X1126">
        <v>0</v>
      </c>
      <c r="Y1126">
        <v>10.44</v>
      </c>
      <c r="Z1126">
        <v>0.41</v>
      </c>
      <c r="AA1126">
        <v>3171</v>
      </c>
      <c r="AB1126">
        <v>502</v>
      </c>
      <c r="AC1126">
        <v>53</v>
      </c>
      <c r="AD1126">
        <v>3.27</v>
      </c>
      <c r="AE1126">
        <v>888</v>
      </c>
      <c r="AF1126">
        <v>0.25</v>
      </c>
      <c r="AG1126">
        <v>0</v>
      </c>
      <c r="AH1126">
        <v>0.218999999999999</v>
      </c>
      <c r="AI1126">
        <v>280.04</v>
      </c>
      <c r="AJ1126">
        <v>13.98</v>
      </c>
      <c r="AK1126">
        <v>0</v>
      </c>
      <c r="AL1126">
        <v>0</v>
      </c>
      <c r="AM1126">
        <v>0</v>
      </c>
      <c r="AN1126">
        <v>0</v>
      </c>
      <c r="AO1126">
        <v>0</v>
      </c>
      <c r="AP1126">
        <v>0.843</v>
      </c>
      <c r="AQ1126">
        <v>0.049</v>
      </c>
      <c r="AR1126">
        <v>0.032</v>
      </c>
      <c r="AS1126" s="3">
        <v>46107.77795138889</v>
      </c>
    </row>
    <row r="1127" ht="25.5" customHeight="1">
      <c r="A1127" t="inlineStr">
        <is>
          <t>61dffe16000000001000d5f2</t>
        </is>
      </c>
      <c r="B1127" s="2" t="str">
        <f>=HYPERLINK("https://www.xiaohongshu.com/user/profile/61dffe16000000001000d5f2", "https://www.xiaohongshu.com/user/profile/61dffe16000000001000d5f2")</f>
        <v>https://www.xiaohongshu.com/user/profile/61dffe16000000001000d5f2</v>
      </c>
      <c r="C1127" s="2" t="str">
        <f>=HYPERLINK("https://pgy.xiaohongshu.com/solar/pre-trade/blogger-detail/61dffe16000000001000d5f2", "https://pgy.xiaohongshu.com/solar/pre-trade/blogger-detail/61dffe16000000001000d5f2")</f>
        <v>https://pgy.xiaohongshu.com/solar/pre-trade/blogger-detail/61dffe16000000001000d5f2</v>
      </c>
      <c r="D1127" t="inlineStr">
        <is>
          <t>女</t>
        </is>
      </c>
      <c r="E1127" t="inlineStr">
        <is>
          <t>5294960082</t>
        </is>
      </c>
      <c r="F1127" t="inlineStr">
        <is>
          <t>喊你读论文了</t>
        </is>
      </c>
      <c r="G1127" t="inlineStr">
        <is>
          <t>吉林 长春 朝阳区</t>
        </is>
      </c>
      <c r="H1127"/>
      <c r="I1127" t="inlineStr">
        <is>
          <t>教育</t>
        </is>
      </c>
      <c r="J1127">
        <v>2163</v>
      </c>
      <c r="K1127" t="inlineStr">
        <is>
          <t>0.2</t>
        </is>
      </c>
      <c r="L1127">
        <v>41441</v>
      </c>
      <c r="M1127">
        <v>7947</v>
      </c>
      <c r="N1127">
        <v>1551</v>
      </c>
      <c r="O1127">
        <v>150</v>
      </c>
      <c r="P1127">
        <v>0</v>
      </c>
      <c r="Q1127">
        <v>0.667</v>
      </c>
      <c r="R1127">
        <v>41441</v>
      </c>
      <c r="S1127">
        <v>7947</v>
      </c>
      <c r="T1127">
        <v>1171</v>
      </c>
      <c r="U1127">
        <v>0.32</v>
      </c>
      <c r="V1127">
        <v>150</v>
      </c>
      <c r="W1127">
        <v>0.667</v>
      </c>
      <c r="X1127">
        <v>0</v>
      </c>
      <c r="Y1127">
        <v>3.62</v>
      </c>
      <c r="Z1127">
        <v>0.1</v>
      </c>
      <c r="AA1127">
        <v>0</v>
      </c>
      <c r="AB1127">
        <v>0</v>
      </c>
      <c r="AC1127">
        <v>0</v>
      </c>
      <c r="AD1127">
        <v>0</v>
      </c>
      <c r="AE1127">
        <v>0</v>
      </c>
      <c r="AF1127">
        <v>0</v>
      </c>
      <c r="AG1127">
        <v>0</v>
      </c>
      <c r="AH1127">
        <v>0</v>
      </c>
      <c r="AI1127">
        <v>0</v>
      </c>
      <c r="AJ1127">
        <v>0</v>
      </c>
      <c r="AK1127">
        <v>0</v>
      </c>
      <c r="AL1127">
        <v>0</v>
      </c>
      <c r="AM1127">
        <v>0</v>
      </c>
      <c r="AN1127">
        <v>0</v>
      </c>
      <c r="AO1127">
        <v>0</v>
      </c>
      <c r="AP1127">
        <v>0.924</v>
      </c>
      <c r="AQ1127">
        <v>0.128</v>
      </c>
      <c r="AR1127">
        <v>0.397999999999999</v>
      </c>
      <c r="AS1127" s="3">
        <v>46107.77795138889</v>
      </c>
    </row>
    <row r="1128" ht="25.5" customHeight="1">
      <c r="A1128" t="inlineStr">
        <is>
          <t>5ab4ee974eacab34ec5861c0</t>
        </is>
      </c>
      <c r="B1128" s="2" t="str">
        <f>=HYPERLINK("https://www.xiaohongshu.com/user/profile/5ab4ee974eacab34ec5861c0", "https://www.xiaohongshu.com/user/profile/5ab4ee974eacab34ec5861c0")</f>
        <v>https://www.xiaohongshu.com/user/profile/5ab4ee974eacab34ec5861c0</v>
      </c>
      <c r="C1128" s="2" t="str">
        <f>=HYPERLINK("https://pgy.xiaohongshu.com/solar/pre-trade/blogger-detail/5ab4ee974eacab34ec5861c0", "https://pgy.xiaohongshu.com/solar/pre-trade/blogger-detail/5ab4ee974eacab34ec5861c0")</f>
        <v>https://pgy.xiaohongshu.com/solar/pre-trade/blogger-detail/5ab4ee974eacab34ec5861c0</v>
      </c>
      <c r="D1128" t="inlineStr">
        <is>
          <t>女</t>
        </is>
      </c>
      <c r="E1128" t="inlineStr">
        <is>
          <t>636187134</t>
        </is>
      </c>
      <c r="F1128" t="inlineStr">
        <is>
          <t>左卫门同学</t>
        </is>
      </c>
      <c r="G1128" t="inlineStr">
        <is>
          <t>美国</t>
        </is>
      </c>
      <c r="H1128" t="inlineStr">
        <is>
          <t>户外爱好者, 留学背景, 学生</t>
        </is>
      </c>
      <c r="I1128" t="inlineStr">
        <is>
          <t>生活记录</t>
        </is>
      </c>
      <c r="J1128">
        <v>13827</v>
      </c>
      <c r="K1128" t="inlineStr">
        <is>
          <t>1.4</t>
        </is>
      </c>
      <c r="L1128">
        <v>20968</v>
      </c>
      <c r="M1128">
        <v>3896</v>
      </c>
      <c r="N1128">
        <v>388</v>
      </c>
      <c r="O1128">
        <v>675</v>
      </c>
      <c r="P1128">
        <v>0.091</v>
      </c>
      <c r="Q1128">
        <v>0.818</v>
      </c>
      <c r="R1128">
        <v>41029</v>
      </c>
      <c r="S1128">
        <v>6795</v>
      </c>
      <c r="T1128">
        <v>457</v>
      </c>
      <c r="U1128">
        <v>0.44</v>
      </c>
      <c r="V1128">
        <v>675</v>
      </c>
      <c r="W1128">
        <v>1</v>
      </c>
      <c r="X1128">
        <v>0.166999999999999</v>
      </c>
      <c r="Y1128">
        <v>25.74</v>
      </c>
      <c r="Z1128">
        <v>1.25</v>
      </c>
      <c r="AA1128">
        <v>18326</v>
      </c>
      <c r="AB1128">
        <v>2888</v>
      </c>
      <c r="AC1128">
        <v>250</v>
      </c>
      <c r="AD1128">
        <v>2.62</v>
      </c>
      <c r="AE1128">
        <v>3242</v>
      </c>
      <c r="AF1128">
        <v>0.6</v>
      </c>
      <c r="AG1128">
        <v>0</v>
      </c>
      <c r="AH1128">
        <v>0.2</v>
      </c>
      <c r="AI1128">
        <v>176.91</v>
      </c>
      <c r="AJ1128">
        <v>12.19</v>
      </c>
      <c r="AK1128">
        <v>23659</v>
      </c>
      <c r="AL1128">
        <v>2195</v>
      </c>
      <c r="AM1128">
        <v>196</v>
      </c>
      <c r="AN1128">
        <v>0</v>
      </c>
      <c r="AO1128">
        <v>0</v>
      </c>
      <c r="AP1128">
        <v>0.935999999999999</v>
      </c>
      <c r="AQ1128">
        <v>0.086</v>
      </c>
      <c r="AR1128">
        <v>0.100999999999999</v>
      </c>
      <c r="AS1128" s="3">
        <v>46107.77795138889</v>
      </c>
    </row>
    <row r="1129" ht="25.5" customHeight="1">
      <c r="A1129" t="inlineStr">
        <is>
          <t>628cf6a30000000021023b01</t>
        </is>
      </c>
      <c r="B1129" s="2" t="str">
        <f>=HYPERLINK("https://www.xiaohongshu.com/user/profile/628cf6a30000000021023b01", "https://www.xiaohongshu.com/user/profile/628cf6a30000000021023b01")</f>
        <v>https://www.xiaohongshu.com/user/profile/628cf6a30000000021023b01</v>
      </c>
      <c r="C1129" s="2" t="str">
        <f>=HYPERLINK("https://pgy.xiaohongshu.com/solar/pre-trade/blogger-detail/628cf6a30000000021023b01", "https://pgy.xiaohongshu.com/solar/pre-trade/blogger-detail/628cf6a30000000021023b01")</f>
        <v>https://pgy.xiaohongshu.com/solar/pre-trade/blogger-detail/628cf6a30000000021023b01</v>
      </c>
      <c r="D1129" t="inlineStr">
        <is>
          <t>男</t>
        </is>
      </c>
      <c r="E1129" t="inlineStr">
        <is>
          <t>kyzsbcg</t>
        </is>
      </c>
      <c r="F1129" t="inlineStr">
        <is>
          <t>曹哥专升本</t>
        </is>
      </c>
      <c r="G1129" t="inlineStr">
        <is>
          <t>浙江 杭州 钱塘区</t>
        </is>
      </c>
      <c r="H1129"/>
      <c r="I1129" t="inlineStr">
        <is>
          <t>教育</t>
        </is>
      </c>
      <c r="J1129">
        <v>14867</v>
      </c>
      <c r="K1129" t="inlineStr">
        <is>
          <t>1.5</t>
        </is>
      </c>
      <c r="L1129">
        <v>29339</v>
      </c>
      <c r="M1129">
        <v>4318</v>
      </c>
      <c r="N1129">
        <v>799</v>
      </c>
      <c r="O1129">
        <v>842</v>
      </c>
      <c r="P1129">
        <v>0</v>
      </c>
      <c r="Q1129">
        <v>0.778</v>
      </c>
      <c r="R1129">
        <v>25074</v>
      </c>
      <c r="S1129">
        <v>4131</v>
      </c>
      <c r="T1129">
        <v>744</v>
      </c>
      <c r="U1129">
        <v>0.5</v>
      </c>
      <c r="V1129">
        <v>842</v>
      </c>
      <c r="W1129">
        <v>0.75</v>
      </c>
      <c r="X1129">
        <v>0</v>
      </c>
      <c r="Y1129">
        <v>33.58</v>
      </c>
      <c r="Z1129">
        <v>0.97</v>
      </c>
      <c r="AA1129">
        <v>40667</v>
      </c>
      <c r="AB1129">
        <v>7752</v>
      </c>
      <c r="AC1129">
        <v>671</v>
      </c>
      <c r="AD1129">
        <v>1.68</v>
      </c>
      <c r="AE1129">
        <v>1368</v>
      </c>
      <c r="AF1129">
        <v>1</v>
      </c>
      <c r="AG1129">
        <v>0</v>
      </c>
      <c r="AH1129">
        <v>0.067</v>
      </c>
      <c r="AI1129">
        <v>33.64</v>
      </c>
      <c r="AJ1129">
        <v>1.71</v>
      </c>
      <c r="AK1129">
        <v>0</v>
      </c>
      <c r="AL1129">
        <v>0</v>
      </c>
      <c r="AM1129">
        <v>0</v>
      </c>
      <c r="AN1129">
        <v>0</v>
      </c>
      <c r="AO1129">
        <v>0</v>
      </c>
      <c r="AP1129">
        <v>0.855</v>
      </c>
      <c r="AQ1129">
        <v>0.119</v>
      </c>
      <c r="AR1129">
        <v>0.0559999999999999</v>
      </c>
      <c r="AS1129" s="3">
        <v>46107.77795138889</v>
      </c>
    </row>
    <row r="1130" ht="25.5" customHeight="1">
      <c r="A1130" t="inlineStr">
        <is>
          <t>620c55990000000010009b37</t>
        </is>
      </c>
      <c r="B1130" s="2" t="str">
        <f>=HYPERLINK("https://www.xiaohongshu.com/user/profile/620c55990000000010009b37", "https://www.xiaohongshu.com/user/profile/620c55990000000010009b37")</f>
        <v>https://www.xiaohongshu.com/user/profile/620c55990000000010009b37</v>
      </c>
      <c r="C1130" s="2" t="str">
        <f>=HYPERLINK("https://pgy.xiaohongshu.com/solar/pre-trade/blogger-detail/620c55990000000010009b37", "https://pgy.xiaohongshu.com/solar/pre-trade/blogger-detail/620c55990000000010009b37")</f>
        <v>https://pgy.xiaohongshu.com/solar/pre-trade/blogger-detail/620c55990000000010009b37</v>
      </c>
      <c r="D1130" t="inlineStr">
        <is>
          <t>女</t>
        </is>
      </c>
      <c r="E1130" t="inlineStr">
        <is>
          <t>1356507967</t>
        </is>
      </c>
      <c r="F1130" t="inlineStr">
        <is>
          <t>枫林叶凉</t>
        </is>
      </c>
      <c r="G1130" t="inlineStr">
        <is>
          <t>江西 吉安 吉州区</t>
        </is>
      </c>
      <c r="H1130"/>
      <c r="I1130" t="inlineStr">
        <is>
          <t>教育</t>
        </is>
      </c>
      <c r="J1130">
        <v>1023</v>
      </c>
      <c r="K1130" t="inlineStr">
        <is>
          <t>0.1</t>
        </is>
      </c>
      <c r="L1130">
        <v>30640</v>
      </c>
      <c r="M1130">
        <v>6551</v>
      </c>
      <c r="N1130">
        <v>1502</v>
      </c>
      <c r="O1130">
        <v>237</v>
      </c>
      <c r="P1130">
        <v>0.332999999999999</v>
      </c>
      <c r="Q1130">
        <v>1</v>
      </c>
      <c r="R1130">
        <v>30640</v>
      </c>
      <c r="S1130">
        <v>6551</v>
      </c>
      <c r="T1130">
        <v>1385</v>
      </c>
      <c r="U1130">
        <v>0.34</v>
      </c>
      <c r="V1130">
        <v>237</v>
      </c>
      <c r="W1130">
        <v>1</v>
      </c>
      <c r="X1130">
        <v>0.332999999999999</v>
      </c>
      <c r="Y1130">
        <v>7.73</v>
      </c>
      <c r="Z1130">
        <v>0.16</v>
      </c>
      <c r="AA1130">
        <v>0</v>
      </c>
      <c r="AB1130">
        <v>0</v>
      </c>
      <c r="AC1130">
        <v>0</v>
      </c>
      <c r="AD1130">
        <v>0</v>
      </c>
      <c r="AE1130">
        <v>416</v>
      </c>
      <c r="AF1130">
        <v>0</v>
      </c>
      <c r="AG1130">
        <v>0</v>
      </c>
      <c r="AH1130">
        <v>0</v>
      </c>
      <c r="AI1130">
        <v>0</v>
      </c>
      <c r="AJ1130">
        <v>0</v>
      </c>
      <c r="AK1130">
        <v>0</v>
      </c>
      <c r="AL1130">
        <v>0</v>
      </c>
      <c r="AM1130">
        <v>0</v>
      </c>
      <c r="AN1130">
        <v>0</v>
      </c>
      <c r="AO1130">
        <v>0</v>
      </c>
      <c r="AP1130">
        <v>0.983</v>
      </c>
      <c r="AQ1130">
        <v>0.449</v>
      </c>
      <c r="AR1130">
        <v>0</v>
      </c>
      <c r="AS1130" s="3">
        <v>46107.77795138889</v>
      </c>
    </row>
    <row r="1131" ht="25.5" customHeight="1">
      <c r="A1131" t="inlineStr">
        <is>
          <t>598496b982ec3936952fbbbe</t>
        </is>
      </c>
      <c r="B1131" s="2" t="str">
        <f>=HYPERLINK("https://www.xiaohongshu.com/user/profile/598496b982ec3936952fbbbe", "https://www.xiaohongshu.com/user/profile/598496b982ec3936952fbbbe")</f>
        <v>https://www.xiaohongshu.com/user/profile/598496b982ec3936952fbbbe</v>
      </c>
      <c r="C1131" s="2" t="str">
        <f>=HYPERLINK("https://pgy.xiaohongshu.com/solar/pre-trade/blogger-detail/598496b982ec3936952fbbbe", "https://pgy.xiaohongshu.com/solar/pre-trade/blogger-detail/598496b982ec3936952fbbbe")</f>
        <v>https://pgy.xiaohongshu.com/solar/pre-trade/blogger-detail/598496b982ec3936952fbbbe</v>
      </c>
      <c r="D1131" t="inlineStr">
        <is>
          <t>女</t>
        </is>
      </c>
      <c r="E1131" t="inlineStr">
        <is>
          <t>956268513</t>
        </is>
      </c>
      <c r="F1131" t="inlineStr">
        <is>
          <t>仙草雪泥🌰</t>
        </is>
      </c>
      <c r="G1131" t="inlineStr">
        <is>
          <t>美国</t>
        </is>
      </c>
      <c r="H1131" t="inlineStr">
        <is>
          <t>留学背景, 海外华人, 建筑设计师</t>
        </is>
      </c>
      <c r="I1131" t="inlineStr">
        <is>
          <t>教育, 生活记录</t>
        </is>
      </c>
      <c r="J1131">
        <v>5025</v>
      </c>
      <c r="K1131" t="inlineStr">
        <is>
          <t>0.5</t>
        </is>
      </c>
      <c r="L1131">
        <v>4806</v>
      </c>
      <c r="M1131">
        <v>1631</v>
      </c>
      <c r="N1131">
        <v>140</v>
      </c>
      <c r="O1131">
        <v>500</v>
      </c>
      <c r="P1131">
        <v>0</v>
      </c>
      <c r="Q1131">
        <v>0.429</v>
      </c>
      <c r="R1131">
        <v>49106</v>
      </c>
      <c r="S1131">
        <v>10295</v>
      </c>
      <c r="T1131">
        <v>236</v>
      </c>
      <c r="U1131">
        <v>0.35</v>
      </c>
      <c r="V1131">
        <v>500</v>
      </c>
      <c r="W1131">
        <v>1</v>
      </c>
      <c r="X1131">
        <v>0</v>
      </c>
      <c r="Y1131">
        <v>10.18</v>
      </c>
      <c r="Z1131">
        <v>1.52</v>
      </c>
      <c r="AA1131">
        <v>4588</v>
      </c>
      <c r="AB1131">
        <v>1375</v>
      </c>
      <c r="AC1131">
        <v>81</v>
      </c>
      <c r="AD1131">
        <v>2.19</v>
      </c>
      <c r="AE1131">
        <v>950</v>
      </c>
      <c r="AF1131">
        <v>0.332999999999999</v>
      </c>
      <c r="AG1131">
        <v>0</v>
      </c>
      <c r="AH1131">
        <v>0.231</v>
      </c>
      <c r="AI1131">
        <v>207.06</v>
      </c>
      <c r="AJ1131">
        <v>7.6</v>
      </c>
      <c r="AK1131">
        <v>0</v>
      </c>
      <c r="AL1131">
        <v>0</v>
      </c>
      <c r="AM1131">
        <v>0</v>
      </c>
      <c r="AN1131">
        <v>0</v>
      </c>
      <c r="AO1131">
        <v>0</v>
      </c>
      <c r="AP1131">
        <v>0.844</v>
      </c>
      <c r="AQ1131">
        <v>0.0279999999999999</v>
      </c>
      <c r="AR1131">
        <v>0.031</v>
      </c>
      <c r="AS1131" s="3">
        <v>46107.77795138889</v>
      </c>
    </row>
    <row r="1132" ht="25.5" customHeight="1">
      <c r="A1132" t="inlineStr">
        <is>
          <t>609e48bf00000000010036a8</t>
        </is>
      </c>
      <c r="B1132" s="2" t="str">
        <f>=HYPERLINK("https://www.xiaohongshu.com/user/profile/609e48bf00000000010036a8", "https://www.xiaohongshu.com/user/profile/609e48bf00000000010036a8")</f>
        <v>https://www.xiaohongshu.com/user/profile/609e48bf00000000010036a8</v>
      </c>
      <c r="C1132" s="2" t="str">
        <f>=HYPERLINK("https://pgy.xiaohongshu.com/solar/pre-trade/blogger-detail/609e48bf00000000010036a8", "https://pgy.xiaohongshu.com/solar/pre-trade/blogger-detail/609e48bf00000000010036a8")</f>
        <v>https://pgy.xiaohongshu.com/solar/pre-trade/blogger-detail/609e48bf00000000010036a8</v>
      </c>
      <c r="D1132" t="inlineStr">
        <is>
          <t>女</t>
        </is>
      </c>
      <c r="E1132" t="inlineStr">
        <is>
          <t>4285341797</t>
        </is>
      </c>
      <c r="F1132" t="inlineStr">
        <is>
          <t>耶耶读书日记</t>
        </is>
      </c>
      <c r="G1132" t="inlineStr">
        <is>
          <t>河南 郑州 中原区</t>
        </is>
      </c>
      <c r="H1132"/>
      <c r="I1132" t="inlineStr">
        <is>
          <t>教育</t>
        </is>
      </c>
      <c r="J1132">
        <v>1261</v>
      </c>
      <c r="K1132" t="inlineStr">
        <is>
          <t>0.1</t>
        </is>
      </c>
      <c r="L1132">
        <v>37046</v>
      </c>
      <c r="M1132">
        <v>6795</v>
      </c>
      <c r="N1132">
        <v>327</v>
      </c>
      <c r="O1132">
        <v>120</v>
      </c>
      <c r="P1132">
        <v>0</v>
      </c>
      <c r="Q1132">
        <v>0.667</v>
      </c>
      <c r="R1132">
        <v>37046</v>
      </c>
      <c r="S1132">
        <v>6795</v>
      </c>
      <c r="T1132">
        <v>285</v>
      </c>
      <c r="U1132">
        <v>0.32</v>
      </c>
      <c r="V1132">
        <v>120</v>
      </c>
      <c r="W1132">
        <v>0.667</v>
      </c>
      <c r="X1132">
        <v>0</v>
      </c>
      <c r="Y1132">
        <v>3.24</v>
      </c>
      <c r="Z1132">
        <v>0.37</v>
      </c>
      <c r="AA1132">
        <v>0</v>
      </c>
      <c r="AB1132">
        <v>0</v>
      </c>
      <c r="AC1132">
        <v>0</v>
      </c>
      <c r="AD1132">
        <v>0</v>
      </c>
      <c r="AE1132">
        <v>186</v>
      </c>
      <c r="AF1132">
        <v>0</v>
      </c>
      <c r="AG1132">
        <v>0</v>
      </c>
      <c r="AH1132">
        <v>0</v>
      </c>
      <c r="AI1132">
        <v>0</v>
      </c>
      <c r="AJ1132">
        <v>0</v>
      </c>
      <c r="AK1132">
        <v>0</v>
      </c>
      <c r="AL1132">
        <v>0</v>
      </c>
      <c r="AM1132">
        <v>0</v>
      </c>
      <c r="AN1132">
        <v>0</v>
      </c>
      <c r="AO1132">
        <v>0</v>
      </c>
      <c r="AP1132">
        <v>0.909</v>
      </c>
      <c r="AQ1132">
        <v>0.036</v>
      </c>
      <c r="AR1132">
        <v>0.047</v>
      </c>
      <c r="AS1132" s="3">
        <v>46107.77795138889</v>
      </c>
    </row>
    <row r="1133" ht="25.5" customHeight="1">
      <c r="A1133" t="inlineStr">
        <is>
          <t>5fad20200000000001007cce</t>
        </is>
      </c>
      <c r="B1133" s="2" t="str">
        <f>=HYPERLINK("https://www.xiaohongshu.com/user/profile/5fad20200000000001007cce", "https://www.xiaohongshu.com/user/profile/5fad20200000000001007cce")</f>
        <v>https://www.xiaohongshu.com/user/profile/5fad20200000000001007cce</v>
      </c>
      <c r="C1133" s="2" t="str">
        <f>=HYPERLINK("https://pgy.xiaohongshu.com/solar/pre-trade/blogger-detail/5fad20200000000001007cce", "https://pgy.xiaohongshu.com/solar/pre-trade/blogger-detail/5fad20200000000001007cce")</f>
        <v>https://pgy.xiaohongshu.com/solar/pre-trade/blogger-detail/5fad20200000000001007cce</v>
      </c>
      <c r="D1133" t="inlineStr">
        <is>
          <t>男</t>
        </is>
      </c>
      <c r="E1133" t="inlineStr">
        <is>
          <t>chrisoops500</t>
        </is>
      </c>
      <c r="F1133" t="inlineStr">
        <is>
          <t>赵阿梦Ameng</t>
        </is>
      </c>
      <c r="G1133" t="inlineStr">
        <is>
          <t>江苏 南京 鼓楼区</t>
        </is>
      </c>
      <c r="H1133" t="inlineStr">
        <is>
          <t>户外爱好者, 学生</t>
        </is>
      </c>
      <c r="I1133" t="inlineStr">
        <is>
          <t>出行旅游, 教育, 生活记录</t>
        </is>
      </c>
      <c r="J1133">
        <v>1771</v>
      </c>
      <c r="K1133" t="inlineStr">
        <is>
          <t>0.2</t>
        </is>
      </c>
      <c r="L1133">
        <v>8552</v>
      </c>
      <c r="M1133">
        <v>4563</v>
      </c>
      <c r="N1133">
        <v>143</v>
      </c>
      <c r="O1133">
        <v>200</v>
      </c>
      <c r="P1133">
        <v>0</v>
      </c>
      <c r="Q1133">
        <v>0.5</v>
      </c>
      <c r="R1133">
        <v>0</v>
      </c>
      <c r="S1133">
        <v>0</v>
      </c>
      <c r="T1133">
        <v>0</v>
      </c>
      <c r="U1133">
        <v>0</v>
      </c>
      <c r="V1133">
        <v>200</v>
      </c>
      <c r="W1133">
        <v>0</v>
      </c>
      <c r="X1133">
        <v>0</v>
      </c>
      <c r="Y1133">
        <v>0</v>
      </c>
      <c r="Z1133">
        <v>0</v>
      </c>
      <c r="AA1133">
        <v>8552</v>
      </c>
      <c r="AB1133">
        <v>4563</v>
      </c>
      <c r="AC1133">
        <v>112</v>
      </c>
      <c r="AD1133">
        <v>1.61</v>
      </c>
      <c r="AE1133">
        <v>500</v>
      </c>
      <c r="AF1133">
        <v>0.5</v>
      </c>
      <c r="AG1133">
        <v>0</v>
      </c>
      <c r="AH1133">
        <v>0.136999999999999</v>
      </c>
      <c r="AI1133">
        <v>58.47</v>
      </c>
      <c r="AJ1133">
        <v>3.48</v>
      </c>
      <c r="AK1133">
        <v>0</v>
      </c>
      <c r="AL1133">
        <v>0</v>
      </c>
      <c r="AM1133">
        <v>0</v>
      </c>
      <c r="AN1133">
        <v>0</v>
      </c>
      <c r="AO1133">
        <v>0</v>
      </c>
      <c r="AP1133">
        <v>0.770999999999999</v>
      </c>
      <c r="AQ1133">
        <v>0.036</v>
      </c>
      <c r="AR1133">
        <v>0.046</v>
      </c>
      <c r="AS1133" s="3">
        <v>46107.77795138889</v>
      </c>
    </row>
    <row r="1134" ht="25.5" customHeight="1">
      <c r="A1134" t="inlineStr">
        <is>
          <t>5c62abdb000000001000d5c4</t>
        </is>
      </c>
      <c r="B1134" s="2" t="str">
        <f>=HYPERLINK("https://www.xiaohongshu.com/user/profile/5c62abdb000000001000d5c4", "https://www.xiaohongshu.com/user/profile/5c62abdb000000001000d5c4")</f>
        <v>https://www.xiaohongshu.com/user/profile/5c62abdb000000001000d5c4</v>
      </c>
      <c r="C1134" s="2" t="str">
        <f>=HYPERLINK("https://pgy.xiaohongshu.com/solar/pre-trade/blogger-detail/5c62abdb000000001000d5c4", "https://pgy.xiaohongshu.com/solar/pre-trade/blogger-detail/5c62abdb000000001000d5c4")</f>
        <v>https://pgy.xiaohongshu.com/solar/pre-trade/blogger-detail/5c62abdb000000001000d5c4</v>
      </c>
      <c r="D1134" t="inlineStr">
        <is>
          <t>女</t>
        </is>
      </c>
      <c r="E1134" t="inlineStr">
        <is>
          <t>550628366</t>
        </is>
      </c>
      <c r="F1134" t="inlineStr">
        <is>
          <t>法语学渣日记</t>
        </is>
      </c>
      <c r="G1134" t="inlineStr">
        <is>
          <t>法国</t>
        </is>
      </c>
      <c r="H1134" t="inlineStr">
        <is>
          <t>户外爱好者, 留学背景, 摄影师</t>
        </is>
      </c>
      <c r="I1134" t="inlineStr">
        <is>
          <t>教育</t>
        </is>
      </c>
      <c r="J1134">
        <v>1197</v>
      </c>
      <c r="K1134" t="inlineStr">
        <is>
          <t>0.1</t>
        </is>
      </c>
      <c r="L1134">
        <v>7424</v>
      </c>
      <c r="M1134">
        <v>1394</v>
      </c>
      <c r="N1134">
        <v>236</v>
      </c>
      <c r="O1134">
        <v>500</v>
      </c>
      <c r="P1134">
        <v>0</v>
      </c>
      <c r="Q1134">
        <v>0.5</v>
      </c>
      <c r="R1134">
        <v>7424</v>
      </c>
      <c r="S1134">
        <v>1394</v>
      </c>
      <c r="T1134">
        <v>205</v>
      </c>
      <c r="U1134">
        <v>0.66</v>
      </c>
      <c r="V1134">
        <v>500</v>
      </c>
      <c r="W1134">
        <v>0.5</v>
      </c>
      <c r="X1134">
        <v>0</v>
      </c>
      <c r="Y1134">
        <v>67.34</v>
      </c>
      <c r="Z1134">
        <v>2.11</v>
      </c>
      <c r="AA1134">
        <v>0</v>
      </c>
      <c r="AB1134">
        <v>0</v>
      </c>
      <c r="AC1134">
        <v>0</v>
      </c>
      <c r="AD1134">
        <v>0</v>
      </c>
      <c r="AE1134">
        <v>800</v>
      </c>
      <c r="AF1134">
        <v>0</v>
      </c>
      <c r="AG1134">
        <v>0</v>
      </c>
      <c r="AH1134">
        <v>0</v>
      </c>
      <c r="AI1134">
        <v>0</v>
      </c>
      <c r="AJ1134">
        <v>0</v>
      </c>
      <c r="AK1134">
        <v>0</v>
      </c>
      <c r="AL1134">
        <v>0</v>
      </c>
      <c r="AM1134">
        <v>0</v>
      </c>
      <c r="AN1134">
        <v>0</v>
      </c>
      <c r="AO1134">
        <v>0</v>
      </c>
      <c r="AP1134">
        <v>0.895</v>
      </c>
      <c r="AQ1134">
        <v>0.04</v>
      </c>
      <c r="AR1134">
        <v>0.017</v>
      </c>
      <c r="AS1134" s="3">
        <v>46107.77795138889</v>
      </c>
    </row>
    <row r="1135" ht="25.5" customHeight="1">
      <c r="A1135" t="inlineStr">
        <is>
          <t>6370b190000000002400a42c</t>
        </is>
      </c>
      <c r="B1135" s="2" t="str">
        <f>=HYPERLINK("https://www.xiaohongshu.com/user/profile/6370b190000000002400a42c", "https://www.xiaohongshu.com/user/profile/6370b190000000002400a42c")</f>
        <v>https://www.xiaohongshu.com/user/profile/6370b190000000002400a42c</v>
      </c>
      <c r="C1135" s="2" t="str">
        <f>=HYPERLINK("https://pgy.xiaohongshu.com/solar/pre-trade/blogger-detail/6370b190000000002400a42c", "https://pgy.xiaohongshu.com/solar/pre-trade/blogger-detail/6370b190000000002400a42c")</f>
        <v>https://pgy.xiaohongshu.com/solar/pre-trade/blogger-detail/6370b190000000002400a42c</v>
      </c>
      <c r="D1135" t="inlineStr">
        <is>
          <t>男</t>
        </is>
      </c>
      <c r="E1135" t="inlineStr">
        <is>
          <t>5400734753</t>
        </is>
      </c>
      <c r="F1135" t="inlineStr">
        <is>
          <t>阿兰尼塔</t>
        </is>
      </c>
      <c r="G1135" t="inlineStr">
        <is>
          <t>澳大利亚</t>
        </is>
      </c>
      <c r="H1135"/>
      <c r="I1135" t="inlineStr">
        <is>
          <t>教育</t>
        </is>
      </c>
      <c r="J1135">
        <v>1345</v>
      </c>
      <c r="K1135" t="inlineStr">
        <is>
          <t>0.1</t>
        </is>
      </c>
      <c r="L1135">
        <v>5427</v>
      </c>
      <c r="M1135">
        <v>2064</v>
      </c>
      <c r="N1135">
        <v>323</v>
      </c>
      <c r="O1135">
        <v>200</v>
      </c>
      <c r="P1135">
        <v>0.053</v>
      </c>
      <c r="Q1135">
        <v>0.579</v>
      </c>
      <c r="R1135">
        <v>50182</v>
      </c>
      <c r="S1135">
        <v>11874</v>
      </c>
      <c r="T1135">
        <v>374</v>
      </c>
      <c r="U1135">
        <v>0.32</v>
      </c>
      <c r="V1135">
        <v>200</v>
      </c>
      <c r="W1135">
        <v>1</v>
      </c>
      <c r="X1135">
        <v>0</v>
      </c>
      <c r="Y1135">
        <v>3.99</v>
      </c>
      <c r="Z1135">
        <v>0.4</v>
      </c>
      <c r="AA1135">
        <v>5039</v>
      </c>
      <c r="AB1135">
        <v>2001</v>
      </c>
      <c r="AC1135">
        <v>228</v>
      </c>
      <c r="AD1135">
        <v>1.75</v>
      </c>
      <c r="AE1135">
        <v>500</v>
      </c>
      <c r="AF1135">
        <v>0.556</v>
      </c>
      <c r="AG1135">
        <v>0.0559999999999999</v>
      </c>
      <c r="AH1135">
        <v>0.084</v>
      </c>
      <c r="AI1135">
        <v>99.23</v>
      </c>
      <c r="AJ1135">
        <v>1.66</v>
      </c>
      <c r="AK1135">
        <v>0</v>
      </c>
      <c r="AL1135">
        <v>0</v>
      </c>
      <c r="AM1135">
        <v>0</v>
      </c>
      <c r="AN1135">
        <v>0</v>
      </c>
      <c r="AO1135">
        <v>0</v>
      </c>
      <c r="AP1135">
        <v>0.995</v>
      </c>
      <c r="AQ1135">
        <v>0.596</v>
      </c>
      <c r="AR1135">
        <v>0</v>
      </c>
      <c r="AS1135" s="3">
        <v>46107.77795138889</v>
      </c>
    </row>
    <row r="1136" ht="25.5" customHeight="1">
      <c r="A1136" t="inlineStr">
        <is>
          <t>5b175b0ae8ac2b7e97dd63b7</t>
        </is>
      </c>
      <c r="B1136" s="2" t="str">
        <f>=HYPERLINK("https://www.xiaohongshu.com/user/profile/5b175b0ae8ac2b7e97dd63b7", "https://www.xiaohongshu.com/user/profile/5b175b0ae8ac2b7e97dd63b7")</f>
        <v>https://www.xiaohongshu.com/user/profile/5b175b0ae8ac2b7e97dd63b7</v>
      </c>
      <c r="C1136" s="2" t="str">
        <f>=HYPERLINK("https://pgy.xiaohongshu.com/solar/pre-trade/blogger-detail/5b175b0ae8ac2b7e97dd63b7", "https://pgy.xiaohongshu.com/solar/pre-trade/blogger-detail/5b175b0ae8ac2b7e97dd63b7")</f>
        <v>https://pgy.xiaohongshu.com/solar/pre-trade/blogger-detail/5b175b0ae8ac2b7e97dd63b7</v>
      </c>
      <c r="D1136" t="inlineStr">
        <is>
          <t>女</t>
        </is>
      </c>
      <c r="E1136" t="inlineStr">
        <is>
          <t>425257110</t>
        </is>
      </c>
      <c r="F1136" t="inlineStr">
        <is>
          <t>辣辣学姐</t>
        </is>
      </c>
      <c r="G1136" t="inlineStr">
        <is>
          <t>内蒙古 通辽 科尔沁区</t>
        </is>
      </c>
      <c r="H1136" t="inlineStr">
        <is>
          <t>学生</t>
        </is>
      </c>
      <c r="I1136" t="inlineStr">
        <is>
          <t>职场, 教育</t>
        </is>
      </c>
      <c r="J1136">
        <v>4027</v>
      </c>
      <c r="K1136" t="inlineStr">
        <is>
          <t>0.4</t>
        </is>
      </c>
      <c r="L1136">
        <v>5172</v>
      </c>
      <c r="M1136">
        <v>997</v>
      </c>
      <c r="N1136">
        <v>104</v>
      </c>
      <c r="O1136">
        <v>140</v>
      </c>
      <c r="P1136">
        <v>0</v>
      </c>
      <c r="Q1136">
        <v>0</v>
      </c>
      <c r="R1136">
        <v>5172</v>
      </c>
      <c r="S1136">
        <v>997</v>
      </c>
      <c r="T1136">
        <v>89</v>
      </c>
      <c r="U1136">
        <v>0.44</v>
      </c>
      <c r="V1136">
        <v>140</v>
      </c>
      <c r="W1136">
        <v>0</v>
      </c>
      <c r="X1136">
        <v>0</v>
      </c>
      <c r="Y1136">
        <v>27.07</v>
      </c>
      <c r="Z1136">
        <v>1.34</v>
      </c>
      <c r="AA1136">
        <v>0</v>
      </c>
      <c r="AB1136">
        <v>0</v>
      </c>
      <c r="AC1136">
        <v>0</v>
      </c>
      <c r="AD1136">
        <v>0</v>
      </c>
      <c r="AE1136">
        <v>180</v>
      </c>
      <c r="AF1136">
        <v>0</v>
      </c>
      <c r="AG1136">
        <v>0</v>
      </c>
      <c r="AH1136">
        <v>0</v>
      </c>
      <c r="AI1136">
        <v>0</v>
      </c>
      <c r="AJ1136">
        <v>0</v>
      </c>
      <c r="AK1136">
        <v>0</v>
      </c>
      <c r="AL1136">
        <v>0</v>
      </c>
      <c r="AM1136">
        <v>0</v>
      </c>
      <c r="AN1136">
        <v>0</v>
      </c>
      <c r="AO1136">
        <v>0</v>
      </c>
      <c r="AP1136">
        <v>0.822</v>
      </c>
      <c r="AQ1136">
        <v>0.026</v>
      </c>
      <c r="AR1136">
        <v>0.017</v>
      </c>
      <c r="AS1136" s="3">
        <v>46107.77795138889</v>
      </c>
    </row>
    <row r="1137" ht="25.5" customHeight="1">
      <c r="A1137" t="inlineStr">
        <is>
          <t>676a880400000000180169cd</t>
        </is>
      </c>
      <c r="B1137" s="2" t="str">
        <f>=HYPERLINK("https://www.xiaohongshu.com/user/profile/676a880400000000180169cd", "https://www.xiaohongshu.com/user/profile/676a880400000000180169cd")</f>
        <v>https://www.xiaohongshu.com/user/profile/676a880400000000180169cd</v>
      </c>
      <c r="C1137" s="2" t="str">
        <f>=HYPERLINK("https://pgy.xiaohongshu.com/solar/pre-trade/blogger-detail/676a880400000000180169cd", "https://pgy.xiaohongshu.com/solar/pre-trade/blogger-detail/676a880400000000180169cd")</f>
        <v>https://pgy.xiaohongshu.com/solar/pre-trade/blogger-detail/676a880400000000180169cd</v>
      </c>
      <c r="D1137" t="inlineStr">
        <is>
          <t>女</t>
        </is>
      </c>
      <c r="E1137" t="inlineStr">
        <is>
          <t>95412527247</t>
        </is>
      </c>
      <c r="F1137" t="inlineStr">
        <is>
          <t>林啊数学</t>
        </is>
      </c>
      <c r="G1137" t="inlineStr">
        <is>
          <t>山东 青岛 崂山区</t>
        </is>
      </c>
      <c r="H1137" t="inlineStr">
        <is>
          <t>学生</t>
        </is>
      </c>
      <c r="I1137" t="inlineStr">
        <is>
          <t>教育</t>
        </is>
      </c>
      <c r="J1137">
        <v>5798</v>
      </c>
      <c r="K1137" t="inlineStr">
        <is>
          <t>0.6</t>
        </is>
      </c>
      <c r="L1137">
        <v>7551</v>
      </c>
      <c r="M1137">
        <v>1249</v>
      </c>
      <c r="N1137">
        <v>157</v>
      </c>
      <c r="O1137">
        <v>160</v>
      </c>
      <c r="P1137">
        <v>0</v>
      </c>
      <c r="Q1137">
        <v>0.455</v>
      </c>
      <c r="R1137">
        <v>7551</v>
      </c>
      <c r="S1137">
        <v>1249</v>
      </c>
      <c r="T1137">
        <v>134</v>
      </c>
      <c r="U1137">
        <v>0.43</v>
      </c>
      <c r="V1137">
        <v>160</v>
      </c>
      <c r="W1137">
        <v>0.455</v>
      </c>
      <c r="X1137">
        <v>0</v>
      </c>
      <c r="Y1137">
        <v>21.19</v>
      </c>
      <c r="Z1137">
        <v>1.02</v>
      </c>
      <c r="AA1137">
        <v>0</v>
      </c>
      <c r="AB1137">
        <v>0</v>
      </c>
      <c r="AC1137">
        <v>0</v>
      </c>
      <c r="AD1137">
        <v>0</v>
      </c>
      <c r="AE1137">
        <v>260</v>
      </c>
      <c r="AF1137">
        <v>0</v>
      </c>
      <c r="AG1137">
        <v>0</v>
      </c>
      <c r="AH1137">
        <v>0</v>
      </c>
      <c r="AI1137">
        <v>0</v>
      </c>
      <c r="AJ1137">
        <v>0</v>
      </c>
      <c r="AK1137">
        <v>0</v>
      </c>
      <c r="AL1137">
        <v>0</v>
      </c>
      <c r="AM1137">
        <v>0</v>
      </c>
      <c r="AN1137">
        <v>0</v>
      </c>
      <c r="AO1137">
        <v>0</v>
      </c>
      <c r="AP1137">
        <v>0.952</v>
      </c>
      <c r="AQ1137">
        <v>0.103</v>
      </c>
      <c r="AR1137">
        <v>0.065</v>
      </c>
      <c r="AS1137" s="3">
        <v>46107.77795138889</v>
      </c>
    </row>
    <row r="1138" ht="25.5" customHeight="1">
      <c r="A1138" t="inlineStr">
        <is>
          <t>62640fb30000000010004a19</t>
        </is>
      </c>
      <c r="B1138" s="2" t="str">
        <f>=HYPERLINK("https://www.xiaohongshu.com/user/profile/62640fb30000000010004a19", "https://www.xiaohongshu.com/user/profile/62640fb30000000010004a19")</f>
        <v>https://www.xiaohongshu.com/user/profile/62640fb30000000010004a19</v>
      </c>
      <c r="C1138" s="2" t="str">
        <f>=HYPERLINK("https://pgy.xiaohongshu.com/solar/pre-trade/blogger-detail/62640fb30000000010004a19", "https://pgy.xiaohongshu.com/solar/pre-trade/blogger-detail/62640fb30000000010004a19")</f>
        <v>https://pgy.xiaohongshu.com/solar/pre-trade/blogger-detail/62640fb30000000010004a19</v>
      </c>
      <c r="D1138" t="inlineStr">
        <is>
          <t>女</t>
        </is>
      </c>
      <c r="E1138" t="inlineStr">
        <is>
          <t>sunshine803</t>
        </is>
      </c>
      <c r="F1138" t="inlineStr">
        <is>
          <t>一口芝士の🧀</t>
        </is>
      </c>
      <c r="G1138" t="inlineStr">
        <is>
          <t>安徽 芜湖 弋江区</t>
        </is>
      </c>
      <c r="H1138" t="inlineStr">
        <is>
          <t>学生</t>
        </is>
      </c>
      <c r="I1138" t="inlineStr">
        <is>
          <t>教育</t>
        </is>
      </c>
      <c r="J1138">
        <v>1834</v>
      </c>
      <c r="K1138" t="inlineStr">
        <is>
          <t>0.2</t>
        </is>
      </c>
      <c r="L1138">
        <v>4436</v>
      </c>
      <c r="M1138">
        <v>895</v>
      </c>
      <c r="N1138">
        <v>106</v>
      </c>
      <c r="O1138">
        <v>200</v>
      </c>
      <c r="P1138">
        <v>0</v>
      </c>
      <c r="Q1138">
        <v>0.286</v>
      </c>
      <c r="R1138">
        <v>4436</v>
      </c>
      <c r="S1138">
        <v>895</v>
      </c>
      <c r="T1138">
        <v>85</v>
      </c>
      <c r="U1138">
        <v>0.64</v>
      </c>
      <c r="V1138">
        <v>200</v>
      </c>
      <c r="W1138">
        <v>0.286</v>
      </c>
      <c r="X1138">
        <v>0</v>
      </c>
      <c r="Y1138">
        <v>75.05</v>
      </c>
      <c r="Z1138">
        <v>2.7</v>
      </c>
      <c r="AA1138">
        <v>0</v>
      </c>
      <c r="AB1138">
        <v>0</v>
      </c>
      <c r="AC1138">
        <v>0</v>
      </c>
      <c r="AD1138">
        <v>0</v>
      </c>
      <c r="AE1138">
        <v>280</v>
      </c>
      <c r="AF1138">
        <v>0</v>
      </c>
      <c r="AG1138">
        <v>0</v>
      </c>
      <c r="AH1138">
        <v>0</v>
      </c>
      <c r="AI1138">
        <v>0</v>
      </c>
      <c r="AJ1138">
        <v>0</v>
      </c>
      <c r="AK1138">
        <v>373</v>
      </c>
      <c r="AL1138">
        <v>35</v>
      </c>
      <c r="AM1138">
        <v>4</v>
      </c>
      <c r="AN1138">
        <v>0</v>
      </c>
      <c r="AO1138">
        <v>0</v>
      </c>
      <c r="AP1138">
        <v>0.858</v>
      </c>
      <c r="AQ1138">
        <v>0.115999999999999</v>
      </c>
      <c r="AR1138">
        <v>0.131</v>
      </c>
      <c r="AS1138" s="3">
        <v>46107.77795138889</v>
      </c>
    </row>
    <row r="1139" ht="25.5" customHeight="1">
      <c r="A1139" t="inlineStr">
        <is>
          <t>5d62862d000000000101b325</t>
        </is>
      </c>
      <c r="B1139" s="2" t="str">
        <f>=HYPERLINK("https://www.xiaohongshu.com/user/profile/5d62862d000000000101b325", "https://www.xiaohongshu.com/user/profile/5d62862d000000000101b325")</f>
        <v>https://www.xiaohongshu.com/user/profile/5d62862d000000000101b325</v>
      </c>
      <c r="C1139" s="2" t="str">
        <f>=HYPERLINK("https://pgy.xiaohongshu.com/solar/pre-trade/blogger-detail/5d62862d000000000101b325", "https://pgy.xiaohongshu.com/solar/pre-trade/blogger-detail/5d62862d000000000101b325")</f>
        <v>https://pgy.xiaohongshu.com/solar/pre-trade/blogger-detail/5d62862d000000000101b325</v>
      </c>
      <c r="D1139" t="inlineStr">
        <is>
          <t>男</t>
        </is>
      </c>
      <c r="E1139" t="inlineStr">
        <is>
          <t>361706833</t>
        </is>
      </c>
      <c r="F1139" t="inlineStr">
        <is>
          <t>知努</t>
        </is>
      </c>
      <c r="G1139" t="inlineStr">
        <is>
          <t>广东 汕头 金平区</t>
        </is>
      </c>
      <c r="H1139"/>
      <c r="I1139" t="inlineStr">
        <is>
          <t>教育</t>
        </is>
      </c>
      <c r="J1139">
        <v>1492</v>
      </c>
      <c r="K1139" t="inlineStr">
        <is>
          <t>0.1</t>
        </is>
      </c>
      <c r="L1139">
        <v>10823</v>
      </c>
      <c r="M1139">
        <v>2830</v>
      </c>
      <c r="N1139">
        <v>221</v>
      </c>
      <c r="O1139">
        <v>166</v>
      </c>
      <c r="P1139">
        <v>0</v>
      </c>
      <c r="Q1139">
        <v>0.4</v>
      </c>
      <c r="R1139">
        <v>10823</v>
      </c>
      <c r="S1139">
        <v>2830</v>
      </c>
      <c r="T1139">
        <v>173</v>
      </c>
      <c r="U1139">
        <v>0.36</v>
      </c>
      <c r="V1139">
        <v>166</v>
      </c>
      <c r="W1139">
        <v>0.4</v>
      </c>
      <c r="X1139">
        <v>0</v>
      </c>
      <c r="Y1139">
        <v>15.34</v>
      </c>
      <c r="Z1139">
        <v>0.75</v>
      </c>
      <c r="AA1139">
        <v>0</v>
      </c>
      <c r="AB1139">
        <v>0</v>
      </c>
      <c r="AC1139">
        <v>0</v>
      </c>
      <c r="AD1139">
        <v>0</v>
      </c>
      <c r="AE1139">
        <v>266</v>
      </c>
      <c r="AF1139">
        <v>0</v>
      </c>
      <c r="AG1139">
        <v>0</v>
      </c>
      <c r="AH1139">
        <v>0</v>
      </c>
      <c r="AI1139">
        <v>0</v>
      </c>
      <c r="AJ1139">
        <v>0</v>
      </c>
      <c r="AK1139">
        <v>0</v>
      </c>
      <c r="AL1139">
        <v>0</v>
      </c>
      <c r="AM1139">
        <v>0</v>
      </c>
      <c r="AN1139">
        <v>0</v>
      </c>
      <c r="AO1139">
        <v>0</v>
      </c>
      <c r="AP1139">
        <v>0.883</v>
      </c>
      <c r="AQ1139">
        <v>0.206</v>
      </c>
      <c r="AR1139">
        <v>0.497</v>
      </c>
      <c r="AS1139" s="3">
        <v>46107.77795138889</v>
      </c>
    </row>
    <row r="1140" ht="25.5" customHeight="1">
      <c r="A1140" t="inlineStr">
        <is>
          <t>5f7b43770000000001002e0c</t>
        </is>
      </c>
      <c r="B1140" s="2" t="str">
        <f>=HYPERLINK("https://www.xiaohongshu.com/user/profile/5f7b43770000000001002e0c", "https://www.xiaohongshu.com/user/profile/5f7b43770000000001002e0c")</f>
        <v>https://www.xiaohongshu.com/user/profile/5f7b43770000000001002e0c</v>
      </c>
      <c r="C1140" s="2" t="str">
        <f>=HYPERLINK("https://pgy.xiaohongshu.com/solar/pre-trade/blogger-detail/5f7b43770000000001002e0c", "https://pgy.xiaohongshu.com/solar/pre-trade/blogger-detail/5f7b43770000000001002e0c")</f>
        <v>https://pgy.xiaohongshu.com/solar/pre-trade/blogger-detail/5f7b43770000000001002e0c</v>
      </c>
      <c r="D1140" t="inlineStr">
        <is>
          <t>男</t>
        </is>
      </c>
      <c r="E1140" t="inlineStr">
        <is>
          <t>1004780638</t>
        </is>
      </c>
      <c r="F1140" t="inlineStr">
        <is>
          <t>近战法师小暴龙</t>
        </is>
      </c>
      <c r="G1140" t="inlineStr">
        <is>
          <t>湖北 武汉 江夏区</t>
        </is>
      </c>
      <c r="H1140"/>
      <c r="I1140" t="inlineStr">
        <is>
          <t>教育</t>
        </is>
      </c>
      <c r="J1140">
        <v>4082</v>
      </c>
      <c r="K1140" t="inlineStr">
        <is>
          <t>0.4</t>
        </is>
      </c>
      <c r="L1140">
        <v>8707</v>
      </c>
      <c r="M1140">
        <v>1972</v>
      </c>
      <c r="N1140">
        <v>339</v>
      </c>
      <c r="O1140">
        <v>199</v>
      </c>
      <c r="P1140">
        <v>0</v>
      </c>
      <c r="Q1140">
        <v>0.625</v>
      </c>
      <c r="R1140">
        <v>9763</v>
      </c>
      <c r="S1140">
        <v>1683</v>
      </c>
      <c r="T1140">
        <v>260</v>
      </c>
      <c r="U1140">
        <v>0.42</v>
      </c>
      <c r="V1140">
        <v>199</v>
      </c>
      <c r="W1140">
        <v>0.6</v>
      </c>
      <c r="X1140">
        <v>0</v>
      </c>
      <c r="Y1140">
        <v>20.38</v>
      </c>
      <c r="Z1140">
        <v>0.6</v>
      </c>
      <c r="AA1140">
        <v>8232</v>
      </c>
      <c r="AB1140">
        <v>2575</v>
      </c>
      <c r="AC1140">
        <v>315</v>
      </c>
      <c r="AD1140">
        <v>1.7</v>
      </c>
      <c r="AE1140">
        <v>520</v>
      </c>
      <c r="AF1140">
        <v>0.667</v>
      </c>
      <c r="AG1140">
        <v>0</v>
      </c>
      <c r="AH1140">
        <v>0.013</v>
      </c>
      <c r="AI1140">
        <v>63.17</v>
      </c>
      <c r="AJ1140">
        <v>1.45</v>
      </c>
      <c r="AK1140">
        <v>0</v>
      </c>
      <c r="AL1140">
        <v>0</v>
      </c>
      <c r="AM1140">
        <v>0</v>
      </c>
      <c r="AN1140">
        <v>0</v>
      </c>
      <c r="AO1140">
        <v>0</v>
      </c>
      <c r="AP1140">
        <v>0.965</v>
      </c>
      <c r="AQ1140">
        <v>0.094</v>
      </c>
      <c r="AR1140">
        <v>0.057</v>
      </c>
      <c r="AS1140" s="3">
        <v>46107.77795138889</v>
      </c>
    </row>
    <row r="1141" ht="25.5" customHeight="1">
      <c r="A1141" t="inlineStr">
        <is>
          <t>5862788050c4b441e9526c83</t>
        </is>
      </c>
      <c r="B1141" s="2" t="str">
        <f>=HYPERLINK("https://www.xiaohongshu.com/user/profile/5862788050c4b441e9526c83", "https://www.xiaohongshu.com/user/profile/5862788050c4b441e9526c83")</f>
        <v>https://www.xiaohongshu.com/user/profile/5862788050c4b441e9526c83</v>
      </c>
      <c r="C1141" s="2" t="str">
        <f>=HYPERLINK("https://pgy.xiaohongshu.com/solar/pre-trade/blogger-detail/5862788050c4b441e9526c83", "https://pgy.xiaohongshu.com/solar/pre-trade/blogger-detail/5862788050c4b441e9526c83")</f>
        <v>https://pgy.xiaohongshu.com/solar/pre-trade/blogger-detail/5862788050c4b441e9526c83</v>
      </c>
      <c r="D1141" t="inlineStr">
        <is>
          <t>女</t>
        </is>
      </c>
      <c r="E1141" t="inlineStr">
        <is>
          <t>111856403</t>
        </is>
      </c>
      <c r="F1141" t="inlineStr">
        <is>
          <t>跟着阿福学泰语</t>
        </is>
      </c>
      <c r="G1141" t="inlineStr">
        <is>
          <t>广西 南宁 江南区</t>
        </is>
      </c>
      <c r="H1141"/>
      <c r="I1141" t="inlineStr">
        <is>
          <t>教育</t>
        </is>
      </c>
      <c r="J1141">
        <v>32187</v>
      </c>
      <c r="K1141" t="inlineStr">
        <is>
          <t>3.2</t>
        </is>
      </c>
      <c r="L1141">
        <v>4132</v>
      </c>
      <c r="M1141">
        <v>975</v>
      </c>
      <c r="N1141">
        <v>104</v>
      </c>
      <c r="O1141">
        <v>500</v>
      </c>
      <c r="P1141">
        <v>0</v>
      </c>
      <c r="Q1141">
        <v>0</v>
      </c>
      <c r="R1141">
        <v>0</v>
      </c>
      <c r="S1141">
        <v>0</v>
      </c>
      <c r="T1141">
        <v>0</v>
      </c>
      <c r="U1141">
        <v>0</v>
      </c>
      <c r="V1141">
        <v>500</v>
      </c>
      <c r="W1141">
        <v>0</v>
      </c>
      <c r="X1141">
        <v>0</v>
      </c>
      <c r="Y1141">
        <v>0</v>
      </c>
      <c r="Z1141">
        <v>0</v>
      </c>
      <c r="AA1141">
        <v>4132</v>
      </c>
      <c r="AB1141">
        <v>975</v>
      </c>
      <c r="AC1141">
        <v>79</v>
      </c>
      <c r="AD1141">
        <v>2.42</v>
      </c>
      <c r="AE1141">
        <v>900</v>
      </c>
      <c r="AF1141">
        <v>0</v>
      </c>
      <c r="AG1141">
        <v>0</v>
      </c>
      <c r="AH1141">
        <v>0.303</v>
      </c>
      <c r="AI1141">
        <v>217.79</v>
      </c>
      <c r="AJ1141">
        <v>8.61</v>
      </c>
      <c r="AK1141">
        <v>0</v>
      </c>
      <c r="AL1141">
        <v>0</v>
      </c>
      <c r="AM1141">
        <v>0</v>
      </c>
      <c r="AN1141">
        <v>0</v>
      </c>
      <c r="AO1141">
        <v>0</v>
      </c>
      <c r="AP1141">
        <v>0.828</v>
      </c>
      <c r="AQ1141">
        <v>0.023</v>
      </c>
      <c r="AR1141">
        <v>0.022</v>
      </c>
      <c r="AS1141" s="3">
        <v>46107.77820601852</v>
      </c>
    </row>
    <row r="1142" ht="25.5" customHeight="1">
      <c r="A1142" t="inlineStr">
        <is>
          <t>5b06ef24e8ac2b578c063b11</t>
        </is>
      </c>
      <c r="B1142" s="2" t="str">
        <f>=HYPERLINK("https://www.xiaohongshu.com/user/profile/5b06ef24e8ac2b578c063b11", "https://www.xiaohongshu.com/user/profile/5b06ef24e8ac2b578c063b11")</f>
        <v>https://www.xiaohongshu.com/user/profile/5b06ef24e8ac2b578c063b11</v>
      </c>
      <c r="C1142" s="2" t="str">
        <f>=HYPERLINK("https://pgy.xiaohongshu.com/solar/pre-trade/blogger-detail/5b06ef24e8ac2b578c063b11", "https://pgy.xiaohongshu.com/solar/pre-trade/blogger-detail/5b06ef24e8ac2b578c063b11")</f>
        <v>https://pgy.xiaohongshu.com/solar/pre-trade/blogger-detail/5b06ef24e8ac2b578c063b11</v>
      </c>
      <c r="D1142" t="inlineStr">
        <is>
          <t>女</t>
        </is>
      </c>
      <c r="E1142" t="inlineStr">
        <is>
          <t>490053943</t>
        </is>
      </c>
      <c r="F1142" t="inlineStr">
        <is>
          <t>日语学姐治愈法</t>
        </is>
      </c>
      <c r="G1142" t="inlineStr">
        <is>
          <t>北京</t>
        </is>
      </c>
      <c r="H1142" t="inlineStr">
        <is>
          <t>翻译</t>
        </is>
      </c>
      <c r="I1142" t="inlineStr">
        <is>
          <t>教育</t>
        </is>
      </c>
      <c r="J1142">
        <v>7141</v>
      </c>
      <c r="K1142" t="inlineStr">
        <is>
          <t>0.7</t>
        </is>
      </c>
      <c r="L1142">
        <v>85424</v>
      </c>
      <c r="M1142">
        <v>18023</v>
      </c>
      <c r="N1142">
        <v>660</v>
      </c>
      <c r="O1142">
        <v>200</v>
      </c>
      <c r="P1142">
        <v>0.077</v>
      </c>
      <c r="Q1142">
        <v>0.769</v>
      </c>
      <c r="R1142">
        <v>96555</v>
      </c>
      <c r="S1142">
        <v>20450</v>
      </c>
      <c r="T1142">
        <v>524</v>
      </c>
      <c r="U1142">
        <v>0.31</v>
      </c>
      <c r="V1142">
        <v>200</v>
      </c>
      <c r="W1142">
        <v>0.833</v>
      </c>
      <c r="X1142">
        <v>0.083</v>
      </c>
      <c r="Y1142">
        <v>2.07</v>
      </c>
      <c r="Z1142">
        <v>0.29</v>
      </c>
      <c r="AA1142">
        <v>12568</v>
      </c>
      <c r="AB1142">
        <v>2764</v>
      </c>
      <c r="AC1142">
        <v>122</v>
      </c>
      <c r="AD1142">
        <v>0</v>
      </c>
      <c r="AE1142">
        <v>0</v>
      </c>
      <c r="AF1142">
        <v>0</v>
      </c>
      <c r="AG1142">
        <v>0</v>
      </c>
      <c r="AH1142">
        <v>0.077</v>
      </c>
      <c r="AI1142">
        <v>0</v>
      </c>
      <c r="AJ1142">
        <v>0</v>
      </c>
      <c r="AK1142">
        <v>0</v>
      </c>
      <c r="AL1142">
        <v>0</v>
      </c>
      <c r="AM1142">
        <v>0</v>
      </c>
      <c r="AN1142">
        <v>0</v>
      </c>
      <c r="AO1142">
        <v>0</v>
      </c>
      <c r="AP1142">
        <v>0.99</v>
      </c>
      <c r="AQ1142">
        <v>0.186</v>
      </c>
      <c r="AR1142">
        <v>0</v>
      </c>
      <c r="AS1142" s="3">
        <v>46107.77820601852</v>
      </c>
    </row>
    <row r="1143" ht="25.5" customHeight="1">
      <c r="A1143" t="inlineStr">
        <is>
          <t>64ba1670000000001403921d</t>
        </is>
      </c>
      <c r="B1143" s="2" t="str">
        <f>=HYPERLINK("https://www.xiaohongshu.com/user/profile/64ba1670000000001403921d", "https://www.xiaohongshu.com/user/profile/64ba1670000000001403921d")</f>
        <v>https://www.xiaohongshu.com/user/profile/64ba1670000000001403921d</v>
      </c>
      <c r="C1143" s="2" t="str">
        <f>=HYPERLINK("https://pgy.xiaohongshu.com/solar/pre-trade/blogger-detail/64ba1670000000001403921d", "https://pgy.xiaohongshu.com/solar/pre-trade/blogger-detail/64ba1670000000001403921d")</f>
        <v>https://pgy.xiaohongshu.com/solar/pre-trade/blogger-detail/64ba1670000000001403921d</v>
      </c>
      <c r="D1143" t="inlineStr">
        <is>
          <t>女</t>
        </is>
      </c>
      <c r="E1143" t="inlineStr">
        <is>
          <t>5592405113</t>
        </is>
      </c>
      <c r="F1143" t="inlineStr">
        <is>
          <t>Melissa外贸口语</t>
        </is>
      </c>
      <c r="G1143" t="inlineStr">
        <is>
          <t>广东 东莞 博罗县</t>
        </is>
      </c>
      <c r="H1143"/>
      <c r="I1143" t="inlineStr">
        <is>
          <t>职场, 教育</t>
        </is>
      </c>
      <c r="J1143">
        <v>13077</v>
      </c>
      <c r="K1143" t="inlineStr">
        <is>
          <t>1.3</t>
        </is>
      </c>
      <c r="L1143">
        <v>2727</v>
      </c>
      <c r="M1143">
        <v>1400</v>
      </c>
      <c r="N1143">
        <v>138</v>
      </c>
      <c r="O1143">
        <v>800</v>
      </c>
      <c r="P1143">
        <v>0</v>
      </c>
      <c r="Q1143">
        <v>0.1</v>
      </c>
      <c r="R1143">
        <v>0</v>
      </c>
      <c r="S1143">
        <v>0</v>
      </c>
      <c r="T1143">
        <v>0</v>
      </c>
      <c r="U1143">
        <v>0</v>
      </c>
      <c r="V1143">
        <v>800</v>
      </c>
      <c r="W1143">
        <v>0</v>
      </c>
      <c r="X1143">
        <v>0</v>
      </c>
      <c r="Y1143">
        <v>0</v>
      </c>
      <c r="Z1143">
        <v>0</v>
      </c>
      <c r="AA1143">
        <v>2727</v>
      </c>
      <c r="AB1143">
        <v>1400</v>
      </c>
      <c r="AC1143">
        <v>91</v>
      </c>
      <c r="AD1143">
        <v>2.21</v>
      </c>
      <c r="AE1143">
        <v>1000</v>
      </c>
      <c r="AF1143">
        <v>0.1</v>
      </c>
      <c r="AG1143">
        <v>0</v>
      </c>
      <c r="AH1143">
        <v>0.12</v>
      </c>
      <c r="AI1143">
        <v>366.7</v>
      </c>
      <c r="AJ1143">
        <v>7.22</v>
      </c>
      <c r="AK1143">
        <v>0</v>
      </c>
      <c r="AL1143">
        <v>0</v>
      </c>
      <c r="AM1143">
        <v>0</v>
      </c>
      <c r="AN1143">
        <v>0</v>
      </c>
      <c r="AO1143">
        <v>0</v>
      </c>
      <c r="AP1143">
        <v>0.991</v>
      </c>
      <c r="AQ1143">
        <v>0.039</v>
      </c>
      <c r="AR1143">
        <v>0.042</v>
      </c>
      <c r="AS1143" s="3">
        <v>46107.77820601852</v>
      </c>
    </row>
    <row r="1144" ht="25.5" customHeight="1">
      <c r="A1144" t="inlineStr">
        <is>
          <t>6149d0cd000000000201b8e7</t>
        </is>
      </c>
      <c r="B1144" s="2" t="str">
        <f>=HYPERLINK("https://www.xiaohongshu.com/user/profile/6149d0cd000000000201b8e7", "https://www.xiaohongshu.com/user/profile/6149d0cd000000000201b8e7")</f>
        <v>https://www.xiaohongshu.com/user/profile/6149d0cd000000000201b8e7</v>
      </c>
      <c r="C1144" s="2" t="str">
        <f>=HYPERLINK("https://pgy.xiaohongshu.com/solar/pre-trade/blogger-detail/6149d0cd000000000201b8e7", "https://pgy.xiaohongshu.com/solar/pre-trade/blogger-detail/6149d0cd000000000201b8e7")</f>
        <v>https://pgy.xiaohongshu.com/solar/pre-trade/blogger-detail/6149d0cd000000000201b8e7</v>
      </c>
      <c r="D1144" t="inlineStr">
        <is>
          <t>女</t>
        </is>
      </c>
      <c r="E1144" t="inlineStr">
        <is>
          <t>1814877930</t>
        </is>
      </c>
      <c r="F1144" t="inlineStr">
        <is>
          <t>娜娜子</t>
        </is>
      </c>
      <c r="G1144" t="inlineStr">
        <is>
          <t>上海</t>
        </is>
      </c>
      <c r="H1144"/>
      <c r="I1144" t="inlineStr">
        <is>
          <t>教育</t>
        </is>
      </c>
      <c r="J1144">
        <v>4651</v>
      </c>
      <c r="K1144" t="inlineStr">
        <is>
          <t>0.5</t>
        </is>
      </c>
      <c r="L1144">
        <v>5967</v>
      </c>
      <c r="M1144">
        <v>2054</v>
      </c>
      <c r="N1144">
        <v>253</v>
      </c>
      <c r="O1144">
        <v>800</v>
      </c>
      <c r="P1144">
        <v>0</v>
      </c>
      <c r="Q1144">
        <v>0.5</v>
      </c>
      <c r="R1144">
        <v>0</v>
      </c>
      <c r="S1144">
        <v>0</v>
      </c>
      <c r="T1144">
        <v>0</v>
      </c>
      <c r="U1144">
        <v>0</v>
      </c>
      <c r="V1144">
        <v>800</v>
      </c>
      <c r="W1144">
        <v>0</v>
      </c>
      <c r="X1144">
        <v>0</v>
      </c>
      <c r="Y1144">
        <v>0</v>
      </c>
      <c r="Z1144">
        <v>0</v>
      </c>
      <c r="AA1144">
        <v>5967</v>
      </c>
      <c r="AB1144">
        <v>2054</v>
      </c>
      <c r="AC1144">
        <v>212</v>
      </c>
      <c r="AD1144">
        <v>2.08</v>
      </c>
      <c r="AE1144">
        <v>1200</v>
      </c>
      <c r="AF1144">
        <v>0.5</v>
      </c>
      <c r="AG1144">
        <v>0</v>
      </c>
      <c r="AH1144">
        <v>0.011</v>
      </c>
      <c r="AI1144">
        <v>201.11</v>
      </c>
      <c r="AJ1144">
        <v>4.73</v>
      </c>
      <c r="AK1144">
        <v>0</v>
      </c>
      <c r="AL1144">
        <v>0</v>
      </c>
      <c r="AM1144">
        <v>0</v>
      </c>
      <c r="AN1144">
        <v>0</v>
      </c>
      <c r="AO1144">
        <v>0</v>
      </c>
      <c r="AP1144">
        <v>0.922999999999999</v>
      </c>
      <c r="AQ1144">
        <v>0.051</v>
      </c>
      <c r="AR1144">
        <v>0.036</v>
      </c>
      <c r="AS1144" s="3">
        <v>46107.77820601852</v>
      </c>
    </row>
    <row r="1145" ht="25.5" customHeight="1">
      <c r="A1145" t="inlineStr">
        <is>
          <t>57a70adc7fc5b8650aa5fed1</t>
        </is>
      </c>
      <c r="B1145" s="2" t="str">
        <f>=HYPERLINK("https://www.xiaohongshu.com/user/profile/57a70adc7fc5b8650aa5fed1", "https://www.xiaohongshu.com/user/profile/57a70adc7fc5b8650aa5fed1")</f>
        <v>https://www.xiaohongshu.com/user/profile/57a70adc7fc5b8650aa5fed1</v>
      </c>
      <c r="C1145" s="2" t="str">
        <f>=HYPERLINK("https://pgy.xiaohongshu.com/solar/pre-trade/blogger-detail/57a70adc7fc5b8650aa5fed1", "https://pgy.xiaohongshu.com/solar/pre-trade/blogger-detail/57a70adc7fc5b8650aa5fed1")</f>
        <v>https://pgy.xiaohongshu.com/solar/pre-trade/blogger-detail/57a70adc7fc5b8650aa5fed1</v>
      </c>
      <c r="D1145" t="inlineStr">
        <is>
          <t>女</t>
        </is>
      </c>
      <c r="E1145" t="inlineStr">
        <is>
          <t>380290209</t>
        </is>
      </c>
      <c r="F1145" t="inlineStr">
        <is>
          <t>萌萌</t>
        </is>
      </c>
      <c r="G1145" t="inlineStr">
        <is>
          <t>江苏 徐州 铜山区</t>
        </is>
      </c>
      <c r="H1145"/>
      <c r="I1145" t="inlineStr">
        <is>
          <t>职场</t>
        </is>
      </c>
      <c r="J1145">
        <v>17376</v>
      </c>
      <c r="K1145" t="inlineStr">
        <is>
          <t>1.7</t>
        </is>
      </c>
      <c r="L1145">
        <v>10970</v>
      </c>
      <c r="M1145">
        <v>2908</v>
      </c>
      <c r="N1145">
        <v>548</v>
      </c>
      <c r="O1145">
        <v>440</v>
      </c>
      <c r="P1145">
        <v>0</v>
      </c>
      <c r="Q1145">
        <v>0.667</v>
      </c>
      <c r="R1145">
        <v>10970</v>
      </c>
      <c r="S1145">
        <v>2908</v>
      </c>
      <c r="T1145">
        <v>258</v>
      </c>
      <c r="U1145">
        <v>0.45</v>
      </c>
      <c r="V1145">
        <v>440</v>
      </c>
      <c r="W1145">
        <v>0.667</v>
      </c>
      <c r="X1145">
        <v>0</v>
      </c>
      <c r="Y1145">
        <v>40.11</v>
      </c>
      <c r="Z1145">
        <v>0.8</v>
      </c>
      <c r="AA1145">
        <v>0</v>
      </c>
      <c r="AB1145">
        <v>0</v>
      </c>
      <c r="AC1145">
        <v>0</v>
      </c>
      <c r="AD1145">
        <v>0</v>
      </c>
      <c r="AE1145">
        <v>0</v>
      </c>
      <c r="AF1145">
        <v>0</v>
      </c>
      <c r="AG1145">
        <v>0</v>
      </c>
      <c r="AH1145">
        <v>0</v>
      </c>
      <c r="AI1145">
        <v>0</v>
      </c>
      <c r="AJ1145">
        <v>0</v>
      </c>
      <c r="AK1145">
        <v>0</v>
      </c>
      <c r="AL1145">
        <v>0</v>
      </c>
      <c r="AM1145">
        <v>0</v>
      </c>
      <c r="AN1145">
        <v>0</v>
      </c>
      <c r="AO1145">
        <v>0</v>
      </c>
      <c r="AP1145">
        <v>0.873</v>
      </c>
      <c r="AQ1145">
        <v>0.062</v>
      </c>
      <c r="AR1145">
        <v>0.083</v>
      </c>
      <c r="AS1145" s="3">
        <v>46107.77820601852</v>
      </c>
    </row>
    <row r="1146" ht="25.5" customHeight="1">
      <c r="A1146" t="inlineStr">
        <is>
          <t>5dcdfa970000000001006981</t>
        </is>
      </c>
      <c r="B1146" s="2" t="str">
        <f>=HYPERLINK("https://www.xiaohongshu.com/user/profile/5dcdfa970000000001006981", "https://www.xiaohongshu.com/user/profile/5dcdfa970000000001006981")</f>
        <v>https://www.xiaohongshu.com/user/profile/5dcdfa970000000001006981</v>
      </c>
      <c r="C1146" s="2" t="str">
        <f>=HYPERLINK("https://pgy.xiaohongshu.com/solar/pre-trade/blogger-detail/5dcdfa970000000001006981", "https://pgy.xiaohongshu.com/solar/pre-trade/blogger-detail/5dcdfa970000000001006981")</f>
        <v>https://pgy.xiaohongshu.com/solar/pre-trade/blogger-detail/5dcdfa970000000001006981</v>
      </c>
      <c r="D1146" t="inlineStr">
        <is>
          <t>女</t>
        </is>
      </c>
      <c r="E1146" t="inlineStr">
        <is>
          <t>v18323131694</t>
        </is>
      </c>
      <c r="F1146" t="inlineStr">
        <is>
          <t>向艺bo进击的牛牛</t>
        </is>
      </c>
      <c r="G1146" t="inlineStr">
        <is>
          <t>上海</t>
        </is>
      </c>
      <c r="H1146" t="inlineStr">
        <is>
          <t>考研过来人, 学生, 翻译</t>
        </is>
      </c>
      <c r="I1146" t="inlineStr">
        <is>
          <t>教育</t>
        </is>
      </c>
      <c r="J1146">
        <v>6598</v>
      </c>
      <c r="K1146" t="inlineStr">
        <is>
          <t>0.7</t>
        </is>
      </c>
      <c r="L1146">
        <v>6082</v>
      </c>
      <c r="M1146">
        <v>1004</v>
      </c>
      <c r="N1146">
        <v>212</v>
      </c>
      <c r="O1146">
        <v>400</v>
      </c>
      <c r="P1146">
        <v>0</v>
      </c>
      <c r="Q1146">
        <v>0.5</v>
      </c>
      <c r="R1146">
        <v>6082</v>
      </c>
      <c r="S1146">
        <v>1004</v>
      </c>
      <c r="T1146">
        <v>188</v>
      </c>
      <c r="U1146">
        <v>0.7</v>
      </c>
      <c r="V1146">
        <v>400</v>
      </c>
      <c r="W1146">
        <v>0.5</v>
      </c>
      <c r="X1146">
        <v>0</v>
      </c>
      <c r="Y1146">
        <v>65.77</v>
      </c>
      <c r="Z1146">
        <v>1.89</v>
      </c>
      <c r="AA1146">
        <v>0</v>
      </c>
      <c r="AB1146">
        <v>0</v>
      </c>
      <c r="AC1146">
        <v>0</v>
      </c>
      <c r="AD1146">
        <v>0</v>
      </c>
      <c r="AE1146">
        <v>700</v>
      </c>
      <c r="AF1146">
        <v>0</v>
      </c>
      <c r="AG1146">
        <v>0</v>
      </c>
      <c r="AH1146">
        <v>0</v>
      </c>
      <c r="AI1146">
        <v>0</v>
      </c>
      <c r="AJ1146">
        <v>0</v>
      </c>
      <c r="AK1146">
        <v>0</v>
      </c>
      <c r="AL1146">
        <v>0</v>
      </c>
      <c r="AM1146">
        <v>0</v>
      </c>
      <c r="AN1146">
        <v>0</v>
      </c>
      <c r="AO1146">
        <v>0</v>
      </c>
      <c r="AP1146">
        <v>0.861</v>
      </c>
      <c r="AQ1146">
        <v>0.073</v>
      </c>
      <c r="AR1146">
        <v>0.036</v>
      </c>
      <c r="AS1146" s="3">
        <v>46107.77820601852</v>
      </c>
    </row>
    <row r="1147" ht="25.5" customHeight="1">
      <c r="A1147" t="inlineStr">
        <is>
          <t>64b75084000000000b016d30</t>
        </is>
      </c>
      <c r="B1147" s="2" t="str">
        <f>=HYPERLINK("https://www.xiaohongshu.com/user/profile/64b75084000000000b016d30", "https://www.xiaohongshu.com/user/profile/64b75084000000000b016d30")</f>
        <v>https://www.xiaohongshu.com/user/profile/64b75084000000000b016d30</v>
      </c>
      <c r="C1147" s="2" t="str">
        <f>=HYPERLINK("https://pgy.xiaohongshu.com/solar/pre-trade/blogger-detail/64b75084000000000b016d30", "https://pgy.xiaohongshu.com/solar/pre-trade/blogger-detail/64b75084000000000b016d30")</f>
        <v>https://pgy.xiaohongshu.com/solar/pre-trade/blogger-detail/64b75084000000000b016d30</v>
      </c>
      <c r="D1147" t="inlineStr">
        <is>
          <t>男</t>
        </is>
      </c>
      <c r="E1147" t="inlineStr">
        <is>
          <t>8921291897</t>
        </is>
      </c>
      <c r="F1147" t="inlineStr">
        <is>
          <t>一头金针菇</t>
        </is>
      </c>
      <c r="G1147" t="inlineStr">
        <is>
          <t>黑龙江 哈尔滨 香坊区</t>
        </is>
      </c>
      <c r="H1147" t="inlineStr">
        <is>
          <t>数码爱好者, 学生</t>
        </is>
      </c>
      <c r="I1147"/>
      <c r="J1147">
        <v>1319</v>
      </c>
      <c r="K1147" t="inlineStr">
        <is>
          <t>0.1</t>
        </is>
      </c>
      <c r="L1147">
        <v>12900</v>
      </c>
      <c r="M1147">
        <v>1566</v>
      </c>
      <c r="N1147">
        <v>165</v>
      </c>
      <c r="O1147">
        <v>274</v>
      </c>
      <c r="P1147">
        <v>0</v>
      </c>
      <c r="Q1147">
        <v>0.5</v>
      </c>
      <c r="R1147">
        <v>0</v>
      </c>
      <c r="S1147">
        <v>0</v>
      </c>
      <c r="T1147">
        <v>0</v>
      </c>
      <c r="U1147">
        <v>0</v>
      </c>
      <c r="V1147">
        <v>274</v>
      </c>
      <c r="W1147">
        <v>0</v>
      </c>
      <c r="X1147">
        <v>0</v>
      </c>
      <c r="Y1147">
        <v>0</v>
      </c>
      <c r="Z1147">
        <v>0</v>
      </c>
      <c r="AA1147">
        <v>12900</v>
      </c>
      <c r="AB1147">
        <v>1566</v>
      </c>
      <c r="AC1147">
        <v>145</v>
      </c>
      <c r="AD1147">
        <v>1.69</v>
      </c>
      <c r="AE1147">
        <v>300</v>
      </c>
      <c r="AF1147">
        <v>0.5</v>
      </c>
      <c r="AG1147">
        <v>0</v>
      </c>
      <c r="AH1147">
        <v>0.168999999999999</v>
      </c>
      <c r="AI1147">
        <v>23.25</v>
      </c>
      <c r="AJ1147">
        <v>1.81</v>
      </c>
      <c r="AK1147">
        <v>0</v>
      </c>
      <c r="AL1147">
        <v>0</v>
      </c>
      <c r="AM1147">
        <v>0</v>
      </c>
      <c r="AN1147">
        <v>0</v>
      </c>
      <c r="AO1147">
        <v>0</v>
      </c>
      <c r="AP1147">
        <v>0.84</v>
      </c>
      <c r="AQ1147">
        <v>0.068</v>
      </c>
      <c r="AR1147">
        <v>0.019</v>
      </c>
      <c r="AS1147" s="3">
        <v>46107.77820601852</v>
      </c>
    </row>
    <row r="1148" ht="25.5" customHeight="1">
      <c r="A1148" t="inlineStr">
        <is>
          <t>5a708cc34eacab75e83171de</t>
        </is>
      </c>
      <c r="B1148" s="2" t="str">
        <f>=HYPERLINK("https://www.xiaohongshu.com/user/profile/5a708cc34eacab75e83171de", "https://www.xiaohongshu.com/user/profile/5a708cc34eacab75e83171de")</f>
        <v>https://www.xiaohongshu.com/user/profile/5a708cc34eacab75e83171de</v>
      </c>
      <c r="C1148" s="2" t="str">
        <f>=HYPERLINK("https://pgy.xiaohongshu.com/solar/pre-trade/blogger-detail/5a708cc34eacab75e83171de", "https://pgy.xiaohongshu.com/solar/pre-trade/blogger-detail/5a708cc34eacab75e83171de")</f>
        <v>https://pgy.xiaohongshu.com/solar/pre-trade/blogger-detail/5a708cc34eacab75e83171de</v>
      </c>
      <c r="D1148" t="inlineStr">
        <is>
          <t>女</t>
        </is>
      </c>
      <c r="E1148" t="inlineStr">
        <is>
          <t>635843303</t>
        </is>
      </c>
      <c r="F1148" t="inlineStr">
        <is>
          <t>小k</t>
        </is>
      </c>
      <c r="G1148" t="inlineStr">
        <is>
          <t>芬兰</t>
        </is>
      </c>
      <c r="H1148"/>
      <c r="I1148" t="inlineStr">
        <is>
          <t>教育</t>
        </is>
      </c>
      <c r="J1148">
        <v>1094</v>
      </c>
      <c r="K1148" t="inlineStr">
        <is>
          <t>0.1</t>
        </is>
      </c>
      <c r="L1148">
        <v>7427</v>
      </c>
      <c r="M1148">
        <v>2039</v>
      </c>
      <c r="N1148">
        <v>430</v>
      </c>
      <c r="O1148">
        <v>410</v>
      </c>
      <c r="P1148">
        <v>0</v>
      </c>
      <c r="Q1148">
        <v>0.667</v>
      </c>
      <c r="R1148">
        <v>7427</v>
      </c>
      <c r="S1148">
        <v>2039</v>
      </c>
      <c r="T1148">
        <v>324</v>
      </c>
      <c r="U1148">
        <v>0.5</v>
      </c>
      <c r="V1148">
        <v>410</v>
      </c>
      <c r="W1148">
        <v>0.667</v>
      </c>
      <c r="X1148">
        <v>0</v>
      </c>
      <c r="Y1148">
        <v>55.2</v>
      </c>
      <c r="Z1148">
        <v>0.95</v>
      </c>
      <c r="AA1148">
        <v>0</v>
      </c>
      <c r="AB1148">
        <v>0</v>
      </c>
      <c r="AC1148">
        <v>0</v>
      </c>
      <c r="AD1148">
        <v>0</v>
      </c>
      <c r="AE1148">
        <v>732</v>
      </c>
      <c r="AF1148">
        <v>0</v>
      </c>
      <c r="AG1148">
        <v>0</v>
      </c>
      <c r="AH1148">
        <v>0</v>
      </c>
      <c r="AI1148">
        <v>0</v>
      </c>
      <c r="AJ1148">
        <v>0</v>
      </c>
      <c r="AK1148">
        <v>0</v>
      </c>
      <c r="AL1148">
        <v>0</v>
      </c>
      <c r="AM1148">
        <v>0</v>
      </c>
      <c r="AN1148">
        <v>0</v>
      </c>
      <c r="AO1148">
        <v>0</v>
      </c>
      <c r="AP1148">
        <v>0.829</v>
      </c>
      <c r="AQ1148">
        <v>0.08</v>
      </c>
      <c r="AR1148">
        <v>0</v>
      </c>
      <c r="AS1148" s="3">
        <v>46107.77820601852</v>
      </c>
    </row>
    <row r="1149" ht="25.5" customHeight="1">
      <c r="A1149" t="inlineStr">
        <is>
          <t>633e2ef9000000001802b031</t>
        </is>
      </c>
      <c r="B1149" s="2" t="str">
        <f>=HYPERLINK("https://www.xiaohongshu.com/user/profile/633e2ef9000000001802b031", "https://www.xiaohongshu.com/user/profile/633e2ef9000000001802b031")</f>
        <v>https://www.xiaohongshu.com/user/profile/633e2ef9000000001802b031</v>
      </c>
      <c r="C1149" s="2" t="str">
        <f>=HYPERLINK("https://pgy.xiaohongshu.com/solar/pre-trade/blogger-detail/633e2ef9000000001802b031", "https://pgy.xiaohongshu.com/solar/pre-trade/blogger-detail/633e2ef9000000001802b031")</f>
        <v>https://pgy.xiaohongshu.com/solar/pre-trade/blogger-detail/633e2ef9000000001802b031</v>
      </c>
      <c r="D1149" t="inlineStr">
        <is>
          <t>女</t>
        </is>
      </c>
      <c r="E1149" t="inlineStr">
        <is>
          <t>4124194597</t>
        </is>
      </c>
      <c r="F1149" t="inlineStr">
        <is>
          <t>ChineseTeacher wu</t>
        </is>
      </c>
      <c r="G1149" t="inlineStr">
        <is>
          <t>重庆</t>
        </is>
      </c>
      <c r="H1149" t="inlineStr">
        <is>
          <t>翻译</t>
        </is>
      </c>
      <c r="I1149" t="inlineStr">
        <is>
          <t>教育</t>
        </is>
      </c>
      <c r="J1149">
        <v>3314</v>
      </c>
      <c r="K1149" t="inlineStr">
        <is>
          <t>0.3</t>
        </is>
      </c>
      <c r="L1149">
        <v>9166</v>
      </c>
      <c r="M1149">
        <v>1843</v>
      </c>
      <c r="N1149">
        <v>326</v>
      </c>
      <c r="O1149">
        <v>163</v>
      </c>
      <c r="P1149">
        <v>0</v>
      </c>
      <c r="Q1149">
        <v>1</v>
      </c>
      <c r="R1149">
        <v>0</v>
      </c>
      <c r="S1149">
        <v>0</v>
      </c>
      <c r="T1149">
        <v>0</v>
      </c>
      <c r="U1149">
        <v>0</v>
      </c>
      <c r="V1149">
        <v>163</v>
      </c>
      <c r="W1149">
        <v>0</v>
      </c>
      <c r="X1149">
        <v>0</v>
      </c>
      <c r="Y1149">
        <v>0</v>
      </c>
      <c r="Z1149">
        <v>0</v>
      </c>
      <c r="AA1149">
        <v>9166</v>
      </c>
      <c r="AB1149">
        <v>1843</v>
      </c>
      <c r="AC1149">
        <v>217</v>
      </c>
      <c r="AD1149">
        <v>1.62</v>
      </c>
      <c r="AE1149">
        <v>217</v>
      </c>
      <c r="AF1149">
        <v>1</v>
      </c>
      <c r="AG1149">
        <v>0</v>
      </c>
      <c r="AH1149">
        <v>0.042</v>
      </c>
      <c r="AI1149">
        <v>23.67</v>
      </c>
      <c r="AJ1149">
        <v>0.67</v>
      </c>
      <c r="AK1149">
        <v>0</v>
      </c>
      <c r="AL1149">
        <v>0</v>
      </c>
      <c r="AM1149">
        <v>0</v>
      </c>
      <c r="AN1149">
        <v>0</v>
      </c>
      <c r="AO1149">
        <v>0</v>
      </c>
      <c r="AP1149">
        <v>0.847</v>
      </c>
      <c r="AQ1149">
        <v>0.0559999999999999</v>
      </c>
      <c r="AR1149">
        <v>0.1</v>
      </c>
      <c r="AS1149" s="3">
        <v>46107.77820601852</v>
      </c>
    </row>
    <row r="1150" ht="25.5" customHeight="1">
      <c r="A1150" t="inlineStr">
        <is>
          <t>606c6116000000000101c3d7</t>
        </is>
      </c>
      <c r="B1150" s="2" t="str">
        <f>=HYPERLINK("https://www.xiaohongshu.com/user/profile/606c6116000000000101c3d7", "https://www.xiaohongshu.com/user/profile/606c6116000000000101c3d7")</f>
        <v>https://www.xiaohongshu.com/user/profile/606c6116000000000101c3d7</v>
      </c>
      <c r="C1150" s="2" t="str">
        <f>=HYPERLINK("https://pgy.xiaohongshu.com/solar/pre-trade/blogger-detail/606c6116000000000101c3d7", "https://pgy.xiaohongshu.com/solar/pre-trade/blogger-detail/606c6116000000000101c3d7")</f>
        <v>https://pgy.xiaohongshu.com/solar/pre-trade/blogger-detail/606c6116000000000101c3d7</v>
      </c>
      <c r="D1150" t="inlineStr">
        <is>
          <t>女</t>
        </is>
      </c>
      <c r="E1150" t="inlineStr">
        <is>
          <t>1143743488</t>
        </is>
      </c>
      <c r="F1150" t="inlineStr">
        <is>
          <t>For Evelyn.</t>
        </is>
      </c>
      <c r="G1150" t="inlineStr">
        <is>
          <t>英国</t>
        </is>
      </c>
      <c r="H1150" t="inlineStr">
        <is>
          <t>留学背景, 学生, 作家</t>
        </is>
      </c>
      <c r="I1150" t="inlineStr">
        <is>
          <t>教育</t>
        </is>
      </c>
      <c r="J1150">
        <v>2253</v>
      </c>
      <c r="K1150" t="inlineStr">
        <is>
          <t>0.2</t>
        </is>
      </c>
      <c r="L1150">
        <v>4531</v>
      </c>
      <c r="M1150">
        <v>615</v>
      </c>
      <c r="N1150">
        <v>118</v>
      </c>
      <c r="O1150">
        <v>450</v>
      </c>
      <c r="P1150">
        <v>0.2</v>
      </c>
      <c r="Q1150">
        <v>0.4</v>
      </c>
      <c r="R1150">
        <v>5089</v>
      </c>
      <c r="S1150">
        <v>750</v>
      </c>
      <c r="T1150">
        <v>120</v>
      </c>
      <c r="U1150">
        <v>0.9</v>
      </c>
      <c r="V1150">
        <v>450</v>
      </c>
      <c r="W1150">
        <v>0.5</v>
      </c>
      <c r="X1150">
        <v>0.25</v>
      </c>
      <c r="Y1150">
        <v>88.43</v>
      </c>
      <c r="Z1150">
        <v>3.19</v>
      </c>
      <c r="AA1150">
        <v>2888</v>
      </c>
      <c r="AB1150">
        <v>446</v>
      </c>
      <c r="AC1150">
        <v>23</v>
      </c>
      <c r="AD1150">
        <v>3.09</v>
      </c>
      <c r="AE1150">
        <v>708</v>
      </c>
      <c r="AF1150">
        <v>0</v>
      </c>
      <c r="AG1150">
        <v>0</v>
      </c>
      <c r="AH1150">
        <v>0.111</v>
      </c>
      <c r="AI1150">
        <v>245.15</v>
      </c>
      <c r="AJ1150">
        <v>25.29</v>
      </c>
      <c r="AK1150">
        <v>0</v>
      </c>
      <c r="AL1150">
        <v>0</v>
      </c>
      <c r="AM1150">
        <v>0</v>
      </c>
      <c r="AN1150">
        <v>0</v>
      </c>
      <c r="AO1150">
        <v>0</v>
      </c>
      <c r="AP1150">
        <v>0.884</v>
      </c>
      <c r="AQ1150">
        <v>0.055</v>
      </c>
      <c r="AR1150">
        <v>0.0579999999999999</v>
      </c>
      <c r="AS1150" s="3">
        <v>46107.77820601852</v>
      </c>
    </row>
    <row r="1151" ht="25.5" customHeight="1">
      <c r="A1151" t="inlineStr">
        <is>
          <t>5e27af920000000001003593</t>
        </is>
      </c>
      <c r="B1151" s="2" t="str">
        <f>=HYPERLINK("https://www.xiaohongshu.com/user/profile/5e27af920000000001003593", "https://www.xiaohongshu.com/user/profile/5e27af920000000001003593")</f>
        <v>https://www.xiaohongshu.com/user/profile/5e27af920000000001003593</v>
      </c>
      <c r="C1151" s="2" t="str">
        <f>=HYPERLINK("https://pgy.xiaohongshu.com/solar/pre-trade/blogger-detail/5e27af920000000001003593", "https://pgy.xiaohongshu.com/solar/pre-trade/blogger-detail/5e27af920000000001003593")</f>
        <v>https://pgy.xiaohongshu.com/solar/pre-trade/blogger-detail/5e27af920000000001003593</v>
      </c>
      <c r="D1151" t="inlineStr">
        <is>
          <t>女</t>
        </is>
      </c>
      <c r="E1151" t="inlineStr">
        <is>
          <t>830155749</t>
        </is>
      </c>
      <c r="F1151" t="inlineStr">
        <is>
          <t>Fionattt.</t>
        </is>
      </c>
      <c r="G1151" t="inlineStr">
        <is>
          <t>中国 香港</t>
        </is>
      </c>
      <c r="H1151"/>
      <c r="I1151" t="inlineStr">
        <is>
          <t>教育, 生活记录</t>
        </is>
      </c>
      <c r="J1151">
        <v>16356</v>
      </c>
      <c r="K1151" t="inlineStr">
        <is>
          <t>1.6</t>
        </is>
      </c>
      <c r="L1151">
        <v>16403</v>
      </c>
      <c r="M1151">
        <v>3682</v>
      </c>
      <c r="N1151">
        <v>288</v>
      </c>
      <c r="O1151">
        <v>2800</v>
      </c>
      <c r="P1151">
        <v>0</v>
      </c>
      <c r="Q1151">
        <v>1</v>
      </c>
      <c r="R1151">
        <v>18784</v>
      </c>
      <c r="S1151">
        <v>3868</v>
      </c>
      <c r="T1151">
        <v>237</v>
      </c>
      <c r="U1151">
        <v>1.02</v>
      </c>
      <c r="V1151">
        <v>2800</v>
      </c>
      <c r="W1151">
        <v>1</v>
      </c>
      <c r="X1151">
        <v>0</v>
      </c>
      <c r="Y1151">
        <v>149.06</v>
      </c>
      <c r="Z1151">
        <v>10.11</v>
      </c>
      <c r="AA1151">
        <v>14881</v>
      </c>
      <c r="AB1151">
        <v>3245</v>
      </c>
      <c r="AC1151">
        <v>263</v>
      </c>
      <c r="AD1151">
        <v>2.89</v>
      </c>
      <c r="AE1151">
        <v>4500</v>
      </c>
      <c r="AF1151">
        <v>1</v>
      </c>
      <c r="AG1151">
        <v>0</v>
      </c>
      <c r="AH1151">
        <v>0.098</v>
      </c>
      <c r="AI1151">
        <v>302.4</v>
      </c>
      <c r="AJ1151">
        <v>14.73</v>
      </c>
      <c r="AK1151">
        <v>0</v>
      </c>
      <c r="AL1151">
        <v>0</v>
      </c>
      <c r="AM1151">
        <v>0</v>
      </c>
      <c r="AN1151">
        <v>0</v>
      </c>
      <c r="AO1151">
        <v>0</v>
      </c>
      <c r="AP1151">
        <v>0.825</v>
      </c>
      <c r="AQ1151">
        <v>0.032</v>
      </c>
      <c r="AR1151">
        <v>0.00699999999999999</v>
      </c>
      <c r="AS1151" s="3">
        <v>46107.77820601852</v>
      </c>
    </row>
    <row r="1152" ht="25.5" customHeight="1">
      <c r="A1152" t="inlineStr">
        <is>
          <t>5e89c14a000000000100b947</t>
        </is>
      </c>
      <c r="B1152" s="2" t="str">
        <f>=HYPERLINK("https://www.xiaohongshu.com/user/profile/5e89c14a000000000100b947", "https://www.xiaohongshu.com/user/profile/5e89c14a000000000100b947")</f>
        <v>https://www.xiaohongshu.com/user/profile/5e89c14a000000000100b947</v>
      </c>
      <c r="C1152" s="2" t="str">
        <f>=HYPERLINK("https://pgy.xiaohongshu.com/solar/pre-trade/blogger-detail/5e89c14a000000000100b947", "https://pgy.xiaohongshu.com/solar/pre-trade/blogger-detail/5e89c14a000000000100b947")</f>
        <v>https://pgy.xiaohongshu.com/solar/pre-trade/blogger-detail/5e89c14a000000000100b947</v>
      </c>
      <c r="D1152" t="inlineStr">
        <is>
          <t>女</t>
        </is>
      </c>
      <c r="E1152" t="inlineStr">
        <is>
          <t>S328160</t>
        </is>
      </c>
      <c r="F1152" t="inlineStr">
        <is>
          <t>雅思托福教书匠Keesha</t>
        </is>
      </c>
      <c r="G1152" t="inlineStr">
        <is>
          <t>四川 成都 龙泉驿区</t>
        </is>
      </c>
      <c r="H1152"/>
      <c r="I1152" t="inlineStr">
        <is>
          <t>教育</t>
        </is>
      </c>
      <c r="J1152">
        <v>40272</v>
      </c>
      <c r="K1152" t="inlineStr">
        <is>
          <t>4.0</t>
        </is>
      </c>
      <c r="L1152">
        <v>9544</v>
      </c>
      <c r="M1152">
        <v>2022</v>
      </c>
      <c r="N1152">
        <v>304</v>
      </c>
      <c r="O1152">
        <v>1000</v>
      </c>
      <c r="P1152">
        <v>0</v>
      </c>
      <c r="Q1152">
        <v>0.5</v>
      </c>
      <c r="R1152">
        <v>13031</v>
      </c>
      <c r="S1152">
        <v>2905</v>
      </c>
      <c r="T1152">
        <v>443</v>
      </c>
      <c r="U1152">
        <v>0.64</v>
      </c>
      <c r="V1152">
        <v>1000</v>
      </c>
      <c r="W1152">
        <v>0.75</v>
      </c>
      <c r="X1152">
        <v>0</v>
      </c>
      <c r="Y1152">
        <v>76.74</v>
      </c>
      <c r="Z1152">
        <v>2.01</v>
      </c>
      <c r="AA1152">
        <v>6063</v>
      </c>
      <c r="AB1152">
        <v>908</v>
      </c>
      <c r="AC1152">
        <v>119</v>
      </c>
      <c r="AD1152">
        <v>3.7</v>
      </c>
      <c r="AE1152">
        <v>2000</v>
      </c>
      <c r="AF1152">
        <v>0</v>
      </c>
      <c r="AG1152">
        <v>0</v>
      </c>
      <c r="AH1152">
        <v>0.019</v>
      </c>
      <c r="AI1152">
        <v>329.87</v>
      </c>
      <c r="AJ1152">
        <v>13.42</v>
      </c>
      <c r="AK1152">
        <v>0</v>
      </c>
      <c r="AL1152">
        <v>0</v>
      </c>
      <c r="AM1152">
        <v>0</v>
      </c>
      <c r="AN1152">
        <v>0</v>
      </c>
      <c r="AO1152">
        <v>0</v>
      </c>
      <c r="AP1152">
        <v>0.745</v>
      </c>
      <c r="AQ1152">
        <v>0.00699999999999999</v>
      </c>
      <c r="AR1152">
        <v>-0.001</v>
      </c>
      <c r="AS1152" s="3">
        <v>46107.77820601852</v>
      </c>
    </row>
    <row r="1153" ht="25.5" customHeight="1">
      <c r="A1153" t="inlineStr">
        <is>
          <t>5ab660f54eacab540401c64e</t>
        </is>
      </c>
      <c r="B1153" s="2" t="str">
        <f>=HYPERLINK("https://www.xiaohongshu.com/user/profile/5ab660f54eacab540401c64e", "https://www.xiaohongshu.com/user/profile/5ab660f54eacab540401c64e")</f>
        <v>https://www.xiaohongshu.com/user/profile/5ab660f54eacab540401c64e</v>
      </c>
      <c r="C1153" s="2" t="str">
        <f>=HYPERLINK("https://pgy.xiaohongshu.com/solar/pre-trade/blogger-detail/5ab660f54eacab540401c64e", "https://pgy.xiaohongshu.com/solar/pre-trade/blogger-detail/5ab660f54eacab540401c64e")</f>
        <v>https://pgy.xiaohongshu.com/solar/pre-trade/blogger-detail/5ab660f54eacab540401c64e</v>
      </c>
      <c r="D1153" t="inlineStr">
        <is>
          <t>女</t>
        </is>
      </c>
      <c r="E1153" t="inlineStr">
        <is>
          <t>959742351</t>
        </is>
      </c>
      <c r="F1153" t="inlineStr">
        <is>
          <t>Siwen-Chinese</t>
        </is>
      </c>
      <c r="G1153" t="inlineStr">
        <is>
          <t>湖北 武汉 东西湖区</t>
        </is>
      </c>
      <c r="H1153"/>
      <c r="I1153" t="inlineStr">
        <is>
          <t>教育</t>
        </is>
      </c>
      <c r="J1153">
        <v>5618</v>
      </c>
      <c r="K1153" t="inlineStr">
        <is>
          <t>0.6</t>
        </is>
      </c>
      <c r="L1153">
        <v>1565</v>
      </c>
      <c r="M1153">
        <v>890</v>
      </c>
      <c r="N1153">
        <v>167</v>
      </c>
      <c r="O1153">
        <v>169</v>
      </c>
      <c r="P1153">
        <v>0</v>
      </c>
      <c r="Q1153">
        <v>0.364</v>
      </c>
      <c r="R1153">
        <v>0</v>
      </c>
      <c r="S1153">
        <v>0</v>
      </c>
      <c r="T1153">
        <v>0</v>
      </c>
      <c r="U1153">
        <v>0</v>
      </c>
      <c r="V1153">
        <v>169</v>
      </c>
      <c r="W1153">
        <v>0</v>
      </c>
      <c r="X1153">
        <v>0</v>
      </c>
      <c r="Y1153">
        <v>0</v>
      </c>
      <c r="Z1153">
        <v>0</v>
      </c>
      <c r="AA1153">
        <v>1565</v>
      </c>
      <c r="AB1153">
        <v>890</v>
      </c>
      <c r="AC1153">
        <v>122</v>
      </c>
      <c r="AD1153">
        <v>1.74</v>
      </c>
      <c r="AE1153">
        <v>211</v>
      </c>
      <c r="AF1153">
        <v>0.364</v>
      </c>
      <c r="AG1153">
        <v>0</v>
      </c>
      <c r="AH1153">
        <v>0.193</v>
      </c>
      <c r="AI1153">
        <v>134.82</v>
      </c>
      <c r="AJ1153">
        <v>1.26</v>
      </c>
      <c r="AK1153">
        <v>0</v>
      </c>
      <c r="AL1153">
        <v>0</v>
      </c>
      <c r="AM1153">
        <v>0</v>
      </c>
      <c r="AN1153">
        <v>0</v>
      </c>
      <c r="AO1153">
        <v>0</v>
      </c>
      <c r="AP1153">
        <v>0.518</v>
      </c>
      <c r="AQ1153">
        <v>0.04</v>
      </c>
      <c r="AR1153">
        <v>0.074</v>
      </c>
      <c r="AS1153" s="3">
        <v>46107.77820601852</v>
      </c>
    </row>
    <row r="1154" ht="25.5" customHeight="1">
      <c r="A1154" t="inlineStr">
        <is>
          <t>60dc0cb0000000002002db29</t>
        </is>
      </c>
      <c r="B1154" s="2" t="str">
        <f>=HYPERLINK("https://www.xiaohongshu.com/user/profile/60dc0cb0000000002002db29", "https://www.xiaohongshu.com/user/profile/60dc0cb0000000002002db29")</f>
        <v>https://www.xiaohongshu.com/user/profile/60dc0cb0000000002002db29</v>
      </c>
      <c r="C1154" s="2" t="str">
        <f>=HYPERLINK("https://pgy.xiaohongshu.com/solar/pre-trade/blogger-detail/60dc0cb0000000002002db29", "https://pgy.xiaohongshu.com/solar/pre-trade/blogger-detail/60dc0cb0000000002002db29")</f>
        <v>https://pgy.xiaohongshu.com/solar/pre-trade/blogger-detail/60dc0cb0000000002002db29</v>
      </c>
      <c r="D1154" t="inlineStr">
        <is>
          <t>女</t>
        </is>
      </c>
      <c r="E1154" t="inlineStr">
        <is>
          <t>9536044761</t>
        </is>
      </c>
      <c r="F1154" t="inlineStr">
        <is>
          <t>Wendy</t>
        </is>
      </c>
      <c r="G1154" t="inlineStr">
        <is>
          <t>安徽 蚌埠 五河县</t>
        </is>
      </c>
      <c r="H1154"/>
      <c r="I1154"/>
      <c r="J1154">
        <v>1207</v>
      </c>
      <c r="K1154" t="inlineStr">
        <is>
          <t>0.1</t>
        </is>
      </c>
      <c r="L1154">
        <v>20472</v>
      </c>
      <c r="M1154">
        <v>5678</v>
      </c>
      <c r="N1154">
        <v>609</v>
      </c>
      <c r="O1154">
        <v>200</v>
      </c>
      <c r="P1154">
        <v>0</v>
      </c>
      <c r="Q1154">
        <v>1</v>
      </c>
      <c r="R1154">
        <v>20472</v>
      </c>
      <c r="S1154">
        <v>5678</v>
      </c>
      <c r="T1154">
        <v>455</v>
      </c>
      <c r="U1154">
        <v>0.34</v>
      </c>
      <c r="V1154">
        <v>200</v>
      </c>
      <c r="W1154">
        <v>1</v>
      </c>
      <c r="X1154">
        <v>0</v>
      </c>
      <c r="Y1154">
        <v>9.77</v>
      </c>
      <c r="Z1154">
        <v>0.33</v>
      </c>
      <c r="AA1154">
        <v>0</v>
      </c>
      <c r="AB1154">
        <v>0</v>
      </c>
      <c r="AC1154">
        <v>0</v>
      </c>
      <c r="AD1154">
        <v>0</v>
      </c>
      <c r="AE1154">
        <v>200</v>
      </c>
      <c r="AF1154">
        <v>0</v>
      </c>
      <c r="AG1154">
        <v>0</v>
      </c>
      <c r="AH1154">
        <v>0</v>
      </c>
      <c r="AI1154">
        <v>0</v>
      </c>
      <c r="AJ1154">
        <v>0</v>
      </c>
      <c r="AK1154">
        <v>0</v>
      </c>
      <c r="AL1154">
        <v>0</v>
      </c>
      <c r="AM1154">
        <v>0</v>
      </c>
      <c r="AN1154">
        <v>0</v>
      </c>
      <c r="AO1154">
        <v>0</v>
      </c>
      <c r="AP1154">
        <v>0.619</v>
      </c>
      <c r="AQ1154">
        <v>0.046</v>
      </c>
      <c r="AR1154">
        <v>0.132</v>
      </c>
      <c r="AS1154" s="3">
        <v>46107.77820601852</v>
      </c>
    </row>
    <row r="1155" ht="25.5" customHeight="1">
      <c r="A1155" t="inlineStr">
        <is>
          <t>5be6da4ce85ef000017702fa</t>
        </is>
      </c>
      <c r="B1155" s="2" t="str">
        <f>=HYPERLINK("https://www.xiaohongshu.com/user/profile/5be6da4ce85ef000017702fa", "https://www.xiaohongshu.com/user/profile/5be6da4ce85ef000017702fa")</f>
        <v>https://www.xiaohongshu.com/user/profile/5be6da4ce85ef000017702fa</v>
      </c>
      <c r="C1155" s="2" t="str">
        <f>=HYPERLINK("https://pgy.xiaohongshu.com/solar/pre-trade/blogger-detail/5be6da4ce85ef000017702fa", "https://pgy.xiaohongshu.com/solar/pre-trade/blogger-detail/5be6da4ce85ef000017702fa")</f>
        <v>https://pgy.xiaohongshu.com/solar/pre-trade/blogger-detail/5be6da4ce85ef000017702fa</v>
      </c>
      <c r="D1155" t="inlineStr">
        <is>
          <t>男</t>
        </is>
      </c>
      <c r="E1155" t="inlineStr">
        <is>
          <t>384992185</t>
        </is>
      </c>
      <c r="F1155" t="inlineStr">
        <is>
          <t>为大家卡德</t>
        </is>
      </c>
      <c r="G1155" t="inlineStr">
        <is>
          <t>北京</t>
        </is>
      </c>
      <c r="H1155"/>
      <c r="I1155" t="inlineStr">
        <is>
          <t>生活记录, 运动健身</t>
        </is>
      </c>
      <c r="J1155">
        <v>1789</v>
      </c>
      <c r="K1155" t="inlineStr">
        <is>
          <t>0.2</t>
        </is>
      </c>
      <c r="L1155">
        <v>4229</v>
      </c>
      <c r="M1155">
        <v>716</v>
      </c>
      <c r="N1155">
        <v>215</v>
      </c>
      <c r="O1155">
        <v>414</v>
      </c>
      <c r="P1155">
        <v>0</v>
      </c>
      <c r="Q1155">
        <v>0.5</v>
      </c>
      <c r="R1155">
        <v>4229</v>
      </c>
      <c r="S1155">
        <v>716</v>
      </c>
      <c r="T1155">
        <v>212</v>
      </c>
      <c r="U1155">
        <v>0.88</v>
      </c>
      <c r="V1155">
        <v>414</v>
      </c>
      <c r="W1155">
        <v>0.5</v>
      </c>
      <c r="X1155">
        <v>0</v>
      </c>
      <c r="Y1155">
        <v>97.9</v>
      </c>
      <c r="Z1155">
        <v>1.93</v>
      </c>
      <c r="AA1155">
        <v>0</v>
      </c>
      <c r="AB1155">
        <v>0</v>
      </c>
      <c r="AC1155">
        <v>0</v>
      </c>
      <c r="AD1155">
        <v>0</v>
      </c>
      <c r="AE1155">
        <v>829</v>
      </c>
      <c r="AF1155">
        <v>0</v>
      </c>
      <c r="AG1155">
        <v>0</v>
      </c>
      <c r="AH1155">
        <v>0</v>
      </c>
      <c r="AI1155">
        <v>0</v>
      </c>
      <c r="AJ1155">
        <v>0</v>
      </c>
      <c r="AK1155">
        <v>0</v>
      </c>
      <c r="AL1155">
        <v>0</v>
      </c>
      <c r="AM1155">
        <v>0</v>
      </c>
      <c r="AN1155">
        <v>0</v>
      </c>
      <c r="AO1155">
        <v>0</v>
      </c>
      <c r="AP1155">
        <v>0.795</v>
      </c>
      <c r="AQ1155">
        <v>0.074</v>
      </c>
      <c r="AR1155">
        <v>-0.001</v>
      </c>
      <c r="AS1155" s="3">
        <v>46107.77820601852</v>
      </c>
    </row>
    <row r="1156" ht="25.5" customHeight="1">
      <c r="A1156" t="inlineStr">
        <is>
          <t>68b1bfa40000000019017abf</t>
        </is>
      </c>
      <c r="B1156" s="2" t="str">
        <f>=HYPERLINK("https://www.xiaohongshu.com/user/profile/68b1bfa40000000019017abf", "https://www.xiaohongshu.com/user/profile/68b1bfa40000000019017abf")</f>
        <v>https://www.xiaohongshu.com/user/profile/68b1bfa40000000019017abf</v>
      </c>
      <c r="C1156" s="2" t="str">
        <f>=HYPERLINK("https://pgy.xiaohongshu.com/solar/pre-trade/blogger-detail/68b1bfa40000000019017abf", "https://pgy.xiaohongshu.com/solar/pre-trade/blogger-detail/68b1bfa40000000019017abf")</f>
        <v>https://pgy.xiaohongshu.com/solar/pre-trade/blogger-detail/68b1bfa40000000019017abf</v>
      </c>
      <c r="D1156" t="inlineStr">
        <is>
          <t>男</t>
        </is>
      </c>
      <c r="E1156" t="inlineStr">
        <is>
          <t>xxxxhy930</t>
        </is>
      </c>
      <c r="F1156" t="inlineStr">
        <is>
          <t>美音雅思John</t>
        </is>
      </c>
      <c r="G1156" t="inlineStr">
        <is>
          <t>贵州 毕节 赫章县</t>
        </is>
      </c>
      <c r="H1156"/>
      <c r="I1156" t="inlineStr">
        <is>
          <t>教育</t>
        </is>
      </c>
      <c r="J1156">
        <v>2957</v>
      </c>
      <c r="K1156" t="inlineStr">
        <is>
          <t>0.3</t>
        </is>
      </c>
      <c r="L1156">
        <v>4567</v>
      </c>
      <c r="M1156">
        <v>1021</v>
      </c>
      <c r="N1156">
        <v>106</v>
      </c>
      <c r="O1156">
        <v>150</v>
      </c>
      <c r="P1156">
        <v>0</v>
      </c>
      <c r="Q1156">
        <v>0.19</v>
      </c>
      <c r="R1156">
        <v>0</v>
      </c>
      <c r="S1156">
        <v>0</v>
      </c>
      <c r="T1156">
        <v>0</v>
      </c>
      <c r="U1156">
        <v>0</v>
      </c>
      <c r="V1156">
        <v>150</v>
      </c>
      <c r="W1156">
        <v>0</v>
      </c>
      <c r="X1156">
        <v>0</v>
      </c>
      <c r="Y1156">
        <v>0</v>
      </c>
      <c r="Z1156">
        <v>0</v>
      </c>
      <c r="AA1156">
        <v>4567</v>
      </c>
      <c r="AB1156">
        <v>1021</v>
      </c>
      <c r="AC1156">
        <v>71</v>
      </c>
      <c r="AD1156">
        <v>1.74</v>
      </c>
      <c r="AE1156">
        <v>240</v>
      </c>
      <c r="AF1156">
        <v>0.19</v>
      </c>
      <c r="AG1156">
        <v>0</v>
      </c>
      <c r="AH1156">
        <v>0.111999999999999</v>
      </c>
      <c r="AI1156">
        <v>52.55</v>
      </c>
      <c r="AJ1156">
        <v>2.26</v>
      </c>
      <c r="AK1156">
        <v>0</v>
      </c>
      <c r="AL1156">
        <v>0</v>
      </c>
      <c r="AM1156">
        <v>0</v>
      </c>
      <c r="AN1156">
        <v>0</v>
      </c>
      <c r="AO1156">
        <v>0</v>
      </c>
      <c r="AP1156">
        <v>0.984</v>
      </c>
      <c r="AQ1156">
        <v>0.228</v>
      </c>
      <c r="AR1156">
        <v>1.262</v>
      </c>
      <c r="AS1156" s="3">
        <v>46107.77820601852</v>
      </c>
    </row>
    <row r="1157" ht="25.5" customHeight="1">
      <c r="A1157" t="inlineStr">
        <is>
          <t>65b3bb36000000000d01dfba</t>
        </is>
      </c>
      <c r="B1157" s="2" t="str">
        <f>=HYPERLINK("https://www.xiaohongshu.com/user/profile/65b3bb36000000000d01dfba", "https://www.xiaohongshu.com/user/profile/65b3bb36000000000d01dfba")</f>
        <v>https://www.xiaohongshu.com/user/profile/65b3bb36000000000d01dfba</v>
      </c>
      <c r="C1157" s="2" t="str">
        <f>=HYPERLINK("https://pgy.xiaohongshu.com/solar/pre-trade/blogger-detail/65b3bb36000000000d01dfba", "https://pgy.xiaohongshu.com/solar/pre-trade/blogger-detail/65b3bb36000000000d01dfba")</f>
        <v>https://pgy.xiaohongshu.com/solar/pre-trade/blogger-detail/65b3bb36000000000d01dfba</v>
      </c>
      <c r="D1157" t="inlineStr">
        <is>
          <t>女</t>
        </is>
      </c>
      <c r="E1157" t="inlineStr">
        <is>
          <t>7818433950</t>
        </is>
      </c>
      <c r="F1157" t="inlineStr">
        <is>
          <t>双层芝士🧀</t>
        </is>
      </c>
      <c r="G1157" t="inlineStr">
        <is>
          <t>韩国</t>
        </is>
      </c>
      <c r="H1157"/>
      <c r="I1157" t="inlineStr">
        <is>
          <t>教育, 生活记录</t>
        </is>
      </c>
      <c r="J1157">
        <v>5156</v>
      </c>
      <c r="K1157" t="inlineStr">
        <is>
          <t>0.5</t>
        </is>
      </c>
      <c r="L1157">
        <v>4779</v>
      </c>
      <c r="M1157">
        <v>967</v>
      </c>
      <c r="N1157">
        <v>100</v>
      </c>
      <c r="O1157">
        <v>500</v>
      </c>
      <c r="P1157">
        <v>0</v>
      </c>
      <c r="Q1157">
        <v>0</v>
      </c>
      <c r="R1157">
        <v>0</v>
      </c>
      <c r="S1157">
        <v>0</v>
      </c>
      <c r="T1157">
        <v>0</v>
      </c>
      <c r="U1157">
        <v>0</v>
      </c>
      <c r="V1157">
        <v>500</v>
      </c>
      <c r="W1157">
        <v>0</v>
      </c>
      <c r="X1157">
        <v>0</v>
      </c>
      <c r="Y1157">
        <v>0</v>
      </c>
      <c r="Z1157">
        <v>0</v>
      </c>
      <c r="AA1157">
        <v>4779</v>
      </c>
      <c r="AB1157">
        <v>967</v>
      </c>
      <c r="AC1157">
        <v>89</v>
      </c>
      <c r="AD1157">
        <v>2.33</v>
      </c>
      <c r="AE1157">
        <v>800</v>
      </c>
      <c r="AF1157">
        <v>0</v>
      </c>
      <c r="AG1157">
        <v>0</v>
      </c>
      <c r="AH1157">
        <v>0.13</v>
      </c>
      <c r="AI1157">
        <v>167.4</v>
      </c>
      <c r="AJ1157">
        <v>8</v>
      </c>
      <c r="AK1157">
        <v>0</v>
      </c>
      <c r="AL1157">
        <v>0</v>
      </c>
      <c r="AM1157">
        <v>0</v>
      </c>
      <c r="AN1157">
        <v>0</v>
      </c>
      <c r="AO1157">
        <v>0</v>
      </c>
      <c r="AP1157">
        <v>0.739</v>
      </c>
      <c r="AQ1157">
        <v>0.019</v>
      </c>
      <c r="AR1157">
        <v>0.009</v>
      </c>
      <c r="AS1157" s="3">
        <v>46107.77820601852</v>
      </c>
    </row>
    <row r="1158" ht="25.5" customHeight="1">
      <c r="A1158" t="inlineStr">
        <is>
          <t>5d289e59000000001101651b</t>
        </is>
      </c>
      <c r="B1158" s="2" t="str">
        <f>=HYPERLINK("https://www.xiaohongshu.com/user/profile/5d289e59000000001101651b", "https://www.xiaohongshu.com/user/profile/5d289e59000000001101651b")</f>
        <v>https://www.xiaohongshu.com/user/profile/5d289e59000000001101651b</v>
      </c>
      <c r="C1158" s="2" t="str">
        <f>=HYPERLINK("https://pgy.xiaohongshu.com/solar/pre-trade/blogger-detail/5d289e59000000001101651b", "https://pgy.xiaohongshu.com/solar/pre-trade/blogger-detail/5d289e59000000001101651b")</f>
        <v>https://pgy.xiaohongshu.com/solar/pre-trade/blogger-detail/5d289e59000000001101651b</v>
      </c>
      <c r="D1158" t="inlineStr">
        <is>
          <t>男</t>
        </is>
      </c>
      <c r="E1158" t="inlineStr">
        <is>
          <t>811687504</t>
        </is>
      </c>
      <c r="F1158" t="inlineStr">
        <is>
          <t>化学考研</t>
        </is>
      </c>
      <c r="G1158" t="inlineStr">
        <is>
          <t>重庆</t>
        </is>
      </c>
      <c r="H1158"/>
      <c r="I1158" t="inlineStr">
        <is>
          <t>教育</t>
        </is>
      </c>
      <c r="J1158">
        <v>1655</v>
      </c>
      <c r="K1158" t="inlineStr">
        <is>
          <t>0.2</t>
        </is>
      </c>
      <c r="L1158">
        <v>9801</v>
      </c>
      <c r="M1158">
        <v>2598</v>
      </c>
      <c r="N1158">
        <v>183</v>
      </c>
      <c r="O1158">
        <v>120</v>
      </c>
      <c r="P1158">
        <v>0</v>
      </c>
      <c r="Q1158">
        <v>0.332999999999999</v>
      </c>
      <c r="R1158">
        <v>9801</v>
      </c>
      <c r="S1158">
        <v>2598</v>
      </c>
      <c r="T1158">
        <v>167</v>
      </c>
      <c r="U1158">
        <v>0.35</v>
      </c>
      <c r="V1158">
        <v>120</v>
      </c>
      <c r="W1158">
        <v>0.332999999999999</v>
      </c>
      <c r="X1158">
        <v>0</v>
      </c>
      <c r="Y1158">
        <v>12.24</v>
      </c>
      <c r="Z1158">
        <v>0.66</v>
      </c>
      <c r="AA1158">
        <v>0</v>
      </c>
      <c r="AB1158">
        <v>0</v>
      </c>
      <c r="AC1158">
        <v>0</v>
      </c>
      <c r="AD1158">
        <v>0</v>
      </c>
      <c r="AE1158">
        <v>150</v>
      </c>
      <c r="AF1158">
        <v>0</v>
      </c>
      <c r="AG1158">
        <v>0</v>
      </c>
      <c r="AH1158">
        <v>0</v>
      </c>
      <c r="AI1158">
        <v>0</v>
      </c>
      <c r="AJ1158">
        <v>0</v>
      </c>
      <c r="AK1158">
        <v>0</v>
      </c>
      <c r="AL1158">
        <v>0</v>
      </c>
      <c r="AM1158">
        <v>0</v>
      </c>
      <c r="AN1158">
        <v>0</v>
      </c>
      <c r="AO1158">
        <v>0</v>
      </c>
      <c r="AP1158">
        <v>0.941</v>
      </c>
      <c r="AQ1158">
        <v>0.042</v>
      </c>
      <c r="AR1158">
        <v>0.066</v>
      </c>
      <c r="AS1158" s="3">
        <v>46107.77820601852</v>
      </c>
    </row>
    <row r="1159" ht="25.5" customHeight="1">
      <c r="A1159" t="inlineStr">
        <is>
          <t>5d52c99f000000001001f005</t>
        </is>
      </c>
      <c r="B1159" s="2" t="str">
        <f>=HYPERLINK("https://www.xiaohongshu.com/user/profile/5d52c99f000000001001f005", "https://www.xiaohongshu.com/user/profile/5d52c99f000000001001f005")</f>
        <v>https://www.xiaohongshu.com/user/profile/5d52c99f000000001001f005</v>
      </c>
      <c r="C1159" s="2" t="str">
        <f>=HYPERLINK("https://pgy.xiaohongshu.com/solar/pre-trade/blogger-detail/5d52c99f000000001001f005", "https://pgy.xiaohongshu.com/solar/pre-trade/blogger-detail/5d52c99f000000001001f005")</f>
        <v>https://pgy.xiaohongshu.com/solar/pre-trade/blogger-detail/5d52c99f000000001001f005</v>
      </c>
      <c r="D1159" t="inlineStr">
        <is>
          <t>男</t>
        </is>
      </c>
      <c r="E1159" t="inlineStr">
        <is>
          <t>Zhu1611847047</t>
        </is>
      </c>
      <c r="F1159" t="inlineStr">
        <is>
          <t>Chu Chia-shin</t>
        </is>
      </c>
      <c r="G1159" t="inlineStr">
        <is>
          <t>北京</t>
        </is>
      </c>
      <c r="H1159" t="inlineStr">
        <is>
          <t>学生</t>
        </is>
      </c>
      <c r="I1159" t="inlineStr">
        <is>
          <t>教育, 运动健身</t>
        </is>
      </c>
      <c r="J1159">
        <v>1565</v>
      </c>
      <c r="K1159" t="inlineStr">
        <is>
          <t>0.2</t>
        </is>
      </c>
      <c r="L1159">
        <v>20147</v>
      </c>
      <c r="M1159">
        <v>5700</v>
      </c>
      <c r="N1159">
        <v>187</v>
      </c>
      <c r="O1159">
        <v>215</v>
      </c>
      <c r="P1159">
        <v>0.2</v>
      </c>
      <c r="Q1159">
        <v>0.4</v>
      </c>
      <c r="R1159">
        <v>20147</v>
      </c>
      <c r="S1159">
        <v>5700</v>
      </c>
      <c r="T1159">
        <v>121</v>
      </c>
      <c r="U1159">
        <v>0.34</v>
      </c>
      <c r="V1159">
        <v>215</v>
      </c>
      <c r="W1159">
        <v>0.4</v>
      </c>
      <c r="X1159">
        <v>0.2</v>
      </c>
      <c r="Y1159">
        <v>10.67</v>
      </c>
      <c r="Z1159">
        <v>1.15</v>
      </c>
      <c r="AA1159">
        <v>0</v>
      </c>
      <c r="AB1159">
        <v>0</v>
      </c>
      <c r="AC1159">
        <v>0</v>
      </c>
      <c r="AD1159">
        <v>0</v>
      </c>
      <c r="AE1159">
        <v>377</v>
      </c>
      <c r="AF1159">
        <v>0</v>
      </c>
      <c r="AG1159">
        <v>0</v>
      </c>
      <c r="AH1159">
        <v>0</v>
      </c>
      <c r="AI1159">
        <v>0</v>
      </c>
      <c r="AJ1159">
        <v>0</v>
      </c>
      <c r="AK1159">
        <v>0</v>
      </c>
      <c r="AL1159">
        <v>0</v>
      </c>
      <c r="AM1159">
        <v>0</v>
      </c>
      <c r="AN1159">
        <v>0</v>
      </c>
      <c r="AO1159">
        <v>0</v>
      </c>
      <c r="AP1159">
        <v>0.849</v>
      </c>
      <c r="AQ1159">
        <v>0.085</v>
      </c>
      <c r="AR1159">
        <v>0.159</v>
      </c>
      <c r="AS1159" s="3">
        <v>46107.77820601852</v>
      </c>
    </row>
    <row r="1160" ht="25.5" customHeight="1">
      <c r="A1160" t="inlineStr">
        <is>
          <t>659a4b61000000001f03bd12</t>
        </is>
      </c>
      <c r="B1160" s="2" t="str">
        <f>=HYPERLINK("https://www.xiaohongshu.com/user/profile/659a4b61000000001f03bd12", "https://www.xiaohongshu.com/user/profile/659a4b61000000001f03bd12")</f>
        <v>https://www.xiaohongshu.com/user/profile/659a4b61000000001f03bd12</v>
      </c>
      <c r="C1160" s="2" t="str">
        <f>=HYPERLINK("https://pgy.xiaohongshu.com/solar/pre-trade/blogger-detail/659a4b61000000001f03bd12", "https://pgy.xiaohongshu.com/solar/pre-trade/blogger-detail/659a4b61000000001f03bd12")</f>
        <v>https://pgy.xiaohongshu.com/solar/pre-trade/blogger-detail/659a4b61000000001f03bd12</v>
      </c>
      <c r="D1160" t="inlineStr">
        <is>
          <t>女</t>
        </is>
      </c>
      <c r="E1160" t="inlineStr">
        <is>
          <t>8218908131</t>
        </is>
      </c>
      <c r="F1160" t="inlineStr">
        <is>
          <t>怡安爱学习（分享版）</t>
        </is>
      </c>
      <c r="G1160" t="inlineStr">
        <is>
          <t>陕西 西安 长安区</t>
        </is>
      </c>
      <c r="H1160" t="inlineStr">
        <is>
          <t>学生</t>
        </is>
      </c>
      <c r="I1160" t="inlineStr">
        <is>
          <t>职场, 教育</t>
        </is>
      </c>
      <c r="J1160">
        <v>4749</v>
      </c>
      <c r="K1160" t="inlineStr">
        <is>
          <t>0.5</t>
        </is>
      </c>
      <c r="L1160">
        <v>31815</v>
      </c>
      <c r="M1160">
        <v>4077</v>
      </c>
      <c r="N1160">
        <v>776</v>
      </c>
      <c r="O1160">
        <v>100</v>
      </c>
      <c r="P1160">
        <v>0.364</v>
      </c>
      <c r="Q1160">
        <v>0.818</v>
      </c>
      <c r="R1160">
        <v>40068</v>
      </c>
      <c r="S1160">
        <v>6982</v>
      </c>
      <c r="T1160">
        <v>750</v>
      </c>
      <c r="U1160">
        <v>0.32</v>
      </c>
      <c r="V1160">
        <v>100</v>
      </c>
      <c r="W1160">
        <v>0.871</v>
      </c>
      <c r="X1160">
        <v>0.387</v>
      </c>
      <c r="Y1160">
        <v>2.78</v>
      </c>
      <c r="Z1160">
        <v>0.13</v>
      </c>
      <c r="AA1160">
        <v>7756</v>
      </c>
      <c r="AB1160">
        <v>466</v>
      </c>
      <c r="AC1160">
        <v>63</v>
      </c>
      <c r="AD1160">
        <v>1.82</v>
      </c>
      <c r="AE1160">
        <v>150</v>
      </c>
      <c r="AF1160">
        <v>0</v>
      </c>
      <c r="AG1160">
        <v>0</v>
      </c>
      <c r="AH1160">
        <v>0.071</v>
      </c>
      <c r="AI1160">
        <v>19.34</v>
      </c>
      <c r="AJ1160">
        <v>2.17</v>
      </c>
      <c r="AK1160">
        <v>5038</v>
      </c>
      <c r="AL1160">
        <v>219</v>
      </c>
      <c r="AM1160">
        <v>2</v>
      </c>
      <c r="AN1160">
        <v>0</v>
      </c>
      <c r="AO1160">
        <v>0</v>
      </c>
      <c r="AP1160">
        <v>0.991</v>
      </c>
      <c r="AQ1160">
        <v>0.467999999999999</v>
      </c>
      <c r="AR1160">
        <v>0</v>
      </c>
      <c r="AS1160" s="3">
        <v>46107.77820601852</v>
      </c>
    </row>
    <row r="1161" ht="25.5" customHeight="1">
      <c r="A1161" t="inlineStr">
        <is>
          <t>68582289000000001e020ce7</t>
        </is>
      </c>
      <c r="B1161" s="2" t="str">
        <f>=HYPERLINK("https://www.xiaohongshu.com/user/profile/68582289000000001e020ce7", "https://www.xiaohongshu.com/user/profile/68582289000000001e020ce7")</f>
        <v>https://www.xiaohongshu.com/user/profile/68582289000000001e020ce7</v>
      </c>
      <c r="C1161" s="2" t="str">
        <f>=HYPERLINK("https://pgy.xiaohongshu.com/solar/pre-trade/blogger-detail/68582289000000001e020ce7", "https://pgy.xiaohongshu.com/solar/pre-trade/blogger-detail/68582289000000001e020ce7")</f>
        <v>https://pgy.xiaohongshu.com/solar/pre-trade/blogger-detail/68582289000000001e020ce7</v>
      </c>
      <c r="D1161" t="inlineStr">
        <is>
          <t>男</t>
        </is>
      </c>
      <c r="E1161" t="inlineStr">
        <is>
          <t>26136631655</t>
        </is>
      </c>
      <c r="F1161" t="inlineStr">
        <is>
          <t>蓝波大人Joey</t>
        </is>
      </c>
      <c r="G1161" t="inlineStr">
        <is>
          <t>广东 广州 天河区</t>
        </is>
      </c>
      <c r="H1161"/>
      <c r="I1161" t="inlineStr">
        <is>
          <t>教育, 运动健身</t>
        </is>
      </c>
      <c r="J1161">
        <v>1119</v>
      </c>
      <c r="K1161" t="inlineStr">
        <is>
          <t>0.1</t>
        </is>
      </c>
      <c r="L1161">
        <v>12588</v>
      </c>
      <c r="M1161">
        <v>2020</v>
      </c>
      <c r="N1161">
        <v>177</v>
      </c>
      <c r="O1161">
        <v>174</v>
      </c>
      <c r="P1161">
        <v>0</v>
      </c>
      <c r="Q1161">
        <v>0</v>
      </c>
      <c r="R1161">
        <v>12588</v>
      </c>
      <c r="S1161">
        <v>2020</v>
      </c>
      <c r="T1161">
        <v>135</v>
      </c>
      <c r="U1161">
        <v>0.39</v>
      </c>
      <c r="V1161">
        <v>174</v>
      </c>
      <c r="W1161">
        <v>0</v>
      </c>
      <c r="X1161">
        <v>0</v>
      </c>
      <c r="Y1161">
        <v>13.82</v>
      </c>
      <c r="Z1161">
        <v>0.98</v>
      </c>
      <c r="AA1161">
        <v>0</v>
      </c>
      <c r="AB1161">
        <v>0</v>
      </c>
      <c r="AC1161">
        <v>0</v>
      </c>
      <c r="AD1161">
        <v>0</v>
      </c>
      <c r="AE1161">
        <v>232</v>
      </c>
      <c r="AF1161">
        <v>0</v>
      </c>
      <c r="AG1161">
        <v>0</v>
      </c>
      <c r="AH1161">
        <v>0</v>
      </c>
      <c r="AI1161">
        <v>0</v>
      </c>
      <c r="AJ1161">
        <v>0</v>
      </c>
      <c r="AK1161">
        <v>0</v>
      </c>
      <c r="AL1161">
        <v>0</v>
      </c>
      <c r="AM1161">
        <v>0</v>
      </c>
      <c r="AN1161">
        <v>0</v>
      </c>
      <c r="AO1161">
        <v>0</v>
      </c>
      <c r="AP1161">
        <v>0.964</v>
      </c>
      <c r="AQ1161">
        <v>0.073</v>
      </c>
      <c r="AR1161">
        <v>0</v>
      </c>
      <c r="AS1161" s="3">
        <v>46107.778495370374</v>
      </c>
    </row>
    <row r="1162" ht="25.5" customHeight="1">
      <c r="A1162" t="inlineStr">
        <is>
          <t>6873ad0a000000001b01a93c</t>
        </is>
      </c>
      <c r="B1162" s="2" t="str">
        <f>=HYPERLINK("https://www.xiaohongshu.com/user/profile/6873ad0a000000001b01a93c", "https://www.xiaohongshu.com/user/profile/6873ad0a000000001b01a93c")</f>
        <v>https://www.xiaohongshu.com/user/profile/6873ad0a000000001b01a93c</v>
      </c>
      <c r="C1162" s="2" t="str">
        <f>=HYPERLINK("https://pgy.xiaohongshu.com/solar/pre-trade/blogger-detail/6873ad0a000000001b01a93c", "https://pgy.xiaohongshu.com/solar/pre-trade/blogger-detail/6873ad0a000000001b01a93c")</f>
        <v>https://pgy.xiaohongshu.com/solar/pre-trade/blogger-detail/6873ad0a000000001b01a93c</v>
      </c>
      <c r="D1162" t="inlineStr">
        <is>
          <t>男</t>
        </is>
      </c>
      <c r="E1162" t="inlineStr">
        <is>
          <t>Teachereddie</t>
        </is>
      </c>
      <c r="F1162" t="inlineStr">
        <is>
          <t>Eddie 英语好帮手</t>
        </is>
      </c>
      <c r="G1162" t="inlineStr">
        <is>
          <t>美国</t>
        </is>
      </c>
      <c r="H1162"/>
      <c r="I1162" t="inlineStr">
        <is>
          <t>教育</t>
        </is>
      </c>
      <c r="J1162">
        <v>41152</v>
      </c>
      <c r="K1162" t="inlineStr">
        <is>
          <t>4.1</t>
        </is>
      </c>
      <c r="L1162">
        <v>2249</v>
      </c>
      <c r="M1162">
        <v>1383</v>
      </c>
      <c r="N1162">
        <v>141</v>
      </c>
      <c r="O1162">
        <v>500</v>
      </c>
      <c r="P1162">
        <v>0</v>
      </c>
      <c r="Q1162">
        <v>0.143</v>
      </c>
      <c r="R1162">
        <v>0</v>
      </c>
      <c r="S1162">
        <v>0</v>
      </c>
      <c r="T1162">
        <v>0</v>
      </c>
      <c r="U1162">
        <v>0</v>
      </c>
      <c r="V1162">
        <v>500</v>
      </c>
      <c r="W1162">
        <v>0</v>
      </c>
      <c r="X1162">
        <v>0</v>
      </c>
      <c r="Y1162">
        <v>0</v>
      </c>
      <c r="Z1162">
        <v>0</v>
      </c>
      <c r="AA1162">
        <v>2249</v>
      </c>
      <c r="AB1162">
        <v>1383</v>
      </c>
      <c r="AC1162">
        <v>104</v>
      </c>
      <c r="AD1162">
        <v>0</v>
      </c>
      <c r="AE1162">
        <v>0</v>
      </c>
      <c r="AF1162">
        <v>0.143</v>
      </c>
      <c r="AG1162">
        <v>0</v>
      </c>
      <c r="AH1162">
        <v>0.223999999999999</v>
      </c>
      <c r="AI1162">
        <v>0</v>
      </c>
      <c r="AJ1162">
        <v>0</v>
      </c>
      <c r="AK1162">
        <v>0</v>
      </c>
      <c r="AL1162">
        <v>0</v>
      </c>
      <c r="AM1162">
        <v>0</v>
      </c>
      <c r="AN1162">
        <v>0</v>
      </c>
      <c r="AO1162">
        <v>0</v>
      </c>
      <c r="AP1162">
        <v>0.966</v>
      </c>
      <c r="AQ1162">
        <v>0.009</v>
      </c>
      <c r="AR1162">
        <v>0</v>
      </c>
      <c r="AS1162" s="3">
        <v>46107.778495370374</v>
      </c>
    </row>
    <row r="1163" ht="25.5" customHeight="1">
      <c r="A1163" t="inlineStr">
        <is>
          <t>5a92259ae8ac2b1f1225c4cc</t>
        </is>
      </c>
      <c r="B1163" s="2" t="str">
        <f>=HYPERLINK("https://www.xiaohongshu.com/user/profile/5a92259ae8ac2b1f1225c4cc", "https://www.xiaohongshu.com/user/profile/5a92259ae8ac2b1f1225c4cc")</f>
        <v>https://www.xiaohongshu.com/user/profile/5a92259ae8ac2b1f1225c4cc</v>
      </c>
      <c r="C1163" s="2" t="str">
        <f>=HYPERLINK("https://pgy.xiaohongshu.com/solar/pre-trade/blogger-detail/5a92259ae8ac2b1f1225c4cc", "https://pgy.xiaohongshu.com/solar/pre-trade/blogger-detail/5a92259ae8ac2b1f1225c4cc")</f>
        <v>https://pgy.xiaohongshu.com/solar/pre-trade/blogger-detail/5a92259ae8ac2b1f1225c4cc</v>
      </c>
      <c r="D1163" t="inlineStr">
        <is>
          <t>女</t>
        </is>
      </c>
      <c r="E1163" t="inlineStr">
        <is>
          <t>277389926</t>
        </is>
      </c>
      <c r="F1163" t="inlineStr">
        <is>
          <t>Ssong_</t>
        </is>
      </c>
      <c r="G1163" t="inlineStr">
        <is>
          <t>北京</t>
        </is>
      </c>
      <c r="H1163"/>
      <c r="I1163" t="inlineStr">
        <is>
          <t>教育</t>
        </is>
      </c>
      <c r="J1163">
        <v>1646</v>
      </c>
      <c r="K1163" t="inlineStr">
        <is>
          <t>0.2</t>
        </is>
      </c>
      <c r="L1163">
        <v>4223</v>
      </c>
      <c r="M1163">
        <v>1958</v>
      </c>
      <c r="N1163">
        <v>138</v>
      </c>
      <c r="O1163">
        <v>350</v>
      </c>
      <c r="P1163">
        <v>0</v>
      </c>
      <c r="Q1163">
        <v>1</v>
      </c>
      <c r="R1163">
        <v>0</v>
      </c>
      <c r="S1163">
        <v>0</v>
      </c>
      <c r="T1163">
        <v>0</v>
      </c>
      <c r="U1163">
        <v>0</v>
      </c>
      <c r="V1163">
        <v>350</v>
      </c>
      <c r="W1163">
        <v>0</v>
      </c>
      <c r="X1163">
        <v>0</v>
      </c>
      <c r="Y1163">
        <v>0</v>
      </c>
      <c r="Z1163">
        <v>0</v>
      </c>
      <c r="AA1163">
        <v>4223</v>
      </c>
      <c r="AB1163">
        <v>1958</v>
      </c>
      <c r="AC1163">
        <v>131</v>
      </c>
      <c r="AD1163">
        <v>1.76</v>
      </c>
      <c r="AE1163">
        <v>500</v>
      </c>
      <c r="AF1163">
        <v>1</v>
      </c>
      <c r="AG1163">
        <v>0</v>
      </c>
      <c r="AH1163">
        <v>0.152</v>
      </c>
      <c r="AI1163">
        <v>118.4</v>
      </c>
      <c r="AJ1163">
        <v>3.62</v>
      </c>
      <c r="AK1163">
        <v>0</v>
      </c>
      <c r="AL1163">
        <v>0</v>
      </c>
      <c r="AM1163">
        <v>0</v>
      </c>
      <c r="AN1163">
        <v>0</v>
      </c>
      <c r="AO1163">
        <v>0</v>
      </c>
      <c r="AP1163">
        <v>0.903</v>
      </c>
      <c r="AQ1163">
        <v>0.023</v>
      </c>
      <c r="AR1163">
        <v>-0.00699999999999999</v>
      </c>
      <c r="AS1163" s="3">
        <v>46107.778495370374</v>
      </c>
    </row>
    <row r="1164" ht="25.5" customHeight="1">
      <c r="A1164" t="inlineStr">
        <is>
          <t>6357ab69000000001901d934</t>
        </is>
      </c>
      <c r="B1164" s="2" t="str">
        <f>=HYPERLINK("https://www.xiaohongshu.com/user/profile/6357ab69000000001901d934", "https://www.xiaohongshu.com/user/profile/6357ab69000000001901d934")</f>
        <v>https://www.xiaohongshu.com/user/profile/6357ab69000000001901d934</v>
      </c>
      <c r="C1164" s="2" t="str">
        <f>=HYPERLINK("https://pgy.xiaohongshu.com/solar/pre-trade/blogger-detail/6357ab69000000001901d934", "https://pgy.xiaohongshu.com/solar/pre-trade/blogger-detail/6357ab69000000001901d934")</f>
        <v>https://pgy.xiaohongshu.com/solar/pre-trade/blogger-detail/6357ab69000000001901d934</v>
      </c>
      <c r="D1164" t="inlineStr">
        <is>
          <t>女</t>
        </is>
      </c>
      <c r="E1164" t="inlineStr">
        <is>
          <t>6712730017</t>
        </is>
      </c>
      <c r="F1164" t="inlineStr">
        <is>
          <t>Ro米说英语</t>
        </is>
      </c>
      <c r="G1164" t="inlineStr">
        <is>
          <t>广东 深圳 盐田区</t>
        </is>
      </c>
      <c r="H1164"/>
      <c r="I1164" t="inlineStr">
        <is>
          <t>教育</t>
        </is>
      </c>
      <c r="J1164">
        <v>9986</v>
      </c>
      <c r="K1164" t="inlineStr">
        <is>
          <t>1.0</t>
        </is>
      </c>
      <c r="L1164">
        <v>1986</v>
      </c>
      <c r="M1164">
        <v>926</v>
      </c>
      <c r="N1164">
        <v>159</v>
      </c>
      <c r="O1164">
        <v>450</v>
      </c>
      <c r="P1164">
        <v>0</v>
      </c>
      <c r="Q1164">
        <v>0.332999999999999</v>
      </c>
      <c r="R1164">
        <v>0</v>
      </c>
      <c r="S1164">
        <v>0</v>
      </c>
      <c r="T1164">
        <v>0</v>
      </c>
      <c r="U1164">
        <v>0</v>
      </c>
      <c r="V1164">
        <v>450</v>
      </c>
      <c r="W1164">
        <v>0</v>
      </c>
      <c r="X1164">
        <v>0</v>
      </c>
      <c r="Y1164">
        <v>0</v>
      </c>
      <c r="Z1164">
        <v>0</v>
      </c>
      <c r="AA1164">
        <v>1986</v>
      </c>
      <c r="AB1164">
        <v>926</v>
      </c>
      <c r="AC1164">
        <v>120</v>
      </c>
      <c r="AD1164">
        <v>2.36</v>
      </c>
      <c r="AE1164">
        <v>799</v>
      </c>
      <c r="AF1164">
        <v>0.332999999999999</v>
      </c>
      <c r="AG1164">
        <v>0</v>
      </c>
      <c r="AH1164">
        <v>0.1</v>
      </c>
      <c r="AI1164">
        <v>402.32</v>
      </c>
      <c r="AJ1164">
        <v>5.03</v>
      </c>
      <c r="AK1164">
        <v>0</v>
      </c>
      <c r="AL1164">
        <v>0</v>
      </c>
      <c r="AM1164">
        <v>0</v>
      </c>
      <c r="AN1164">
        <v>0</v>
      </c>
      <c r="AO1164">
        <v>0</v>
      </c>
      <c r="AP1164">
        <v>0.986</v>
      </c>
      <c r="AQ1164">
        <v>0.008</v>
      </c>
      <c r="AR1164">
        <v>0.009</v>
      </c>
      <c r="AS1164" s="3">
        <v>46107.778495370374</v>
      </c>
    </row>
    <row r="1165" ht="25.5" customHeight="1">
      <c r="A1165" t="inlineStr">
        <is>
          <t>674390d7000000001c01bdf3</t>
        </is>
      </c>
      <c r="B1165" s="2" t="str">
        <f>=HYPERLINK("https://www.xiaohongshu.com/user/profile/674390d7000000001c01bdf3", "https://www.xiaohongshu.com/user/profile/674390d7000000001c01bdf3")</f>
        <v>https://www.xiaohongshu.com/user/profile/674390d7000000001c01bdf3</v>
      </c>
      <c r="C1165" s="2" t="str">
        <f>=HYPERLINK("https://pgy.xiaohongshu.com/solar/pre-trade/blogger-detail/674390d7000000001c01bdf3", "https://pgy.xiaohongshu.com/solar/pre-trade/blogger-detail/674390d7000000001c01bdf3")</f>
        <v>https://pgy.xiaohongshu.com/solar/pre-trade/blogger-detail/674390d7000000001c01bdf3</v>
      </c>
      <c r="D1165" t="inlineStr">
        <is>
          <t>女</t>
        </is>
      </c>
      <c r="E1165" t="inlineStr">
        <is>
          <t>11565099099</t>
        </is>
      </c>
      <c r="F1165" t="inlineStr">
        <is>
          <t>小林果学瑞典语</t>
        </is>
      </c>
      <c r="G1165" t="inlineStr">
        <is>
          <t>瑞典</t>
        </is>
      </c>
      <c r="H1165" t="inlineStr">
        <is>
          <t>创业者, 留学背景, 海外华人</t>
        </is>
      </c>
      <c r="I1165" t="inlineStr">
        <is>
          <t>影视综资讯, 教育</t>
        </is>
      </c>
      <c r="J1165">
        <v>3622</v>
      </c>
      <c r="K1165" t="inlineStr">
        <is>
          <t>0.4</t>
        </is>
      </c>
      <c r="L1165">
        <v>11124</v>
      </c>
      <c r="M1165">
        <v>3876</v>
      </c>
      <c r="N1165">
        <v>128</v>
      </c>
      <c r="O1165">
        <v>185</v>
      </c>
      <c r="P1165">
        <v>0</v>
      </c>
      <c r="Q1165">
        <v>0.429</v>
      </c>
      <c r="R1165">
        <v>13769</v>
      </c>
      <c r="S1165">
        <v>3248</v>
      </c>
      <c r="T1165">
        <v>65</v>
      </c>
      <c r="U1165">
        <v>0.36</v>
      </c>
      <c r="V1165">
        <v>185</v>
      </c>
      <c r="W1165">
        <v>0</v>
      </c>
      <c r="X1165">
        <v>0</v>
      </c>
      <c r="Y1165">
        <v>13.44</v>
      </c>
      <c r="Z1165">
        <v>1.55</v>
      </c>
      <c r="AA1165">
        <v>11124</v>
      </c>
      <c r="AB1165">
        <v>3876</v>
      </c>
      <c r="AC1165">
        <v>234</v>
      </c>
      <c r="AD1165">
        <v>1.56</v>
      </c>
      <c r="AE1165">
        <v>250</v>
      </c>
      <c r="AF1165">
        <v>0.6</v>
      </c>
      <c r="AG1165">
        <v>0</v>
      </c>
      <c r="AH1165">
        <v>0.278</v>
      </c>
      <c r="AI1165">
        <v>22.47</v>
      </c>
      <c r="AJ1165">
        <v>0.57</v>
      </c>
      <c r="AK1165">
        <v>0</v>
      </c>
      <c r="AL1165">
        <v>0</v>
      </c>
      <c r="AM1165">
        <v>0</v>
      </c>
      <c r="AN1165">
        <v>0</v>
      </c>
      <c r="AO1165">
        <v>0</v>
      </c>
      <c r="AP1165">
        <v>0.948</v>
      </c>
      <c r="AQ1165">
        <v>0.116999999999999</v>
      </c>
      <c r="AR1165">
        <v>0.226999999999999</v>
      </c>
      <c r="AS1165" s="3">
        <v>46107.778495370374</v>
      </c>
    </row>
    <row r="1166" ht="25.5" customHeight="1">
      <c r="A1166" t="inlineStr">
        <is>
          <t>6832f969000000000d00bf33</t>
        </is>
      </c>
      <c r="B1166" s="2" t="str">
        <f>=HYPERLINK("https://www.xiaohongshu.com/user/profile/6832f969000000000d00bf33", "https://www.xiaohongshu.com/user/profile/6832f969000000000d00bf33")</f>
        <v>https://www.xiaohongshu.com/user/profile/6832f969000000000d00bf33</v>
      </c>
      <c r="C1166" s="2" t="str">
        <f>=HYPERLINK("https://pgy.xiaohongshu.com/solar/pre-trade/blogger-detail/6832f969000000000d00bf33", "https://pgy.xiaohongshu.com/solar/pre-trade/blogger-detail/6832f969000000000d00bf33")</f>
        <v>https://pgy.xiaohongshu.com/solar/pre-trade/blogger-detail/6832f969000000000d00bf33</v>
      </c>
      <c r="D1166" t="inlineStr">
        <is>
          <t>女</t>
        </is>
      </c>
      <c r="E1166" t="inlineStr">
        <is>
          <t>42265631103</t>
        </is>
      </c>
      <c r="F1166" t="inlineStr">
        <is>
          <t>爱熬夜的四喜</t>
        </is>
      </c>
      <c r="G1166" t="inlineStr">
        <is>
          <t>吉林 长春 朝阳区</t>
        </is>
      </c>
      <c r="H1166"/>
      <c r="I1166" t="inlineStr">
        <is>
          <t>教育, 健康养生</t>
        </is>
      </c>
      <c r="J1166">
        <v>3381</v>
      </c>
      <c r="K1166" t="inlineStr">
        <is>
          <t>0.3</t>
        </is>
      </c>
      <c r="L1166">
        <v>3047</v>
      </c>
      <c r="M1166">
        <v>455</v>
      </c>
      <c r="N1166">
        <v>126</v>
      </c>
      <c r="O1166">
        <v>225</v>
      </c>
      <c r="P1166">
        <v>0</v>
      </c>
      <c r="Q1166">
        <v>0</v>
      </c>
      <c r="R1166">
        <v>3047</v>
      </c>
      <c r="S1166">
        <v>455</v>
      </c>
      <c r="T1166">
        <v>104</v>
      </c>
      <c r="U1166">
        <v>0.79</v>
      </c>
      <c r="V1166">
        <v>225</v>
      </c>
      <c r="W1166">
        <v>0</v>
      </c>
      <c r="X1166">
        <v>0</v>
      </c>
      <c r="Y1166">
        <v>73.84</v>
      </c>
      <c r="Z1166">
        <v>1.79</v>
      </c>
      <c r="AA1166">
        <v>0</v>
      </c>
      <c r="AB1166">
        <v>0</v>
      </c>
      <c r="AC1166">
        <v>0</v>
      </c>
      <c r="AD1166">
        <v>0</v>
      </c>
      <c r="AE1166">
        <v>366</v>
      </c>
      <c r="AF1166">
        <v>0</v>
      </c>
      <c r="AG1166">
        <v>0</v>
      </c>
      <c r="AH1166">
        <v>0</v>
      </c>
      <c r="AI1166">
        <v>0</v>
      </c>
      <c r="AJ1166">
        <v>0</v>
      </c>
      <c r="AK1166">
        <v>0</v>
      </c>
      <c r="AL1166">
        <v>0</v>
      </c>
      <c r="AM1166">
        <v>0</v>
      </c>
      <c r="AN1166">
        <v>0</v>
      </c>
      <c r="AO1166">
        <v>0</v>
      </c>
      <c r="AP1166">
        <v>0.929</v>
      </c>
      <c r="AQ1166">
        <v>0.047</v>
      </c>
      <c r="AR1166">
        <v>0.044</v>
      </c>
      <c r="AS1166" s="3">
        <v>46107.778495370374</v>
      </c>
    </row>
    <row r="1167" ht="25.5" customHeight="1">
      <c r="A1167" t="inlineStr">
        <is>
          <t>62cd917e0000000002000bcd</t>
        </is>
      </c>
      <c r="B1167" s="2" t="str">
        <f>=HYPERLINK("https://www.xiaohongshu.com/user/profile/62cd917e0000000002000bcd", "https://www.xiaohongshu.com/user/profile/62cd917e0000000002000bcd")</f>
        <v>https://www.xiaohongshu.com/user/profile/62cd917e0000000002000bcd</v>
      </c>
      <c r="C1167" s="2" t="str">
        <f>=HYPERLINK("https://pgy.xiaohongshu.com/solar/pre-trade/blogger-detail/62cd917e0000000002000bcd", "https://pgy.xiaohongshu.com/solar/pre-trade/blogger-detail/62cd917e0000000002000bcd")</f>
        <v>https://pgy.xiaohongshu.com/solar/pre-trade/blogger-detail/62cd917e0000000002000bcd</v>
      </c>
      <c r="D1167" t="inlineStr">
        <is>
          <t>男</t>
        </is>
      </c>
      <c r="E1167" t="inlineStr">
        <is>
          <t>6743636358</t>
        </is>
      </c>
      <c r="F1167" t="inlineStr">
        <is>
          <t>鲲鹏幽梦</t>
        </is>
      </c>
      <c r="G1167" t="inlineStr">
        <is>
          <t>内蒙古 呼和浩特 玉泉区</t>
        </is>
      </c>
      <c r="H1167" t="inlineStr">
        <is>
          <t>学生</t>
        </is>
      </c>
      <c r="I1167" t="inlineStr">
        <is>
          <t>教育</t>
        </is>
      </c>
      <c r="J1167">
        <v>2167</v>
      </c>
      <c r="K1167" t="inlineStr">
        <is>
          <t>0.2</t>
        </is>
      </c>
      <c r="L1167">
        <v>22371</v>
      </c>
      <c r="M1167">
        <v>4020</v>
      </c>
      <c r="N1167">
        <v>493</v>
      </c>
      <c r="O1167">
        <v>230</v>
      </c>
      <c r="P1167">
        <v>0</v>
      </c>
      <c r="Q1167">
        <v>1</v>
      </c>
      <c r="R1167">
        <v>22371</v>
      </c>
      <c r="S1167">
        <v>4020</v>
      </c>
      <c r="T1167">
        <v>396</v>
      </c>
      <c r="U1167">
        <v>0.36</v>
      </c>
      <c r="V1167">
        <v>230</v>
      </c>
      <c r="W1167">
        <v>1</v>
      </c>
      <c r="X1167">
        <v>0</v>
      </c>
      <c r="Y1167">
        <v>10.28</v>
      </c>
      <c r="Z1167">
        <v>0.47</v>
      </c>
      <c r="AA1167">
        <v>0</v>
      </c>
      <c r="AB1167">
        <v>0</v>
      </c>
      <c r="AC1167">
        <v>0</v>
      </c>
      <c r="AD1167">
        <v>0</v>
      </c>
      <c r="AE1167">
        <v>344</v>
      </c>
      <c r="AF1167">
        <v>0</v>
      </c>
      <c r="AG1167">
        <v>0</v>
      </c>
      <c r="AH1167">
        <v>0</v>
      </c>
      <c r="AI1167">
        <v>0</v>
      </c>
      <c r="AJ1167">
        <v>0</v>
      </c>
      <c r="AK1167">
        <v>0</v>
      </c>
      <c r="AL1167">
        <v>0</v>
      </c>
      <c r="AM1167">
        <v>0</v>
      </c>
      <c r="AN1167">
        <v>0</v>
      </c>
      <c r="AO1167">
        <v>0</v>
      </c>
      <c r="AP1167">
        <v>0.92</v>
      </c>
      <c r="AQ1167">
        <v>0.036</v>
      </c>
      <c r="AR1167">
        <v>0.045</v>
      </c>
      <c r="AS1167" s="3">
        <v>46107.778495370374</v>
      </c>
    </row>
    <row r="1168" ht="25.5" customHeight="1">
      <c r="A1168" t="inlineStr">
        <is>
          <t>5ea7b9f70000000001001efc</t>
        </is>
      </c>
      <c r="B1168" s="2" t="str">
        <f>=HYPERLINK("https://www.xiaohongshu.com/user/profile/5ea7b9f70000000001001efc", "https://www.xiaohongshu.com/user/profile/5ea7b9f70000000001001efc")</f>
        <v>https://www.xiaohongshu.com/user/profile/5ea7b9f70000000001001efc</v>
      </c>
      <c r="C1168" s="2" t="str">
        <f>=HYPERLINK("https://pgy.xiaohongshu.com/solar/pre-trade/blogger-detail/5ea7b9f70000000001001efc", "https://pgy.xiaohongshu.com/solar/pre-trade/blogger-detail/5ea7b9f70000000001001efc")</f>
        <v>https://pgy.xiaohongshu.com/solar/pre-trade/blogger-detail/5ea7b9f70000000001001efc</v>
      </c>
      <c r="D1168" t="inlineStr">
        <is>
          <t>女</t>
        </is>
      </c>
      <c r="E1168" t="inlineStr">
        <is>
          <t>253086439</t>
        </is>
      </c>
      <c r="F1168" t="inlineStr">
        <is>
          <t>律政俏佳🐮</t>
        </is>
      </c>
      <c r="G1168" t="inlineStr">
        <is>
          <t>北京</t>
        </is>
      </c>
      <c r="H1168"/>
      <c r="I1168"/>
      <c r="J1168">
        <v>1854</v>
      </c>
      <c r="K1168" t="inlineStr">
        <is>
          <t>0.2</t>
        </is>
      </c>
      <c r="L1168">
        <v>148210</v>
      </c>
      <c r="M1168">
        <v>48008</v>
      </c>
      <c r="N1168">
        <v>3567</v>
      </c>
      <c r="O1168">
        <v>200</v>
      </c>
      <c r="P1168">
        <v>1</v>
      </c>
      <c r="Q1168">
        <v>1</v>
      </c>
      <c r="R1168">
        <v>148210</v>
      </c>
      <c r="S1168">
        <v>48008</v>
      </c>
      <c r="T1168">
        <v>2573</v>
      </c>
      <c r="U1168">
        <v>0.3</v>
      </c>
      <c r="V1168">
        <v>200</v>
      </c>
      <c r="W1168">
        <v>1</v>
      </c>
      <c r="X1168">
        <v>1</v>
      </c>
      <c r="Y1168">
        <v>1.35</v>
      </c>
      <c r="Z1168">
        <v>0.06</v>
      </c>
      <c r="AA1168">
        <v>0</v>
      </c>
      <c r="AB1168">
        <v>0</v>
      </c>
      <c r="AC1168">
        <v>0</v>
      </c>
      <c r="AD1168">
        <v>0</v>
      </c>
      <c r="AE1168">
        <v>419</v>
      </c>
      <c r="AF1168">
        <v>0</v>
      </c>
      <c r="AG1168">
        <v>0</v>
      </c>
      <c r="AH1168">
        <v>0</v>
      </c>
      <c r="AI1168">
        <v>0</v>
      </c>
      <c r="AJ1168">
        <v>0</v>
      </c>
      <c r="AK1168">
        <v>0</v>
      </c>
      <c r="AL1168">
        <v>0</v>
      </c>
      <c r="AM1168">
        <v>0</v>
      </c>
      <c r="AN1168">
        <v>0</v>
      </c>
      <c r="AO1168">
        <v>0</v>
      </c>
      <c r="AP1168">
        <v>0.907999999999999</v>
      </c>
      <c r="AQ1168">
        <v>0.176</v>
      </c>
      <c r="AR1168">
        <v>0</v>
      </c>
      <c r="AS1168" s="3">
        <v>46107.778495370374</v>
      </c>
    </row>
    <row r="1169" ht="25.5" customHeight="1">
      <c r="A1169" t="inlineStr">
        <is>
          <t>5ea72415000000000100554e</t>
        </is>
      </c>
      <c r="B1169" s="2" t="str">
        <f>=HYPERLINK("https://www.xiaohongshu.com/user/profile/5ea72415000000000100554e", "https://www.xiaohongshu.com/user/profile/5ea72415000000000100554e")</f>
        <v>https://www.xiaohongshu.com/user/profile/5ea72415000000000100554e</v>
      </c>
      <c r="C1169" s="2" t="str">
        <f>=HYPERLINK("https://pgy.xiaohongshu.com/solar/pre-trade/blogger-detail/5ea72415000000000100554e", "https://pgy.xiaohongshu.com/solar/pre-trade/blogger-detail/5ea72415000000000100554e")</f>
        <v>https://pgy.xiaohongshu.com/solar/pre-trade/blogger-detail/5ea72415000000000100554e</v>
      </c>
      <c r="D1169" t="inlineStr">
        <is>
          <t>男</t>
        </is>
      </c>
      <c r="E1169" t="inlineStr">
        <is>
          <t>467792329</t>
        </is>
      </c>
      <c r="F1169" t="inlineStr">
        <is>
          <t>大模型知识分享</t>
        </is>
      </c>
      <c r="G1169" t="inlineStr">
        <is>
          <t>北京</t>
        </is>
      </c>
      <c r="H1169" t="inlineStr">
        <is>
          <t>程序员</t>
        </is>
      </c>
      <c r="I1169" t="inlineStr">
        <is>
          <t>教育</t>
        </is>
      </c>
      <c r="J1169">
        <v>23043</v>
      </c>
      <c r="K1169" t="inlineStr">
        <is>
          <t>2.3</t>
        </is>
      </c>
      <c r="L1169">
        <v>6401</v>
      </c>
      <c r="M1169">
        <v>725</v>
      </c>
      <c r="N1169">
        <v>105</v>
      </c>
      <c r="O1169">
        <v>942</v>
      </c>
      <c r="P1169">
        <v>0</v>
      </c>
      <c r="Q1169">
        <v>0.156</v>
      </c>
      <c r="R1169">
        <v>6401</v>
      </c>
      <c r="S1169">
        <v>725</v>
      </c>
      <c r="T1169">
        <v>84</v>
      </c>
      <c r="U1169">
        <v>1.6</v>
      </c>
      <c r="V1169">
        <v>942</v>
      </c>
      <c r="W1169">
        <v>0.156</v>
      </c>
      <c r="X1169">
        <v>0</v>
      </c>
      <c r="Y1169">
        <v>147.16</v>
      </c>
      <c r="Z1169">
        <v>8.97</v>
      </c>
      <c r="AA1169">
        <v>0</v>
      </c>
      <c r="AB1169">
        <v>0</v>
      </c>
      <c r="AC1169">
        <v>0</v>
      </c>
      <c r="AD1169">
        <v>0</v>
      </c>
      <c r="AE1169">
        <v>2355</v>
      </c>
      <c r="AF1169">
        <v>0</v>
      </c>
      <c r="AG1169">
        <v>0</v>
      </c>
      <c r="AH1169">
        <v>0</v>
      </c>
      <c r="AI1169">
        <v>0</v>
      </c>
      <c r="AJ1169">
        <v>0</v>
      </c>
      <c r="AK1169">
        <v>0</v>
      </c>
      <c r="AL1169">
        <v>0</v>
      </c>
      <c r="AM1169">
        <v>0</v>
      </c>
      <c r="AN1169">
        <v>0</v>
      </c>
      <c r="AO1169">
        <v>0</v>
      </c>
      <c r="AP1169">
        <v>0.904</v>
      </c>
      <c r="AQ1169">
        <v>0.076</v>
      </c>
      <c r="AR1169">
        <v>0.027</v>
      </c>
      <c r="AS1169" s="3">
        <v>46107.778495370374</v>
      </c>
    </row>
    <row r="1170" ht="25.5" customHeight="1">
      <c r="A1170" t="inlineStr">
        <is>
          <t>6041b97a0000000001003f8a</t>
        </is>
      </c>
      <c r="B1170" s="2" t="str">
        <f>=HYPERLINK("https://www.xiaohongshu.com/user/profile/6041b97a0000000001003f8a", "https://www.xiaohongshu.com/user/profile/6041b97a0000000001003f8a")</f>
        <v>https://www.xiaohongshu.com/user/profile/6041b97a0000000001003f8a</v>
      </c>
      <c r="C1170" s="2" t="str">
        <f>=HYPERLINK("https://pgy.xiaohongshu.com/solar/pre-trade/blogger-detail/6041b97a0000000001003f8a", "https://pgy.xiaohongshu.com/solar/pre-trade/blogger-detail/6041b97a0000000001003f8a")</f>
        <v>https://pgy.xiaohongshu.com/solar/pre-trade/blogger-detail/6041b97a0000000001003f8a</v>
      </c>
      <c r="D1170" t="inlineStr">
        <is>
          <t>女</t>
        </is>
      </c>
      <c r="E1170" t="inlineStr">
        <is>
          <t>1803437356</t>
        </is>
      </c>
      <c r="F1170" t="inlineStr">
        <is>
          <t>汉堡脑袋</t>
        </is>
      </c>
      <c r="G1170" t="inlineStr">
        <is>
          <t>江西 宜春 樟树市</t>
        </is>
      </c>
      <c r="H1170"/>
      <c r="I1170"/>
      <c r="J1170">
        <v>3492</v>
      </c>
      <c r="K1170" t="inlineStr">
        <is>
          <t>0.3</t>
        </is>
      </c>
      <c r="L1170">
        <v>11449</v>
      </c>
      <c r="M1170">
        <v>1681</v>
      </c>
      <c r="N1170">
        <v>166</v>
      </c>
      <c r="O1170">
        <v>260</v>
      </c>
      <c r="P1170">
        <v>0</v>
      </c>
      <c r="Q1170">
        <v>0.5</v>
      </c>
      <c r="R1170">
        <v>22192</v>
      </c>
      <c r="S1170">
        <v>3263</v>
      </c>
      <c r="T1170">
        <v>294</v>
      </c>
      <c r="U1170">
        <v>0.38</v>
      </c>
      <c r="V1170">
        <v>260</v>
      </c>
      <c r="W1170">
        <v>1</v>
      </c>
      <c r="X1170">
        <v>0</v>
      </c>
      <c r="Y1170">
        <v>11.72</v>
      </c>
      <c r="Z1170">
        <v>0.8</v>
      </c>
      <c r="AA1170">
        <v>707</v>
      </c>
      <c r="AB1170">
        <v>100</v>
      </c>
      <c r="AC1170">
        <v>7</v>
      </c>
      <c r="AD1170">
        <v>5</v>
      </c>
      <c r="AE1170">
        <v>350</v>
      </c>
      <c r="AF1170">
        <v>0</v>
      </c>
      <c r="AG1170">
        <v>0</v>
      </c>
      <c r="AH1170">
        <v>0.349</v>
      </c>
      <c r="AI1170">
        <v>495.05</v>
      </c>
      <c r="AJ1170">
        <v>50</v>
      </c>
      <c r="AK1170">
        <v>0</v>
      </c>
      <c r="AL1170">
        <v>0</v>
      </c>
      <c r="AM1170">
        <v>0</v>
      </c>
      <c r="AN1170">
        <v>0</v>
      </c>
      <c r="AO1170">
        <v>0</v>
      </c>
      <c r="AP1170">
        <v>0.773</v>
      </c>
      <c r="AQ1170">
        <v>0.021</v>
      </c>
      <c r="AR1170">
        <v>0.003</v>
      </c>
      <c r="AS1170" s="3">
        <v>46107.778495370374</v>
      </c>
    </row>
    <row r="1171" ht="25.5" customHeight="1">
      <c r="A1171" t="inlineStr">
        <is>
          <t>5d0f1a130000000011007636</t>
        </is>
      </c>
      <c r="B1171" s="2" t="str">
        <f>=HYPERLINK("https://www.xiaohongshu.com/user/profile/5d0f1a130000000011007636", "https://www.xiaohongshu.com/user/profile/5d0f1a130000000011007636")</f>
        <v>https://www.xiaohongshu.com/user/profile/5d0f1a130000000011007636</v>
      </c>
      <c r="C1171" s="2" t="str">
        <f>=HYPERLINK("https://pgy.xiaohongshu.com/solar/pre-trade/blogger-detail/5d0f1a130000000011007636", "https://pgy.xiaohongshu.com/solar/pre-trade/blogger-detail/5d0f1a130000000011007636")</f>
        <v>https://pgy.xiaohongshu.com/solar/pre-trade/blogger-detail/5d0f1a130000000011007636</v>
      </c>
      <c r="D1171" t="inlineStr">
        <is>
          <t>女</t>
        </is>
      </c>
      <c r="E1171" t="inlineStr">
        <is>
          <t>springbud</t>
        </is>
      </c>
      <c r="F1171" t="inlineStr">
        <is>
          <t>春芽</t>
        </is>
      </c>
      <c r="G1171" t="inlineStr">
        <is>
          <t>河南 郑州 二七区</t>
        </is>
      </c>
      <c r="H1171" t="inlineStr">
        <is>
          <t>考研过来人, 学生</t>
        </is>
      </c>
      <c r="I1171" t="inlineStr">
        <is>
          <t>教育, 家居家装</t>
        </is>
      </c>
      <c r="J1171">
        <v>1554</v>
      </c>
      <c r="K1171" t="inlineStr">
        <is>
          <t>0.2</t>
        </is>
      </c>
      <c r="L1171">
        <v>6355</v>
      </c>
      <c r="M1171">
        <v>1681</v>
      </c>
      <c r="N1171">
        <v>101</v>
      </c>
      <c r="O1171">
        <v>228</v>
      </c>
      <c r="P1171">
        <v>0</v>
      </c>
      <c r="Q1171">
        <v>0.25</v>
      </c>
      <c r="R1171">
        <v>6355</v>
      </c>
      <c r="S1171">
        <v>1681</v>
      </c>
      <c r="T1171">
        <v>91</v>
      </c>
      <c r="U1171">
        <v>0.44</v>
      </c>
      <c r="V1171">
        <v>228</v>
      </c>
      <c r="W1171">
        <v>0.25</v>
      </c>
      <c r="X1171">
        <v>0</v>
      </c>
      <c r="Y1171">
        <v>35.88</v>
      </c>
      <c r="Z1171">
        <v>2.26</v>
      </c>
      <c r="AA1171">
        <v>0</v>
      </c>
      <c r="AB1171">
        <v>0</v>
      </c>
      <c r="AC1171">
        <v>0</v>
      </c>
      <c r="AD1171">
        <v>0</v>
      </c>
      <c r="AE1171">
        <v>400</v>
      </c>
      <c r="AF1171">
        <v>0</v>
      </c>
      <c r="AG1171">
        <v>0</v>
      </c>
      <c r="AH1171">
        <v>0</v>
      </c>
      <c r="AI1171">
        <v>0</v>
      </c>
      <c r="AJ1171">
        <v>0</v>
      </c>
      <c r="AK1171">
        <v>0</v>
      </c>
      <c r="AL1171">
        <v>0</v>
      </c>
      <c r="AM1171">
        <v>0</v>
      </c>
      <c r="AN1171">
        <v>0</v>
      </c>
      <c r="AO1171">
        <v>0</v>
      </c>
      <c r="AP1171">
        <v>0.768</v>
      </c>
      <c r="AQ1171">
        <v>0.054</v>
      </c>
      <c r="AR1171">
        <v>0.037</v>
      </c>
      <c r="AS1171" s="3">
        <v>46107.778495370374</v>
      </c>
    </row>
    <row r="1172" ht="25.5" customHeight="1">
      <c r="A1172" t="inlineStr">
        <is>
          <t>56f8d90b1c07df0740d5c894</t>
        </is>
      </c>
      <c r="B1172" s="2" t="str">
        <f>=HYPERLINK("https://www.xiaohongshu.com/user/profile/56f8d90b1c07df0740d5c894", "https://www.xiaohongshu.com/user/profile/56f8d90b1c07df0740d5c894")</f>
        <v>https://www.xiaohongshu.com/user/profile/56f8d90b1c07df0740d5c894</v>
      </c>
      <c r="C1172" s="2" t="str">
        <f>=HYPERLINK("https://pgy.xiaohongshu.com/solar/pre-trade/blogger-detail/56f8d90b1c07df0740d5c894", "https://pgy.xiaohongshu.com/solar/pre-trade/blogger-detail/56f8d90b1c07df0740d5c894")</f>
        <v>https://pgy.xiaohongshu.com/solar/pre-trade/blogger-detail/56f8d90b1c07df0740d5c894</v>
      </c>
      <c r="D1172" t="inlineStr">
        <is>
          <t>女</t>
        </is>
      </c>
      <c r="E1172" t="inlineStr">
        <is>
          <t>yvette19940912</t>
        </is>
      </c>
      <c r="F1172" t="inlineStr">
        <is>
          <t>口若悬乔</t>
        </is>
      </c>
      <c r="G1172" t="inlineStr">
        <is>
          <t>四川 宝兴县</t>
        </is>
      </c>
      <c r="H1172" t="inlineStr">
        <is>
          <t>学生, 留学背景</t>
        </is>
      </c>
      <c r="I1172" t="inlineStr">
        <is>
          <t>职场, 教育</t>
        </is>
      </c>
      <c r="J1172">
        <v>20355</v>
      </c>
      <c r="K1172" t="inlineStr">
        <is>
          <t>2.0</t>
        </is>
      </c>
      <c r="L1172">
        <v>11821</v>
      </c>
      <c r="M1172">
        <v>2180</v>
      </c>
      <c r="N1172">
        <v>292</v>
      </c>
      <c r="O1172">
        <v>1100</v>
      </c>
      <c r="P1172">
        <v>0</v>
      </c>
      <c r="Q1172">
        <v>0.5</v>
      </c>
      <c r="R1172">
        <v>8115</v>
      </c>
      <c r="S1172">
        <v>1467</v>
      </c>
      <c r="T1172">
        <v>112</v>
      </c>
      <c r="U1172">
        <v>1.05</v>
      </c>
      <c r="V1172">
        <v>1100</v>
      </c>
      <c r="W1172">
        <v>0</v>
      </c>
      <c r="X1172">
        <v>0</v>
      </c>
      <c r="Y1172">
        <v>135.55</v>
      </c>
      <c r="Z1172">
        <v>8.46</v>
      </c>
      <c r="AA1172">
        <v>11922</v>
      </c>
      <c r="AB1172">
        <v>2483</v>
      </c>
      <c r="AC1172">
        <v>281</v>
      </c>
      <c r="AD1172">
        <v>2.59</v>
      </c>
      <c r="AE1172">
        <v>2700</v>
      </c>
      <c r="AF1172">
        <v>0.6</v>
      </c>
      <c r="AG1172">
        <v>0</v>
      </c>
      <c r="AH1172">
        <v>0.053</v>
      </c>
      <c r="AI1172">
        <v>226.47</v>
      </c>
      <c r="AJ1172">
        <v>8.82</v>
      </c>
      <c r="AK1172">
        <v>0</v>
      </c>
      <c r="AL1172">
        <v>0</v>
      </c>
      <c r="AM1172">
        <v>0</v>
      </c>
      <c r="AN1172">
        <v>0</v>
      </c>
      <c r="AO1172">
        <v>0</v>
      </c>
      <c r="AP1172">
        <v>0.804</v>
      </c>
      <c r="AQ1172">
        <v>0.039</v>
      </c>
      <c r="AR1172">
        <v>0.02</v>
      </c>
      <c r="AS1172" s="3">
        <v>46107.778495370374</v>
      </c>
    </row>
    <row r="1173" ht="25.5" customHeight="1">
      <c r="A1173" t="inlineStr">
        <is>
          <t>67a740b8000000000e01013c</t>
        </is>
      </c>
      <c r="B1173" s="2" t="str">
        <f>=HYPERLINK("https://www.xiaohongshu.com/user/profile/67a740b8000000000e01013c", "https://www.xiaohongshu.com/user/profile/67a740b8000000000e01013c")</f>
        <v>https://www.xiaohongshu.com/user/profile/67a740b8000000000e01013c</v>
      </c>
      <c r="C1173" s="2" t="str">
        <f>=HYPERLINK("https://pgy.xiaohongshu.com/solar/pre-trade/blogger-detail/67a740b8000000000e01013c", "https://pgy.xiaohongshu.com/solar/pre-trade/blogger-detail/67a740b8000000000e01013c")</f>
        <v>https://pgy.xiaohongshu.com/solar/pre-trade/blogger-detail/67a740b8000000000e01013c</v>
      </c>
      <c r="D1173" t="inlineStr">
        <is>
          <t>女</t>
        </is>
      </c>
      <c r="E1173" t="inlineStr">
        <is>
          <t>63813526102</t>
        </is>
      </c>
      <c r="F1173" t="inlineStr">
        <is>
          <t>George陪你学英语</t>
        </is>
      </c>
      <c r="G1173" t="inlineStr">
        <is>
          <t>辽宁 辽阳 辽阳县</t>
        </is>
      </c>
      <c r="H1173"/>
      <c r="I1173" t="inlineStr">
        <is>
          <t>教育</t>
        </is>
      </c>
      <c r="J1173">
        <v>17907</v>
      </c>
      <c r="K1173" t="inlineStr">
        <is>
          <t>1.8</t>
        </is>
      </c>
      <c r="L1173">
        <v>42764</v>
      </c>
      <c r="M1173">
        <v>5275</v>
      </c>
      <c r="N1173">
        <v>448</v>
      </c>
      <c r="O1173">
        <v>500</v>
      </c>
      <c r="P1173">
        <v>0.125</v>
      </c>
      <c r="Q1173">
        <v>1</v>
      </c>
      <c r="R1173">
        <v>0</v>
      </c>
      <c r="S1173">
        <v>0</v>
      </c>
      <c r="T1173">
        <v>0</v>
      </c>
      <c r="U1173">
        <v>0</v>
      </c>
      <c r="V1173">
        <v>500</v>
      </c>
      <c r="W1173">
        <v>0</v>
      </c>
      <c r="X1173">
        <v>0</v>
      </c>
      <c r="Y1173">
        <v>0</v>
      </c>
      <c r="Z1173">
        <v>0</v>
      </c>
      <c r="AA1173">
        <v>42764</v>
      </c>
      <c r="AB1173">
        <v>5275</v>
      </c>
      <c r="AC1173">
        <v>290</v>
      </c>
      <c r="AD1173">
        <v>1.63</v>
      </c>
      <c r="AE1173">
        <v>700</v>
      </c>
      <c r="AF1173">
        <v>1</v>
      </c>
      <c r="AG1173">
        <v>0.125</v>
      </c>
      <c r="AH1173">
        <v>0.100999999999999</v>
      </c>
      <c r="AI1173">
        <v>16.37</v>
      </c>
      <c r="AJ1173">
        <v>1.56</v>
      </c>
      <c r="AK1173">
        <v>0</v>
      </c>
      <c r="AL1173">
        <v>0</v>
      </c>
      <c r="AM1173">
        <v>0</v>
      </c>
      <c r="AN1173">
        <v>0</v>
      </c>
      <c r="AO1173">
        <v>0</v>
      </c>
      <c r="AP1173">
        <v>0.983</v>
      </c>
      <c r="AQ1173">
        <v>0.157</v>
      </c>
      <c r="AR1173">
        <v>0.628</v>
      </c>
      <c r="AS1173" s="3">
        <v>46107.778495370374</v>
      </c>
    </row>
    <row r="1174" ht="25.5" customHeight="1">
      <c r="A1174" t="inlineStr">
        <is>
          <t>64254add00000000120128df</t>
        </is>
      </c>
      <c r="B1174" s="2" t="str">
        <f>=HYPERLINK("https://www.xiaohongshu.com/user/profile/64254add00000000120128df", "https://www.xiaohongshu.com/user/profile/64254add00000000120128df")</f>
        <v>https://www.xiaohongshu.com/user/profile/64254add00000000120128df</v>
      </c>
      <c r="C1174" s="2" t="str">
        <f>=HYPERLINK("https://pgy.xiaohongshu.com/solar/pre-trade/blogger-detail/64254add00000000120128df", "https://pgy.xiaohongshu.com/solar/pre-trade/blogger-detail/64254add00000000120128df")</f>
        <v>https://pgy.xiaohongshu.com/solar/pre-trade/blogger-detail/64254add00000000120128df</v>
      </c>
      <c r="D1174" t="inlineStr">
        <is>
          <t>男</t>
        </is>
      </c>
      <c r="E1174" t="inlineStr">
        <is>
          <t>9651576277</t>
        </is>
      </c>
      <c r="F1174" t="inlineStr">
        <is>
          <t>山春早记(高分上岸版)</t>
        </is>
      </c>
      <c r="G1174" t="inlineStr">
        <is>
          <t>黑龙江 哈尔滨 南岗区</t>
        </is>
      </c>
      <c r="H1174" t="inlineStr">
        <is>
          <t>学生</t>
        </is>
      </c>
      <c r="I1174" t="inlineStr">
        <is>
          <t>教育</t>
        </is>
      </c>
      <c r="J1174">
        <v>3489</v>
      </c>
      <c r="K1174" t="inlineStr">
        <is>
          <t>0.3</t>
        </is>
      </c>
      <c r="L1174">
        <v>8447</v>
      </c>
      <c r="M1174">
        <v>2023</v>
      </c>
      <c r="N1174">
        <v>153</v>
      </c>
      <c r="O1174">
        <v>170</v>
      </c>
      <c r="P1174">
        <v>0</v>
      </c>
      <c r="Q1174">
        <v>0</v>
      </c>
      <c r="R1174">
        <v>8447</v>
      </c>
      <c r="S1174">
        <v>2023</v>
      </c>
      <c r="T1174">
        <v>129</v>
      </c>
      <c r="U1174">
        <v>0.38</v>
      </c>
      <c r="V1174">
        <v>170</v>
      </c>
      <c r="W1174">
        <v>0</v>
      </c>
      <c r="X1174">
        <v>0</v>
      </c>
      <c r="Y1174">
        <v>20.13</v>
      </c>
      <c r="Z1174">
        <v>1.11</v>
      </c>
      <c r="AA1174">
        <v>0</v>
      </c>
      <c r="AB1174">
        <v>0</v>
      </c>
      <c r="AC1174">
        <v>0</v>
      </c>
      <c r="AD1174">
        <v>0</v>
      </c>
      <c r="AE1174">
        <v>200</v>
      </c>
      <c r="AF1174">
        <v>0</v>
      </c>
      <c r="AG1174">
        <v>0</v>
      </c>
      <c r="AH1174">
        <v>0</v>
      </c>
      <c r="AI1174">
        <v>0</v>
      </c>
      <c r="AJ1174">
        <v>0</v>
      </c>
      <c r="AK1174">
        <v>0</v>
      </c>
      <c r="AL1174">
        <v>0</v>
      </c>
      <c r="AM1174">
        <v>0</v>
      </c>
      <c r="AN1174">
        <v>0</v>
      </c>
      <c r="AO1174">
        <v>0</v>
      </c>
      <c r="AP1174">
        <v>0.847</v>
      </c>
      <c r="AQ1174">
        <v>0.036</v>
      </c>
      <c r="AR1174">
        <v>0.098</v>
      </c>
      <c r="AS1174" s="3">
        <v>46107.778495370374</v>
      </c>
    </row>
    <row r="1175" ht="25.5" customHeight="1">
      <c r="A1175" t="inlineStr">
        <is>
          <t>5aae86a6e8ac2b2ac72da45d</t>
        </is>
      </c>
      <c r="B1175" s="2" t="str">
        <f>=HYPERLINK("https://www.xiaohongshu.com/user/profile/5aae86a6e8ac2b2ac72da45d", "https://www.xiaohongshu.com/user/profile/5aae86a6e8ac2b2ac72da45d")</f>
        <v>https://www.xiaohongshu.com/user/profile/5aae86a6e8ac2b2ac72da45d</v>
      </c>
      <c r="C1175" s="2" t="str">
        <f>=HYPERLINK("https://pgy.xiaohongshu.com/solar/pre-trade/blogger-detail/5aae86a6e8ac2b2ac72da45d", "https://pgy.xiaohongshu.com/solar/pre-trade/blogger-detail/5aae86a6e8ac2b2ac72da45d")</f>
        <v>https://pgy.xiaohongshu.com/solar/pre-trade/blogger-detail/5aae86a6e8ac2b2ac72da45d</v>
      </c>
      <c r="D1175" t="inlineStr">
        <is>
          <t>女</t>
        </is>
      </c>
      <c r="E1175" t="inlineStr">
        <is>
          <t>945670661</t>
        </is>
      </c>
      <c r="F1175" t="inlineStr">
        <is>
          <t>一个法律人的鸡毛蒜皮</t>
        </is>
      </c>
      <c r="G1175" t="inlineStr">
        <is>
          <t>江苏 徐州 铜山区</t>
        </is>
      </c>
      <c r="H1175"/>
      <c r="I1175" t="inlineStr">
        <is>
          <t>教育</t>
        </is>
      </c>
      <c r="J1175">
        <v>2539</v>
      </c>
      <c r="K1175" t="inlineStr">
        <is>
          <t>0.3</t>
        </is>
      </c>
      <c r="L1175">
        <v>5863</v>
      </c>
      <c r="M1175">
        <v>954</v>
      </c>
      <c r="N1175">
        <v>108</v>
      </c>
      <c r="O1175">
        <v>150</v>
      </c>
      <c r="P1175">
        <v>0</v>
      </c>
      <c r="Q1175">
        <v>0</v>
      </c>
      <c r="R1175">
        <v>5863</v>
      </c>
      <c r="S1175">
        <v>954</v>
      </c>
      <c r="T1175">
        <v>65</v>
      </c>
      <c r="U1175">
        <v>0.46</v>
      </c>
      <c r="V1175">
        <v>150</v>
      </c>
      <c r="W1175">
        <v>0</v>
      </c>
      <c r="X1175">
        <v>0</v>
      </c>
      <c r="Y1175">
        <v>25.58</v>
      </c>
      <c r="Z1175">
        <v>1.38</v>
      </c>
      <c r="AA1175">
        <v>0</v>
      </c>
      <c r="AB1175">
        <v>0</v>
      </c>
      <c r="AC1175">
        <v>0</v>
      </c>
      <c r="AD1175">
        <v>0</v>
      </c>
      <c r="AE1175">
        <v>250</v>
      </c>
      <c r="AF1175">
        <v>0</v>
      </c>
      <c r="AG1175">
        <v>0</v>
      </c>
      <c r="AH1175">
        <v>0</v>
      </c>
      <c r="AI1175">
        <v>0</v>
      </c>
      <c r="AJ1175">
        <v>0</v>
      </c>
      <c r="AK1175">
        <v>0</v>
      </c>
      <c r="AL1175">
        <v>0</v>
      </c>
      <c r="AM1175">
        <v>0</v>
      </c>
      <c r="AN1175">
        <v>0</v>
      </c>
      <c r="AO1175">
        <v>0</v>
      </c>
      <c r="AP1175">
        <v>0.962</v>
      </c>
      <c r="AQ1175">
        <v>0.027</v>
      </c>
      <c r="AR1175">
        <v>0.036</v>
      </c>
      <c r="AS1175" s="3">
        <v>46107.778495370374</v>
      </c>
    </row>
    <row r="1176" ht="25.5" customHeight="1">
      <c r="A1176" t="inlineStr">
        <is>
          <t>616a9ef300000000020225e5</t>
        </is>
      </c>
      <c r="B1176" s="2" t="str">
        <f>=HYPERLINK("https://www.xiaohongshu.com/user/profile/616a9ef300000000020225e5", "https://www.xiaohongshu.com/user/profile/616a9ef300000000020225e5")</f>
        <v>https://www.xiaohongshu.com/user/profile/616a9ef300000000020225e5</v>
      </c>
      <c r="C1176" s="2" t="str">
        <f>=HYPERLINK("https://pgy.xiaohongshu.com/solar/pre-trade/blogger-detail/616a9ef300000000020225e5", "https://pgy.xiaohongshu.com/solar/pre-trade/blogger-detail/616a9ef300000000020225e5")</f>
        <v>https://pgy.xiaohongshu.com/solar/pre-trade/blogger-detail/616a9ef300000000020225e5</v>
      </c>
      <c r="D1176" t="inlineStr">
        <is>
          <t>女</t>
        </is>
      </c>
      <c r="E1176" t="inlineStr">
        <is>
          <t>1127461247</t>
        </is>
      </c>
      <c r="F1176" t="inlineStr">
        <is>
          <t>-哈哈韩-</t>
        </is>
      </c>
      <c r="G1176" t="inlineStr">
        <is>
          <t>新加坡</t>
        </is>
      </c>
      <c r="H1176"/>
      <c r="I1176" t="inlineStr">
        <is>
          <t>教育</t>
        </is>
      </c>
      <c r="J1176">
        <v>2635</v>
      </c>
      <c r="K1176" t="inlineStr">
        <is>
          <t>0.3</t>
        </is>
      </c>
      <c r="L1176">
        <v>17466</v>
      </c>
      <c r="M1176">
        <v>3110</v>
      </c>
      <c r="N1176">
        <v>342</v>
      </c>
      <c r="O1176">
        <v>400</v>
      </c>
      <c r="P1176">
        <v>0</v>
      </c>
      <c r="Q1176">
        <v>1</v>
      </c>
      <c r="R1176">
        <v>17466</v>
      </c>
      <c r="S1176">
        <v>3110</v>
      </c>
      <c r="T1176">
        <v>222</v>
      </c>
      <c r="U1176">
        <v>0.47</v>
      </c>
      <c r="V1176">
        <v>400</v>
      </c>
      <c r="W1176">
        <v>1</v>
      </c>
      <c r="X1176">
        <v>0</v>
      </c>
      <c r="Y1176">
        <v>30.26</v>
      </c>
      <c r="Z1176">
        <v>1.75</v>
      </c>
      <c r="AA1176">
        <v>0</v>
      </c>
      <c r="AB1176">
        <v>0</v>
      </c>
      <c r="AC1176">
        <v>0</v>
      </c>
      <c r="AD1176">
        <v>0</v>
      </c>
      <c r="AE1176">
        <v>0</v>
      </c>
      <c r="AF1176">
        <v>0</v>
      </c>
      <c r="AG1176">
        <v>0</v>
      </c>
      <c r="AH1176">
        <v>0</v>
      </c>
      <c r="AI1176">
        <v>0</v>
      </c>
      <c r="AJ1176">
        <v>0</v>
      </c>
      <c r="AK1176">
        <v>8972</v>
      </c>
      <c r="AL1176">
        <v>1722</v>
      </c>
      <c r="AM1176">
        <v>77</v>
      </c>
      <c r="AN1176">
        <v>0</v>
      </c>
      <c r="AO1176">
        <v>0</v>
      </c>
      <c r="AP1176">
        <v>0.84</v>
      </c>
      <c r="AQ1176">
        <v>0.0409999999999999</v>
      </c>
      <c r="AR1176">
        <v>0.048</v>
      </c>
      <c r="AS1176" s="3">
        <v>46107.778495370374</v>
      </c>
    </row>
    <row r="1177" ht="25.5" customHeight="1">
      <c r="A1177" t="inlineStr">
        <is>
          <t>5dfd988f000000000100018a</t>
        </is>
      </c>
      <c r="B1177" s="2" t="str">
        <f>=HYPERLINK("https://www.xiaohongshu.com/user/profile/5dfd988f000000000100018a", "https://www.xiaohongshu.com/user/profile/5dfd988f000000000100018a")</f>
        <v>https://www.xiaohongshu.com/user/profile/5dfd988f000000000100018a</v>
      </c>
      <c r="C1177" s="2" t="str">
        <f>=HYPERLINK("https://pgy.xiaohongshu.com/solar/pre-trade/blogger-detail/5dfd988f000000000100018a", "https://pgy.xiaohongshu.com/solar/pre-trade/blogger-detail/5dfd988f000000000100018a")</f>
        <v>https://pgy.xiaohongshu.com/solar/pre-trade/blogger-detail/5dfd988f000000000100018a</v>
      </c>
      <c r="D1177" t="inlineStr">
        <is>
          <t>女</t>
        </is>
      </c>
      <c r="E1177" t="inlineStr">
        <is>
          <t>667240105</t>
        </is>
      </c>
      <c r="F1177" t="inlineStr">
        <is>
          <t>每天积累一点日语</t>
        </is>
      </c>
      <c r="G1177" t="inlineStr">
        <is>
          <t>安徽 合肥 蜀山区</t>
        </is>
      </c>
      <c r="H1177" t="inlineStr">
        <is>
          <t>留学背景, 翻译</t>
        </is>
      </c>
      <c r="I1177" t="inlineStr">
        <is>
          <t>教育</t>
        </is>
      </c>
      <c r="J1177">
        <v>15650</v>
      </c>
      <c r="K1177" t="inlineStr">
        <is>
          <t>1.6</t>
        </is>
      </c>
      <c r="L1177">
        <v>15183</v>
      </c>
      <c r="M1177">
        <v>2504</v>
      </c>
      <c r="N1177">
        <v>125</v>
      </c>
      <c r="O1177">
        <v>150</v>
      </c>
      <c r="P1177">
        <v>0</v>
      </c>
      <c r="Q1177">
        <v>0</v>
      </c>
      <c r="R1177">
        <v>15183</v>
      </c>
      <c r="S1177">
        <v>2504</v>
      </c>
      <c r="T1177">
        <v>119</v>
      </c>
      <c r="U1177">
        <v>0.36</v>
      </c>
      <c r="V1177">
        <v>150</v>
      </c>
      <c r="W1177">
        <v>0</v>
      </c>
      <c r="X1177">
        <v>0</v>
      </c>
      <c r="Y1177">
        <v>9.88</v>
      </c>
      <c r="Z1177">
        <v>1.2</v>
      </c>
      <c r="AA1177">
        <v>0</v>
      </c>
      <c r="AB1177">
        <v>0</v>
      </c>
      <c r="AC1177">
        <v>0</v>
      </c>
      <c r="AD1177">
        <v>0</v>
      </c>
      <c r="AE1177">
        <v>0</v>
      </c>
      <c r="AF1177">
        <v>0</v>
      </c>
      <c r="AG1177">
        <v>0</v>
      </c>
      <c r="AH1177">
        <v>0</v>
      </c>
      <c r="AI1177">
        <v>0</v>
      </c>
      <c r="AJ1177">
        <v>0</v>
      </c>
      <c r="AK1177">
        <v>0</v>
      </c>
      <c r="AL1177">
        <v>0</v>
      </c>
      <c r="AM1177">
        <v>0</v>
      </c>
      <c r="AN1177">
        <v>0</v>
      </c>
      <c r="AO1177">
        <v>0</v>
      </c>
      <c r="AP1177">
        <v>0.821</v>
      </c>
      <c r="AQ1177">
        <v>0.004</v>
      </c>
      <c r="AR1177">
        <v>-0.003</v>
      </c>
      <c r="AS1177" s="3">
        <v>46107.778495370374</v>
      </c>
    </row>
    <row r="1178" ht="25.5" customHeight="1">
      <c r="A1178" t="inlineStr">
        <is>
          <t>6601143a000000000d027233</t>
        </is>
      </c>
      <c r="B1178" s="2" t="str">
        <f>=HYPERLINK("https://www.xiaohongshu.com/user/profile/6601143a000000000d027233", "https://www.xiaohongshu.com/user/profile/6601143a000000000d027233")</f>
        <v>https://www.xiaohongshu.com/user/profile/6601143a000000000d027233</v>
      </c>
      <c r="C1178" s="2" t="str">
        <f>=HYPERLINK("https://pgy.xiaohongshu.com/solar/pre-trade/blogger-detail/6601143a000000000d027233", "https://pgy.xiaohongshu.com/solar/pre-trade/blogger-detail/6601143a000000000d027233")</f>
        <v>https://pgy.xiaohongshu.com/solar/pre-trade/blogger-detail/6601143a000000000d027233</v>
      </c>
      <c r="D1178" t="inlineStr">
        <is>
          <t>女</t>
        </is>
      </c>
      <c r="E1178" t="inlineStr">
        <is>
          <t>94246546523</t>
        </is>
      </c>
      <c r="F1178" t="inlineStr">
        <is>
          <t>77爱分享</t>
        </is>
      </c>
      <c r="G1178" t="inlineStr">
        <is>
          <t>云南 楚雄彝族自治州 姚安县</t>
        </is>
      </c>
      <c r="H1178"/>
      <c r="I1178" t="inlineStr">
        <is>
          <t>教育</t>
        </is>
      </c>
      <c r="J1178">
        <v>1414</v>
      </c>
      <c r="K1178" t="inlineStr">
        <is>
          <t>0.1</t>
        </is>
      </c>
      <c r="L1178">
        <v>689</v>
      </c>
      <c r="M1178">
        <v>512</v>
      </c>
      <c r="N1178">
        <v>148</v>
      </c>
      <c r="O1178">
        <v>160</v>
      </c>
      <c r="P1178">
        <v>0</v>
      </c>
      <c r="Q1178">
        <v>0.316</v>
      </c>
      <c r="R1178">
        <v>0</v>
      </c>
      <c r="S1178">
        <v>0</v>
      </c>
      <c r="T1178">
        <v>0</v>
      </c>
      <c r="U1178">
        <v>0</v>
      </c>
      <c r="V1178">
        <v>160</v>
      </c>
      <c r="W1178">
        <v>0</v>
      </c>
      <c r="X1178">
        <v>0</v>
      </c>
      <c r="Y1178">
        <v>0</v>
      </c>
      <c r="Z1178">
        <v>0</v>
      </c>
      <c r="AA1178">
        <v>689</v>
      </c>
      <c r="AB1178">
        <v>512</v>
      </c>
      <c r="AC1178">
        <v>140</v>
      </c>
      <c r="AD1178">
        <v>1.89</v>
      </c>
      <c r="AE1178">
        <v>200</v>
      </c>
      <c r="AF1178">
        <v>0.316</v>
      </c>
      <c r="AG1178">
        <v>0</v>
      </c>
      <c r="AH1178">
        <v>0.098</v>
      </c>
      <c r="AI1178">
        <v>290.28</v>
      </c>
      <c r="AJ1178">
        <v>1.35</v>
      </c>
      <c r="AK1178">
        <v>0</v>
      </c>
      <c r="AL1178">
        <v>0</v>
      </c>
      <c r="AM1178">
        <v>0</v>
      </c>
      <c r="AN1178">
        <v>0</v>
      </c>
      <c r="AO1178">
        <v>0</v>
      </c>
      <c r="AP1178">
        <v>0.805</v>
      </c>
      <c r="AQ1178">
        <v>0.049</v>
      </c>
      <c r="AR1178">
        <v>0.068</v>
      </c>
      <c r="AS1178" s="3">
        <v>46107.778495370374</v>
      </c>
    </row>
    <row r="1179" ht="25.5" customHeight="1">
      <c r="A1179" t="inlineStr">
        <is>
          <t>64654fc70000000029012f36</t>
        </is>
      </c>
      <c r="B1179" s="2" t="str">
        <f>=HYPERLINK("https://www.xiaohongshu.com/user/profile/64654fc70000000029012f36", "https://www.xiaohongshu.com/user/profile/64654fc70000000029012f36")</f>
        <v>https://www.xiaohongshu.com/user/profile/64654fc70000000029012f36</v>
      </c>
      <c r="C1179" s="2" t="str">
        <f>=HYPERLINK("https://pgy.xiaohongshu.com/solar/pre-trade/blogger-detail/64654fc70000000029012f36", "https://pgy.xiaohongshu.com/solar/pre-trade/blogger-detail/64654fc70000000029012f36")</f>
        <v>https://pgy.xiaohongshu.com/solar/pre-trade/blogger-detail/64654fc70000000029012f36</v>
      </c>
      <c r="D1179" t="inlineStr">
        <is>
          <t>男</t>
        </is>
      </c>
      <c r="E1179" t="inlineStr">
        <is>
          <t>kuniyamahasen</t>
        </is>
      </c>
      <c r="F1179" t="inlineStr">
        <is>
          <t>国山赫森</t>
        </is>
      </c>
      <c r="G1179" t="inlineStr">
        <is>
          <t>日本</t>
        </is>
      </c>
      <c r="H1179"/>
      <c r="I1179" t="inlineStr">
        <is>
          <t>教育</t>
        </is>
      </c>
      <c r="J1179">
        <v>30477</v>
      </c>
      <c r="K1179" t="inlineStr">
        <is>
          <t>3.0</t>
        </is>
      </c>
      <c r="L1179">
        <v>312667</v>
      </c>
      <c r="M1179">
        <v>40731</v>
      </c>
      <c r="N1179">
        <v>1155</v>
      </c>
      <c r="O1179">
        <v>2000</v>
      </c>
      <c r="P1179">
        <v>0.2</v>
      </c>
      <c r="Q1179">
        <v>0.8</v>
      </c>
      <c r="R1179">
        <v>0</v>
      </c>
      <c r="S1179">
        <v>0</v>
      </c>
      <c r="T1179">
        <v>0</v>
      </c>
      <c r="U1179">
        <v>0</v>
      </c>
      <c r="V1179">
        <v>2000</v>
      </c>
      <c r="W1179">
        <v>0</v>
      </c>
      <c r="X1179">
        <v>0</v>
      </c>
      <c r="Y1179">
        <v>0</v>
      </c>
      <c r="Z1179">
        <v>0</v>
      </c>
      <c r="AA1179">
        <v>312667</v>
      </c>
      <c r="AB1179">
        <v>40731</v>
      </c>
      <c r="AC1179">
        <v>628</v>
      </c>
      <c r="AD1179">
        <v>1.56</v>
      </c>
      <c r="AE1179">
        <v>2500</v>
      </c>
      <c r="AF1179">
        <v>0.8</v>
      </c>
      <c r="AG1179">
        <v>0.2</v>
      </c>
      <c r="AH1179">
        <v>0.055</v>
      </c>
      <c r="AI1179">
        <v>8</v>
      </c>
      <c r="AJ1179">
        <v>2.16</v>
      </c>
      <c r="AK1179">
        <v>0</v>
      </c>
      <c r="AL1179">
        <v>0</v>
      </c>
      <c r="AM1179">
        <v>0</v>
      </c>
      <c r="AN1179">
        <v>0</v>
      </c>
      <c r="AO1179">
        <v>0</v>
      </c>
      <c r="AP1179">
        <v>0.964</v>
      </c>
      <c r="AQ1179">
        <v>0.044</v>
      </c>
      <c r="AR1179">
        <v>0.104</v>
      </c>
      <c r="AS1179" s="3">
        <v>46107.778495370374</v>
      </c>
    </row>
    <row r="1180" ht="25.5" customHeight="1">
      <c r="A1180" t="inlineStr">
        <is>
          <t>5f64aa0a000000000101edb0</t>
        </is>
      </c>
      <c r="B1180" s="2" t="str">
        <f>=HYPERLINK("https://www.xiaohongshu.com/user/profile/5f64aa0a000000000101edb0", "https://www.xiaohongshu.com/user/profile/5f64aa0a000000000101edb0")</f>
        <v>https://www.xiaohongshu.com/user/profile/5f64aa0a000000000101edb0</v>
      </c>
      <c r="C1180" s="2" t="str">
        <f>=HYPERLINK("https://pgy.xiaohongshu.com/solar/pre-trade/blogger-detail/5f64aa0a000000000101edb0", "https://pgy.xiaohongshu.com/solar/pre-trade/blogger-detail/5f64aa0a000000000101edb0")</f>
        <v>https://pgy.xiaohongshu.com/solar/pre-trade/blogger-detail/5f64aa0a000000000101edb0</v>
      </c>
      <c r="D1180" t="inlineStr">
        <is>
          <t>男</t>
        </is>
      </c>
      <c r="E1180" t="inlineStr">
        <is>
          <t>371041426</t>
        </is>
      </c>
      <c r="F1180" t="inlineStr">
        <is>
          <t>Patti（实习）</t>
        </is>
      </c>
      <c r="G1180" t="inlineStr">
        <is>
          <t>北京</t>
        </is>
      </c>
      <c r="H1180" t="inlineStr">
        <is>
          <t>学生</t>
        </is>
      </c>
      <c r="I1180" t="inlineStr">
        <is>
          <t>职场, 教育</t>
        </is>
      </c>
      <c r="J1180">
        <v>1139</v>
      </c>
      <c r="K1180" t="inlineStr">
        <is>
          <t>0.1</t>
        </is>
      </c>
      <c r="L1180">
        <v>6113</v>
      </c>
      <c r="M1180">
        <v>1577</v>
      </c>
      <c r="N1180">
        <v>118</v>
      </c>
      <c r="O1180">
        <v>170</v>
      </c>
      <c r="P1180">
        <v>0</v>
      </c>
      <c r="Q1180">
        <v>0</v>
      </c>
      <c r="R1180">
        <v>6113</v>
      </c>
      <c r="S1180">
        <v>1577</v>
      </c>
      <c r="T1180">
        <v>86</v>
      </c>
      <c r="U1180">
        <v>0.41</v>
      </c>
      <c r="V1180">
        <v>170</v>
      </c>
      <c r="W1180">
        <v>0</v>
      </c>
      <c r="X1180">
        <v>0</v>
      </c>
      <c r="Y1180">
        <v>27.81</v>
      </c>
      <c r="Z1180">
        <v>1.44</v>
      </c>
      <c r="AA1180">
        <v>0</v>
      </c>
      <c r="AB1180">
        <v>0</v>
      </c>
      <c r="AC1180">
        <v>0</v>
      </c>
      <c r="AD1180">
        <v>0</v>
      </c>
      <c r="AE1180">
        <v>261</v>
      </c>
      <c r="AF1180">
        <v>0</v>
      </c>
      <c r="AG1180">
        <v>0</v>
      </c>
      <c r="AH1180">
        <v>0</v>
      </c>
      <c r="AI1180">
        <v>0</v>
      </c>
      <c r="AJ1180">
        <v>0</v>
      </c>
      <c r="AK1180">
        <v>0</v>
      </c>
      <c r="AL1180">
        <v>0</v>
      </c>
      <c r="AM1180">
        <v>0</v>
      </c>
      <c r="AN1180">
        <v>0</v>
      </c>
      <c r="AO1180">
        <v>0</v>
      </c>
      <c r="AP1180">
        <v>0.924</v>
      </c>
      <c r="AQ1180">
        <v>0.062</v>
      </c>
      <c r="AR1180">
        <v>0.045</v>
      </c>
      <c r="AS1180" s="3">
        <v>46107.778495370374</v>
      </c>
    </row>
    <row r="1181" ht="25.5" customHeight="1">
      <c r="A1181" t="inlineStr">
        <is>
          <t>690c58a50000000032014421</t>
        </is>
      </c>
      <c r="B1181" s="2" t="str">
        <f>=HYPERLINK("https://www.xiaohongshu.com/user/profile/690c58a50000000032014421", "https://www.xiaohongshu.com/user/profile/690c58a50000000032014421")</f>
        <v>https://www.xiaohongshu.com/user/profile/690c58a50000000032014421</v>
      </c>
      <c r="C1181" s="2" t="str">
        <f>=HYPERLINK("https://pgy.xiaohongshu.com/solar/pre-trade/blogger-detail/690c58a50000000032014421", "https://pgy.xiaohongshu.com/solar/pre-trade/blogger-detail/690c58a50000000032014421")</f>
        <v>https://pgy.xiaohongshu.com/solar/pre-trade/blogger-detail/690c58a50000000032014421</v>
      </c>
      <c r="D1181" t="inlineStr">
        <is>
          <t>女</t>
        </is>
      </c>
      <c r="E1181" t="inlineStr">
        <is>
          <t>Kx3888</t>
        </is>
      </c>
      <c r="F1181" t="inlineStr">
        <is>
          <t>开心是个宝宝</t>
        </is>
      </c>
      <c r="G1181" t="inlineStr">
        <is>
          <t>广东 广州 白云区</t>
        </is>
      </c>
      <c r="H1181"/>
      <c r="I1181"/>
      <c r="J1181">
        <v>8639</v>
      </c>
      <c r="K1181" t="inlineStr">
        <is>
          <t>0.9</t>
        </is>
      </c>
      <c r="L1181">
        <v>1741</v>
      </c>
      <c r="M1181">
        <v>1269</v>
      </c>
      <c r="N1181">
        <v>165</v>
      </c>
      <c r="O1181">
        <v>300</v>
      </c>
      <c r="P1181">
        <v>0</v>
      </c>
      <c r="Q1181">
        <v>0.429</v>
      </c>
      <c r="R1181">
        <v>1091</v>
      </c>
      <c r="S1181">
        <v>115</v>
      </c>
      <c r="T1181">
        <v>1</v>
      </c>
      <c r="U1181">
        <v>2.91</v>
      </c>
      <c r="V1181">
        <v>300</v>
      </c>
      <c r="W1181">
        <v>0</v>
      </c>
      <c r="X1181">
        <v>0</v>
      </c>
      <c r="Y1181">
        <v>274.98</v>
      </c>
      <c r="Z1181">
        <v>300</v>
      </c>
      <c r="AA1181">
        <v>1921</v>
      </c>
      <c r="AB1181">
        <v>1298</v>
      </c>
      <c r="AC1181">
        <v>132</v>
      </c>
      <c r="AD1181">
        <v>1.89</v>
      </c>
      <c r="AE1181">
        <v>500</v>
      </c>
      <c r="AF1181">
        <v>0.462</v>
      </c>
      <c r="AG1181">
        <v>0</v>
      </c>
      <c r="AH1181">
        <v>0.156</v>
      </c>
      <c r="AI1181">
        <v>260.28</v>
      </c>
      <c r="AJ1181">
        <v>2.94</v>
      </c>
      <c r="AK1181">
        <v>0</v>
      </c>
      <c r="AL1181">
        <v>0</v>
      </c>
      <c r="AM1181">
        <v>0</v>
      </c>
      <c r="AN1181">
        <v>0</v>
      </c>
      <c r="AO1181">
        <v>0</v>
      </c>
      <c r="AP1181">
        <v>0.952</v>
      </c>
      <c r="AQ1181">
        <v>0.038</v>
      </c>
      <c r="AR1181">
        <v>0.032</v>
      </c>
      <c r="AS1181" s="3">
        <v>46107.778657407405</v>
      </c>
    </row>
    <row r="1182" ht="25.5" customHeight="1">
      <c r="A1182" t="inlineStr">
        <is>
          <t>612f85900000000002026a52</t>
        </is>
      </c>
      <c r="B1182" s="2" t="str">
        <f>=HYPERLINK("https://www.xiaohongshu.com/user/profile/612f85900000000002026a52", "https://www.xiaohongshu.com/user/profile/612f85900000000002026a52")</f>
        <v>https://www.xiaohongshu.com/user/profile/612f85900000000002026a52</v>
      </c>
      <c r="C1182" s="2" t="str">
        <f>=HYPERLINK("https://pgy.xiaohongshu.com/solar/pre-trade/blogger-detail/612f85900000000002026a52", "https://pgy.xiaohongshu.com/solar/pre-trade/blogger-detail/612f85900000000002026a52")</f>
        <v>https://pgy.xiaohongshu.com/solar/pre-trade/blogger-detail/612f85900000000002026a52</v>
      </c>
      <c r="D1182" t="inlineStr">
        <is>
          <t>女</t>
        </is>
      </c>
      <c r="E1182" t="inlineStr">
        <is>
          <t>9513245934</t>
        </is>
      </c>
      <c r="F1182" t="inlineStr">
        <is>
          <t>IIIvvy</t>
        </is>
      </c>
      <c r="G1182" t="inlineStr">
        <is>
          <t>山东 潍坊 诸城市</t>
        </is>
      </c>
      <c r="H1182"/>
      <c r="I1182" t="inlineStr">
        <is>
          <t>教育</t>
        </is>
      </c>
      <c r="J1182">
        <v>1940</v>
      </c>
      <c r="K1182" t="inlineStr">
        <is>
          <t>0.2</t>
        </is>
      </c>
      <c r="L1182">
        <v>10760</v>
      </c>
      <c r="M1182">
        <v>1666</v>
      </c>
      <c r="N1182">
        <v>184</v>
      </c>
      <c r="O1182">
        <v>168</v>
      </c>
      <c r="P1182">
        <v>0</v>
      </c>
      <c r="Q1182">
        <v>0.632</v>
      </c>
      <c r="R1182">
        <v>10760</v>
      </c>
      <c r="S1182">
        <v>1666</v>
      </c>
      <c r="T1182">
        <v>165</v>
      </c>
      <c r="U1182">
        <v>0.4</v>
      </c>
      <c r="V1182">
        <v>168</v>
      </c>
      <c r="W1182">
        <v>0.632</v>
      </c>
      <c r="X1182">
        <v>0</v>
      </c>
      <c r="Y1182">
        <v>15.61</v>
      </c>
      <c r="Z1182">
        <v>0.91</v>
      </c>
      <c r="AA1182">
        <v>0</v>
      </c>
      <c r="AB1182">
        <v>0</v>
      </c>
      <c r="AC1182">
        <v>0</v>
      </c>
      <c r="AD1182">
        <v>0</v>
      </c>
      <c r="AE1182">
        <v>198</v>
      </c>
      <c r="AF1182">
        <v>0</v>
      </c>
      <c r="AG1182">
        <v>0</v>
      </c>
      <c r="AH1182">
        <v>0</v>
      </c>
      <c r="AI1182">
        <v>0</v>
      </c>
      <c r="AJ1182">
        <v>0</v>
      </c>
      <c r="AK1182">
        <v>0</v>
      </c>
      <c r="AL1182">
        <v>0</v>
      </c>
      <c r="AM1182">
        <v>0</v>
      </c>
      <c r="AN1182">
        <v>0</v>
      </c>
      <c r="AO1182">
        <v>0</v>
      </c>
      <c r="AP1182">
        <v>0.883</v>
      </c>
      <c r="AQ1182">
        <v>0.100999999999999</v>
      </c>
      <c r="AR1182">
        <v>0.175</v>
      </c>
      <c r="AS1182" s="3">
        <v>46107.778657407405</v>
      </c>
    </row>
    <row r="1183" ht="25.5" customHeight="1">
      <c r="A1183" t="inlineStr">
        <is>
          <t>62d521d00000000015018281</t>
        </is>
      </c>
      <c r="B1183" s="2" t="str">
        <f>=HYPERLINK("https://www.xiaohongshu.com/user/profile/62d521d00000000015018281", "https://www.xiaohongshu.com/user/profile/62d521d00000000015018281")</f>
        <v>https://www.xiaohongshu.com/user/profile/62d521d00000000015018281</v>
      </c>
      <c r="C1183" s="2" t="str">
        <f>=HYPERLINK("https://pgy.xiaohongshu.com/solar/pre-trade/blogger-detail/62d521d00000000015018281", "https://pgy.xiaohongshu.com/solar/pre-trade/blogger-detail/62d521d00000000015018281")</f>
        <v>https://pgy.xiaohongshu.com/solar/pre-trade/blogger-detail/62d521d00000000015018281</v>
      </c>
      <c r="D1183" t="inlineStr">
        <is>
          <t>女</t>
        </is>
      </c>
      <c r="E1183" t="inlineStr">
        <is>
          <t>6744953363</t>
        </is>
      </c>
      <c r="F1183" t="inlineStr">
        <is>
          <t>柿子熟了</t>
        </is>
      </c>
      <c r="G1183" t="inlineStr">
        <is>
          <t>上海</t>
        </is>
      </c>
      <c r="H1183" t="inlineStr">
        <is>
          <t>考研过来人</t>
        </is>
      </c>
      <c r="I1183"/>
      <c r="J1183">
        <v>2131</v>
      </c>
      <c r="K1183" t="inlineStr">
        <is>
          <t>0.2</t>
        </is>
      </c>
      <c r="L1183">
        <v>6471</v>
      </c>
      <c r="M1183">
        <v>1261</v>
      </c>
      <c r="N1183">
        <v>138</v>
      </c>
      <c r="O1183">
        <v>200</v>
      </c>
      <c r="P1183">
        <v>0</v>
      </c>
      <c r="Q1183">
        <v>0</v>
      </c>
      <c r="R1183">
        <v>6471</v>
      </c>
      <c r="S1183">
        <v>1261</v>
      </c>
      <c r="T1183">
        <v>121</v>
      </c>
      <c r="U1183">
        <v>0.46</v>
      </c>
      <c r="V1183">
        <v>200</v>
      </c>
      <c r="W1183">
        <v>0</v>
      </c>
      <c r="X1183">
        <v>0</v>
      </c>
      <c r="Y1183">
        <v>30.91</v>
      </c>
      <c r="Z1183">
        <v>1.45</v>
      </c>
      <c r="AA1183">
        <v>0</v>
      </c>
      <c r="AB1183">
        <v>0</v>
      </c>
      <c r="AC1183">
        <v>0</v>
      </c>
      <c r="AD1183">
        <v>0</v>
      </c>
      <c r="AE1183">
        <v>200</v>
      </c>
      <c r="AF1183">
        <v>0</v>
      </c>
      <c r="AG1183">
        <v>0</v>
      </c>
      <c r="AH1183">
        <v>0</v>
      </c>
      <c r="AI1183">
        <v>0</v>
      </c>
      <c r="AJ1183">
        <v>0</v>
      </c>
      <c r="AK1183">
        <v>0</v>
      </c>
      <c r="AL1183">
        <v>0</v>
      </c>
      <c r="AM1183">
        <v>0</v>
      </c>
      <c r="AN1183">
        <v>0</v>
      </c>
      <c r="AO1183">
        <v>0</v>
      </c>
      <c r="AP1183">
        <v>0.852</v>
      </c>
      <c r="AQ1183">
        <v>0.034</v>
      </c>
      <c r="AR1183">
        <v>0.022</v>
      </c>
      <c r="AS1183" s="3">
        <v>46107.778657407405</v>
      </c>
    </row>
    <row r="1184" ht="25.5" customHeight="1">
      <c r="A1184" t="inlineStr">
        <is>
          <t>56bc796acb35fb1be10783ed</t>
        </is>
      </c>
      <c r="B1184" s="2" t="str">
        <f>=HYPERLINK("https://www.xiaohongshu.com/user/profile/56bc796acb35fb1be10783ed", "https://www.xiaohongshu.com/user/profile/56bc796acb35fb1be10783ed")</f>
        <v>https://www.xiaohongshu.com/user/profile/56bc796acb35fb1be10783ed</v>
      </c>
      <c r="C1184" s="2" t="str">
        <f>=HYPERLINK("https://pgy.xiaohongshu.com/solar/pre-trade/blogger-detail/56bc796acb35fb1be10783ed", "https://pgy.xiaohongshu.com/solar/pre-trade/blogger-detail/56bc796acb35fb1be10783ed")</f>
        <v>https://pgy.xiaohongshu.com/solar/pre-trade/blogger-detail/56bc796acb35fb1be10783ed</v>
      </c>
      <c r="D1184" t="inlineStr">
        <is>
          <t>女</t>
        </is>
      </c>
      <c r="E1184" t="inlineStr">
        <is>
          <t>106174498</t>
        </is>
      </c>
      <c r="F1184" t="inlineStr">
        <is>
          <t>鹿辣辣luna</t>
        </is>
      </c>
      <c r="G1184" t="inlineStr">
        <is>
          <t>中国 香港</t>
        </is>
      </c>
      <c r="H1184" t="inlineStr">
        <is>
          <t>留学背景, 学生</t>
        </is>
      </c>
      <c r="I1184" t="inlineStr">
        <is>
          <t>出行旅游</t>
        </is>
      </c>
      <c r="J1184">
        <v>2045</v>
      </c>
      <c r="K1184" t="inlineStr">
        <is>
          <t>0.2</t>
        </is>
      </c>
      <c r="L1184">
        <v>5565</v>
      </c>
      <c r="M1184">
        <v>772</v>
      </c>
      <c r="N1184">
        <v>168</v>
      </c>
      <c r="O1184">
        <v>300</v>
      </c>
      <c r="P1184">
        <v>0</v>
      </c>
      <c r="Q1184">
        <v>0.667</v>
      </c>
      <c r="R1184">
        <v>9212</v>
      </c>
      <c r="S1184">
        <v>1437</v>
      </c>
      <c r="T1184">
        <v>271</v>
      </c>
      <c r="U1184">
        <v>0.51</v>
      </c>
      <c r="V1184">
        <v>300</v>
      </c>
      <c r="W1184">
        <v>1</v>
      </c>
      <c r="X1184">
        <v>0</v>
      </c>
      <c r="Y1184">
        <v>32.57</v>
      </c>
      <c r="Z1184">
        <v>0.86</v>
      </c>
      <c r="AA1184">
        <v>2983</v>
      </c>
      <c r="AB1184">
        <v>435</v>
      </c>
      <c r="AC1184">
        <v>73</v>
      </c>
      <c r="AD1184">
        <v>2.65</v>
      </c>
      <c r="AE1184">
        <v>500</v>
      </c>
      <c r="AF1184">
        <v>0</v>
      </c>
      <c r="AG1184">
        <v>0</v>
      </c>
      <c r="AH1184">
        <v>0.091</v>
      </c>
      <c r="AI1184">
        <v>167.62</v>
      </c>
      <c r="AJ1184">
        <v>6.41</v>
      </c>
      <c r="AK1184">
        <v>0</v>
      </c>
      <c r="AL1184">
        <v>0</v>
      </c>
      <c r="AM1184">
        <v>0</v>
      </c>
      <c r="AN1184">
        <v>0</v>
      </c>
      <c r="AO1184">
        <v>0</v>
      </c>
      <c r="AP1184">
        <v>0.87</v>
      </c>
      <c r="AQ1184">
        <v>0.037</v>
      </c>
      <c r="AR1184">
        <v>0.083</v>
      </c>
      <c r="AS1184" s="3">
        <v>46107.778657407405</v>
      </c>
    </row>
    <row r="1185" ht="25.5" customHeight="1">
      <c r="A1185" t="inlineStr">
        <is>
          <t>675ed36a00000000180165ee</t>
        </is>
      </c>
      <c r="B1185" s="2" t="str">
        <f>=HYPERLINK("https://www.xiaohongshu.com/user/profile/675ed36a00000000180165ee", "https://www.xiaohongshu.com/user/profile/675ed36a00000000180165ee")</f>
        <v>https://www.xiaohongshu.com/user/profile/675ed36a00000000180165ee</v>
      </c>
      <c r="C1185" s="2" t="str">
        <f>=HYPERLINK("https://pgy.xiaohongshu.com/solar/pre-trade/blogger-detail/675ed36a00000000180165ee", "https://pgy.xiaohongshu.com/solar/pre-trade/blogger-detail/675ed36a00000000180165ee")</f>
        <v>https://pgy.xiaohongshu.com/solar/pre-trade/blogger-detail/675ed36a00000000180165ee</v>
      </c>
      <c r="D1185" t="inlineStr">
        <is>
          <t>女</t>
        </is>
      </c>
      <c r="E1185" t="inlineStr">
        <is>
          <t>11536798579</t>
        </is>
      </c>
      <c r="F1185" t="inlineStr">
        <is>
          <t>摸爬滚打第一人</t>
        </is>
      </c>
      <c r="G1185" t="inlineStr">
        <is>
          <t>山东 日照 东港区</t>
        </is>
      </c>
      <c r="H1185"/>
      <c r="I1185" t="inlineStr">
        <is>
          <t>教育</t>
        </is>
      </c>
      <c r="J1185">
        <v>1451</v>
      </c>
      <c r="K1185" t="inlineStr">
        <is>
          <t>0.1</t>
        </is>
      </c>
      <c r="L1185">
        <v>7477</v>
      </c>
      <c r="M1185">
        <v>1473</v>
      </c>
      <c r="N1185">
        <v>295</v>
      </c>
      <c r="O1185">
        <v>150</v>
      </c>
      <c r="P1185">
        <v>0.125</v>
      </c>
      <c r="Q1185">
        <v>0.625</v>
      </c>
      <c r="R1185">
        <v>8393</v>
      </c>
      <c r="S1185">
        <v>1609</v>
      </c>
      <c r="T1185">
        <v>304</v>
      </c>
      <c r="U1185">
        <v>0.39</v>
      </c>
      <c r="V1185">
        <v>150</v>
      </c>
      <c r="W1185">
        <v>0.714</v>
      </c>
      <c r="X1185">
        <v>0.143</v>
      </c>
      <c r="Y1185">
        <v>17.87</v>
      </c>
      <c r="Z1185">
        <v>0.45</v>
      </c>
      <c r="AA1185">
        <v>2832</v>
      </c>
      <c r="AB1185">
        <v>466</v>
      </c>
      <c r="AC1185">
        <v>11</v>
      </c>
      <c r="AD1185">
        <v>2.14</v>
      </c>
      <c r="AE1185">
        <v>299</v>
      </c>
      <c r="AF1185">
        <v>0</v>
      </c>
      <c r="AG1185">
        <v>0</v>
      </c>
      <c r="AH1185">
        <v>0.069</v>
      </c>
      <c r="AI1185">
        <v>105.58</v>
      </c>
      <c r="AJ1185">
        <v>24.92</v>
      </c>
      <c r="AK1185">
        <v>0</v>
      </c>
      <c r="AL1185">
        <v>0</v>
      </c>
      <c r="AM1185">
        <v>0</v>
      </c>
      <c r="AN1185">
        <v>0</v>
      </c>
      <c r="AO1185">
        <v>0</v>
      </c>
      <c r="AP1185">
        <v>0.98</v>
      </c>
      <c r="AQ1185">
        <v>0.354</v>
      </c>
      <c r="AR1185">
        <v>0</v>
      </c>
      <c r="AS1185" s="3">
        <v>46107.778657407405</v>
      </c>
    </row>
    <row r="1186" ht="25.5" customHeight="1">
      <c r="A1186" t="inlineStr">
        <is>
          <t>67d0217b000000000d00a86c</t>
        </is>
      </c>
      <c r="B1186" s="2" t="str">
        <f>=HYPERLINK("https://www.xiaohongshu.com/user/profile/67d0217b000000000d00a86c", "https://www.xiaohongshu.com/user/profile/67d0217b000000000d00a86c")</f>
        <v>https://www.xiaohongshu.com/user/profile/67d0217b000000000d00a86c</v>
      </c>
      <c r="C1186" s="2" t="str">
        <f>=HYPERLINK("https://pgy.xiaohongshu.com/solar/pre-trade/blogger-detail/67d0217b000000000d00a86c", "https://pgy.xiaohongshu.com/solar/pre-trade/blogger-detail/67d0217b000000000d00a86c")</f>
        <v>https://pgy.xiaohongshu.com/solar/pre-trade/blogger-detail/67d0217b000000000d00a86c</v>
      </c>
      <c r="D1186" t="inlineStr">
        <is>
          <t>男</t>
        </is>
      </c>
      <c r="E1186" t="inlineStr">
        <is>
          <t>zz9527369018</t>
        </is>
      </c>
      <c r="F1186" t="inlineStr">
        <is>
          <t>九号咖啡馆</t>
        </is>
      </c>
      <c r="G1186" t="inlineStr">
        <is>
          <t>福建 泉州 丰泽区</t>
        </is>
      </c>
      <c r="H1186"/>
      <c r="I1186" t="inlineStr">
        <is>
          <t>教育</t>
        </is>
      </c>
      <c r="J1186">
        <v>5140</v>
      </c>
      <c r="K1186" t="inlineStr">
        <is>
          <t>0.5</t>
        </is>
      </c>
      <c r="L1186">
        <v>4905</v>
      </c>
      <c r="M1186">
        <v>1014</v>
      </c>
      <c r="N1186">
        <v>193</v>
      </c>
      <c r="O1186">
        <v>130</v>
      </c>
      <c r="P1186">
        <v>0</v>
      </c>
      <c r="Q1186">
        <v>0.6</v>
      </c>
      <c r="R1186">
        <v>0</v>
      </c>
      <c r="S1186">
        <v>0</v>
      </c>
      <c r="T1186">
        <v>0</v>
      </c>
      <c r="U1186">
        <v>0</v>
      </c>
      <c r="V1186">
        <v>130</v>
      </c>
      <c r="W1186">
        <v>0</v>
      </c>
      <c r="X1186">
        <v>0</v>
      </c>
      <c r="Y1186">
        <v>0</v>
      </c>
      <c r="Z1186">
        <v>0</v>
      </c>
      <c r="AA1186">
        <v>4905</v>
      </c>
      <c r="AB1186">
        <v>1014</v>
      </c>
      <c r="AC1186">
        <v>175</v>
      </c>
      <c r="AD1186">
        <v>1.7</v>
      </c>
      <c r="AE1186">
        <v>199</v>
      </c>
      <c r="AF1186">
        <v>0.6</v>
      </c>
      <c r="AG1186">
        <v>0</v>
      </c>
      <c r="AH1186">
        <v>0.154</v>
      </c>
      <c r="AI1186">
        <v>40.57</v>
      </c>
      <c r="AJ1186">
        <v>1.03</v>
      </c>
      <c r="AK1186">
        <v>0</v>
      </c>
      <c r="AL1186">
        <v>0</v>
      </c>
      <c r="AM1186">
        <v>0</v>
      </c>
      <c r="AN1186">
        <v>0</v>
      </c>
      <c r="AO1186">
        <v>0</v>
      </c>
      <c r="AP1186">
        <v>0.925</v>
      </c>
      <c r="AQ1186">
        <v>0.091</v>
      </c>
      <c r="AR1186">
        <v>0.059</v>
      </c>
      <c r="AS1186" s="3">
        <v>46107.778657407405</v>
      </c>
    </row>
    <row r="1187" ht="25.5" customHeight="1">
      <c r="A1187" t="inlineStr">
        <is>
          <t>63d4874d0000000026004dc6</t>
        </is>
      </c>
      <c r="B1187" s="2" t="str">
        <f>=HYPERLINK("https://www.xiaohongshu.com/user/profile/63d4874d0000000026004dc6", "https://www.xiaohongshu.com/user/profile/63d4874d0000000026004dc6")</f>
        <v>https://www.xiaohongshu.com/user/profile/63d4874d0000000026004dc6</v>
      </c>
      <c r="C1187" s="2" t="str">
        <f>=HYPERLINK("https://pgy.xiaohongshu.com/solar/pre-trade/blogger-detail/63d4874d0000000026004dc6", "https://pgy.xiaohongshu.com/solar/pre-trade/blogger-detail/63d4874d0000000026004dc6")</f>
        <v>https://pgy.xiaohongshu.com/solar/pre-trade/blogger-detail/63d4874d0000000026004dc6</v>
      </c>
      <c r="D1187" t="inlineStr">
        <is>
          <t>女</t>
        </is>
      </c>
      <c r="E1187" t="inlineStr">
        <is>
          <t>susieshang</t>
        </is>
      </c>
      <c r="F1187" t="inlineStr">
        <is>
          <t>Susie摇摇</t>
        </is>
      </c>
      <c r="G1187" t="inlineStr">
        <is>
          <t>湖北 武汉 武昌区</t>
        </is>
      </c>
      <c r="H1187"/>
      <c r="I1187" t="inlineStr">
        <is>
          <t>教育</t>
        </is>
      </c>
      <c r="J1187">
        <v>7670</v>
      </c>
      <c r="K1187" t="inlineStr">
        <is>
          <t>0.8</t>
        </is>
      </c>
      <c r="L1187">
        <v>85907</v>
      </c>
      <c r="M1187">
        <v>9931</v>
      </c>
      <c r="N1187">
        <v>2268</v>
      </c>
      <c r="O1187">
        <v>250</v>
      </c>
      <c r="P1187">
        <v>0</v>
      </c>
      <c r="Q1187">
        <v>1</v>
      </c>
      <c r="R1187">
        <v>0</v>
      </c>
      <c r="S1187">
        <v>0</v>
      </c>
      <c r="T1187">
        <v>0</v>
      </c>
      <c r="U1187">
        <v>0</v>
      </c>
      <c r="V1187">
        <v>250</v>
      </c>
      <c r="W1187">
        <v>0</v>
      </c>
      <c r="X1187">
        <v>0</v>
      </c>
      <c r="Y1187">
        <v>0</v>
      </c>
      <c r="Z1187">
        <v>0</v>
      </c>
      <c r="AA1187">
        <v>85907</v>
      </c>
      <c r="AB1187">
        <v>9931</v>
      </c>
      <c r="AC1187">
        <v>1485</v>
      </c>
      <c r="AD1187">
        <v>1.58</v>
      </c>
      <c r="AE1187">
        <v>750</v>
      </c>
      <c r="AF1187">
        <v>1</v>
      </c>
      <c r="AG1187">
        <v>0</v>
      </c>
      <c r="AH1187">
        <v>0.027</v>
      </c>
      <c r="AI1187">
        <v>8.73</v>
      </c>
      <c r="AJ1187">
        <v>0.33</v>
      </c>
      <c r="AK1187">
        <v>0</v>
      </c>
      <c r="AL1187">
        <v>0</v>
      </c>
      <c r="AM1187">
        <v>0</v>
      </c>
      <c r="AN1187">
        <v>0</v>
      </c>
      <c r="AO1187">
        <v>0</v>
      </c>
      <c r="AP1187">
        <v>0.925</v>
      </c>
      <c r="AQ1187">
        <v>0.051</v>
      </c>
      <c r="AR1187">
        <v>0.113</v>
      </c>
      <c r="AS1187" s="3">
        <v>46107.778657407405</v>
      </c>
    </row>
    <row r="1188" ht="25.5" customHeight="1">
      <c r="A1188" t="inlineStr">
        <is>
          <t>5e64fac000000000010021a1</t>
        </is>
      </c>
      <c r="B1188" s="2" t="str">
        <f>=HYPERLINK("https://www.xiaohongshu.com/user/profile/5e64fac000000000010021a1", "https://www.xiaohongshu.com/user/profile/5e64fac000000000010021a1")</f>
        <v>https://www.xiaohongshu.com/user/profile/5e64fac000000000010021a1</v>
      </c>
      <c r="C1188" s="2" t="str">
        <f>=HYPERLINK("https://pgy.xiaohongshu.com/solar/pre-trade/blogger-detail/5e64fac000000000010021a1", "https://pgy.xiaohongshu.com/solar/pre-trade/blogger-detail/5e64fac000000000010021a1")</f>
        <v>https://pgy.xiaohongshu.com/solar/pre-trade/blogger-detail/5e64fac000000000010021a1</v>
      </c>
      <c r="D1188" t="inlineStr">
        <is>
          <t>男</t>
        </is>
      </c>
      <c r="E1188" t="inlineStr">
        <is>
          <t>485913234</t>
        </is>
      </c>
      <c r="F1188" t="inlineStr">
        <is>
          <t>忍冬</t>
        </is>
      </c>
      <c r="G1188" t="inlineStr">
        <is>
          <t>河南 郑州 金水区</t>
        </is>
      </c>
      <c r="H1188"/>
      <c r="I1188"/>
      <c r="J1188">
        <v>1608</v>
      </c>
      <c r="K1188" t="inlineStr">
        <is>
          <t>0.2</t>
        </is>
      </c>
      <c r="L1188">
        <v>5609</v>
      </c>
      <c r="M1188">
        <v>1091</v>
      </c>
      <c r="N1188">
        <v>169</v>
      </c>
      <c r="O1188">
        <v>100</v>
      </c>
      <c r="P1188">
        <v>0</v>
      </c>
      <c r="Q1188">
        <v>0</v>
      </c>
      <c r="R1188">
        <v>5609</v>
      </c>
      <c r="S1188">
        <v>1091</v>
      </c>
      <c r="T1188">
        <v>135</v>
      </c>
      <c r="U1188">
        <v>0.39</v>
      </c>
      <c r="V1188">
        <v>100</v>
      </c>
      <c r="W1188">
        <v>0</v>
      </c>
      <c r="X1188">
        <v>0</v>
      </c>
      <c r="Y1188">
        <v>17.83</v>
      </c>
      <c r="Z1188">
        <v>0.59</v>
      </c>
      <c r="AA1188">
        <v>0</v>
      </c>
      <c r="AB1188">
        <v>0</v>
      </c>
      <c r="AC1188">
        <v>0</v>
      </c>
      <c r="AD1188">
        <v>0</v>
      </c>
      <c r="AE1188">
        <v>200</v>
      </c>
      <c r="AF1188">
        <v>0</v>
      </c>
      <c r="AG1188">
        <v>0</v>
      </c>
      <c r="AH1188">
        <v>0</v>
      </c>
      <c r="AI1188">
        <v>0</v>
      </c>
      <c r="AJ1188">
        <v>0</v>
      </c>
      <c r="AK1188">
        <v>0</v>
      </c>
      <c r="AL1188">
        <v>0</v>
      </c>
      <c r="AM1188">
        <v>0</v>
      </c>
      <c r="AN1188">
        <v>0</v>
      </c>
      <c r="AO1188">
        <v>0</v>
      </c>
      <c r="AP1188">
        <v>0.927</v>
      </c>
      <c r="AQ1188">
        <v>0.04</v>
      </c>
      <c r="AR1188">
        <v>0.026</v>
      </c>
      <c r="AS1188" s="3">
        <v>46107.778657407405</v>
      </c>
    </row>
    <row r="1189" ht="25.5" customHeight="1">
      <c r="A1189" t="inlineStr">
        <is>
          <t>5f082cb2000000000101dc41</t>
        </is>
      </c>
      <c r="B1189" s="2" t="str">
        <f>=HYPERLINK("https://www.xiaohongshu.com/user/profile/5f082cb2000000000101dc41", "https://www.xiaohongshu.com/user/profile/5f082cb2000000000101dc41")</f>
        <v>https://www.xiaohongshu.com/user/profile/5f082cb2000000000101dc41</v>
      </c>
      <c r="C1189" s="2" t="str">
        <f>=HYPERLINK("https://pgy.xiaohongshu.com/solar/pre-trade/blogger-detail/5f082cb2000000000101dc41", "https://pgy.xiaohongshu.com/solar/pre-trade/blogger-detail/5f082cb2000000000101dc41")</f>
        <v>https://pgy.xiaohongshu.com/solar/pre-trade/blogger-detail/5f082cb2000000000101dc41</v>
      </c>
      <c r="D1189" t="inlineStr">
        <is>
          <t>女</t>
        </is>
      </c>
      <c r="E1189" t="inlineStr">
        <is>
          <t>400911623</t>
        </is>
      </c>
      <c r="F1189" t="inlineStr">
        <is>
          <t>松松</t>
        </is>
      </c>
      <c r="G1189" t="inlineStr">
        <is>
          <t>湖北 武汉 洪山区</t>
        </is>
      </c>
      <c r="H1189"/>
      <c r="I1189"/>
      <c r="J1189">
        <v>2035</v>
      </c>
      <c r="K1189" t="inlineStr">
        <is>
          <t>0.2</t>
        </is>
      </c>
      <c r="L1189">
        <v>4380</v>
      </c>
      <c r="M1189">
        <v>893</v>
      </c>
      <c r="N1189">
        <v>113</v>
      </c>
      <c r="O1189">
        <v>200</v>
      </c>
      <c r="P1189">
        <v>0</v>
      </c>
      <c r="Q1189">
        <v>0</v>
      </c>
      <c r="R1189">
        <v>4380</v>
      </c>
      <c r="S1189">
        <v>893</v>
      </c>
      <c r="T1189">
        <v>103</v>
      </c>
      <c r="U1189">
        <v>0.52</v>
      </c>
      <c r="V1189">
        <v>200</v>
      </c>
      <c r="W1189">
        <v>0</v>
      </c>
      <c r="X1189">
        <v>0</v>
      </c>
      <c r="Y1189">
        <v>45.66</v>
      </c>
      <c r="Z1189">
        <v>1.77</v>
      </c>
      <c r="AA1189">
        <v>0</v>
      </c>
      <c r="AB1189">
        <v>0</v>
      </c>
      <c r="AC1189">
        <v>0</v>
      </c>
      <c r="AD1189">
        <v>0</v>
      </c>
      <c r="AE1189">
        <v>400</v>
      </c>
      <c r="AF1189">
        <v>0</v>
      </c>
      <c r="AG1189">
        <v>0</v>
      </c>
      <c r="AH1189">
        <v>0</v>
      </c>
      <c r="AI1189">
        <v>0</v>
      </c>
      <c r="AJ1189">
        <v>0</v>
      </c>
      <c r="AK1189">
        <v>0</v>
      </c>
      <c r="AL1189">
        <v>0</v>
      </c>
      <c r="AM1189">
        <v>0</v>
      </c>
      <c r="AN1189">
        <v>0</v>
      </c>
      <c r="AO1189">
        <v>0</v>
      </c>
      <c r="AP1189">
        <v>0.853</v>
      </c>
      <c r="AQ1189">
        <v>0.018</v>
      </c>
      <c r="AR1189">
        <v>0.015</v>
      </c>
      <c r="AS1189" s="3">
        <v>46107.778657407405</v>
      </c>
    </row>
    <row r="1190" ht="25.5" customHeight="1">
      <c r="A1190" t="inlineStr">
        <is>
          <t>642126020000000012012432</t>
        </is>
      </c>
      <c r="B1190" s="2" t="str">
        <f>=HYPERLINK("https://www.xiaohongshu.com/user/profile/642126020000000012012432", "https://www.xiaohongshu.com/user/profile/642126020000000012012432")</f>
        <v>https://www.xiaohongshu.com/user/profile/642126020000000012012432</v>
      </c>
      <c r="C1190" s="2" t="str">
        <f>=HYPERLINK("https://pgy.xiaohongshu.com/solar/pre-trade/blogger-detail/642126020000000012012432", "https://pgy.xiaohongshu.com/solar/pre-trade/blogger-detail/642126020000000012012432")</f>
        <v>https://pgy.xiaohongshu.com/solar/pre-trade/blogger-detail/642126020000000012012432</v>
      </c>
      <c r="D1190" t="inlineStr">
        <is>
          <t>女</t>
        </is>
      </c>
      <c r="E1190" t="inlineStr">
        <is>
          <t>9655548029</t>
        </is>
      </c>
      <c r="F1190" t="inlineStr">
        <is>
          <t>摆渡犬</t>
        </is>
      </c>
      <c r="G1190" t="inlineStr">
        <is>
          <t>美国</t>
        </is>
      </c>
      <c r="H1190" t="inlineStr">
        <is>
          <t>海外华人</t>
        </is>
      </c>
      <c r="I1190" t="inlineStr">
        <is>
          <t>兴趣爱好, 教育, 游戏</t>
        </is>
      </c>
      <c r="J1190">
        <v>2760</v>
      </c>
      <c r="K1190" t="inlineStr">
        <is>
          <t>0.3</t>
        </is>
      </c>
      <c r="L1190">
        <v>6948</v>
      </c>
      <c r="M1190">
        <v>1583</v>
      </c>
      <c r="N1190">
        <v>202</v>
      </c>
      <c r="O1190">
        <v>352</v>
      </c>
      <c r="P1190">
        <v>0.332999999999999</v>
      </c>
      <c r="Q1190">
        <v>0.667</v>
      </c>
      <c r="R1190">
        <v>12067</v>
      </c>
      <c r="S1190">
        <v>2804</v>
      </c>
      <c r="T1190">
        <v>326</v>
      </c>
      <c r="U1190">
        <v>0.43</v>
      </c>
      <c r="V1190">
        <v>352</v>
      </c>
      <c r="W1190">
        <v>0.667</v>
      </c>
      <c r="X1190">
        <v>0.332999999999999</v>
      </c>
      <c r="Y1190">
        <v>29.17</v>
      </c>
      <c r="Z1190">
        <v>0.95</v>
      </c>
      <c r="AA1190">
        <v>0</v>
      </c>
      <c r="AB1190">
        <v>0</v>
      </c>
      <c r="AC1190">
        <v>0</v>
      </c>
      <c r="AD1190">
        <v>0</v>
      </c>
      <c r="AE1190">
        <v>666</v>
      </c>
      <c r="AF1190">
        <v>0</v>
      </c>
      <c r="AG1190">
        <v>0</v>
      </c>
      <c r="AH1190">
        <v>0</v>
      </c>
      <c r="AI1190">
        <v>0</v>
      </c>
      <c r="AJ1190">
        <v>0</v>
      </c>
      <c r="AK1190">
        <v>0</v>
      </c>
      <c r="AL1190">
        <v>0</v>
      </c>
      <c r="AM1190">
        <v>0</v>
      </c>
      <c r="AN1190">
        <v>0</v>
      </c>
      <c r="AO1190">
        <v>0</v>
      </c>
      <c r="AP1190">
        <v>0.944</v>
      </c>
      <c r="AQ1190">
        <v>0.039</v>
      </c>
      <c r="AR1190">
        <v>0.00699999999999999</v>
      </c>
      <c r="AS1190" s="3">
        <v>46107.778657407405</v>
      </c>
    </row>
    <row r="1191" ht="25.5" customHeight="1">
      <c r="A1191" t="inlineStr">
        <is>
          <t>5de33ec700000000010067f0</t>
        </is>
      </c>
      <c r="B1191" s="2" t="str">
        <f>=HYPERLINK("https://www.xiaohongshu.com/user/profile/5de33ec700000000010067f0", "https://www.xiaohongshu.com/user/profile/5de33ec700000000010067f0")</f>
        <v>https://www.xiaohongshu.com/user/profile/5de33ec700000000010067f0</v>
      </c>
      <c r="C1191" s="2" t="str">
        <f>=HYPERLINK("https://pgy.xiaohongshu.com/solar/pre-trade/blogger-detail/5de33ec700000000010067f0", "https://pgy.xiaohongshu.com/solar/pre-trade/blogger-detail/5de33ec700000000010067f0")</f>
        <v>https://pgy.xiaohongshu.com/solar/pre-trade/blogger-detail/5de33ec700000000010067f0</v>
      </c>
      <c r="D1191" t="inlineStr">
        <is>
          <t>男</t>
        </is>
      </c>
      <c r="E1191" t="inlineStr">
        <is>
          <t>480558023</t>
        </is>
      </c>
      <c r="F1191" t="inlineStr">
        <is>
          <t>时间与旗</t>
        </is>
      </c>
      <c r="G1191" t="inlineStr">
        <is>
          <t>辽宁 大连 甘井子区</t>
        </is>
      </c>
      <c r="H1191"/>
      <c r="I1191" t="inlineStr">
        <is>
          <t>兴趣爱好, 教育</t>
        </is>
      </c>
      <c r="J1191">
        <v>1735</v>
      </c>
      <c r="K1191" t="inlineStr">
        <is>
          <t>0.2</t>
        </is>
      </c>
      <c r="L1191">
        <v>4847</v>
      </c>
      <c r="M1191">
        <v>821</v>
      </c>
      <c r="N1191">
        <v>126</v>
      </c>
      <c r="O1191">
        <v>130</v>
      </c>
      <c r="P1191">
        <v>0</v>
      </c>
      <c r="Q1191">
        <v>0.25</v>
      </c>
      <c r="R1191">
        <v>4847</v>
      </c>
      <c r="S1191">
        <v>821</v>
      </c>
      <c r="T1191">
        <v>121</v>
      </c>
      <c r="U1191">
        <v>0.46</v>
      </c>
      <c r="V1191">
        <v>130</v>
      </c>
      <c r="W1191">
        <v>0.25</v>
      </c>
      <c r="X1191">
        <v>0</v>
      </c>
      <c r="Y1191">
        <v>26.82</v>
      </c>
      <c r="Z1191">
        <v>1.03</v>
      </c>
      <c r="AA1191">
        <v>0</v>
      </c>
      <c r="AB1191">
        <v>0</v>
      </c>
      <c r="AC1191">
        <v>0</v>
      </c>
      <c r="AD1191">
        <v>0</v>
      </c>
      <c r="AE1191">
        <v>250</v>
      </c>
      <c r="AF1191">
        <v>0</v>
      </c>
      <c r="AG1191">
        <v>0</v>
      </c>
      <c r="AH1191">
        <v>0</v>
      </c>
      <c r="AI1191">
        <v>0</v>
      </c>
      <c r="AJ1191">
        <v>0</v>
      </c>
      <c r="AK1191">
        <v>0</v>
      </c>
      <c r="AL1191">
        <v>0</v>
      </c>
      <c r="AM1191">
        <v>0</v>
      </c>
      <c r="AN1191">
        <v>0</v>
      </c>
      <c r="AO1191">
        <v>0</v>
      </c>
      <c r="AP1191">
        <v>0.821</v>
      </c>
      <c r="AQ1191">
        <v>0.061</v>
      </c>
      <c r="AR1191">
        <v>0.045</v>
      </c>
      <c r="AS1191" s="3">
        <v>46107.778657407405</v>
      </c>
    </row>
    <row r="1192" ht="25.5" customHeight="1">
      <c r="A1192" t="inlineStr">
        <is>
          <t>5bb0859681d735000153f3f9</t>
        </is>
      </c>
      <c r="B1192" s="2" t="str">
        <f>=HYPERLINK("https://www.xiaohongshu.com/user/profile/5bb0859681d735000153f3f9", "https://www.xiaohongshu.com/user/profile/5bb0859681d735000153f3f9")</f>
        <v>https://www.xiaohongshu.com/user/profile/5bb0859681d735000153f3f9</v>
      </c>
      <c r="C1192" s="2" t="str">
        <f>=HYPERLINK("https://pgy.xiaohongshu.com/solar/pre-trade/blogger-detail/5bb0859681d735000153f3f9", "https://pgy.xiaohongshu.com/solar/pre-trade/blogger-detail/5bb0859681d735000153f3f9")</f>
        <v>https://pgy.xiaohongshu.com/solar/pre-trade/blogger-detail/5bb0859681d735000153f3f9</v>
      </c>
      <c r="D1192" t="inlineStr">
        <is>
          <t>女</t>
        </is>
      </c>
      <c r="E1192" t="inlineStr">
        <is>
          <t>541379201</t>
        </is>
      </c>
      <c r="F1192" t="inlineStr">
        <is>
          <t>Emma老师的北欧日记</t>
        </is>
      </c>
      <c r="G1192" t="inlineStr">
        <is>
          <t>瑞典</t>
        </is>
      </c>
      <c r="H1192" t="inlineStr">
        <is>
          <t>海外华人</t>
        </is>
      </c>
      <c r="I1192" t="inlineStr">
        <is>
          <t>职场, 教育</t>
        </is>
      </c>
      <c r="J1192">
        <v>18004</v>
      </c>
      <c r="K1192" t="inlineStr">
        <is>
          <t>1.8</t>
        </is>
      </c>
      <c r="L1192">
        <v>109879</v>
      </c>
      <c r="M1192">
        <v>15152</v>
      </c>
      <c r="N1192">
        <v>224</v>
      </c>
      <c r="O1192">
        <v>1000</v>
      </c>
      <c r="P1192">
        <v>0.25</v>
      </c>
      <c r="Q1192">
        <v>0.5</v>
      </c>
      <c r="R1192">
        <v>109879</v>
      </c>
      <c r="S1192">
        <v>15152</v>
      </c>
      <c r="T1192">
        <v>147</v>
      </c>
      <c r="U1192">
        <v>0.37</v>
      </c>
      <c r="V1192">
        <v>1000</v>
      </c>
      <c r="W1192">
        <v>0.5</v>
      </c>
      <c r="X1192">
        <v>0.25</v>
      </c>
      <c r="Y1192">
        <v>9.1</v>
      </c>
      <c r="Z1192">
        <v>4.45</v>
      </c>
      <c r="AA1192">
        <v>0</v>
      </c>
      <c r="AB1192">
        <v>0</v>
      </c>
      <c r="AC1192">
        <v>0</v>
      </c>
      <c r="AD1192">
        <v>0</v>
      </c>
      <c r="AE1192">
        <v>2000</v>
      </c>
      <c r="AF1192">
        <v>0</v>
      </c>
      <c r="AG1192">
        <v>0</v>
      </c>
      <c r="AH1192">
        <v>0</v>
      </c>
      <c r="AI1192">
        <v>0</v>
      </c>
      <c r="AJ1192">
        <v>0</v>
      </c>
      <c r="AK1192">
        <v>0</v>
      </c>
      <c r="AL1192">
        <v>0</v>
      </c>
      <c r="AM1192">
        <v>0</v>
      </c>
      <c r="AN1192">
        <v>0</v>
      </c>
      <c r="AO1192">
        <v>0</v>
      </c>
      <c r="AP1192">
        <v>0.649</v>
      </c>
      <c r="AQ1192">
        <v>0.017</v>
      </c>
      <c r="AR1192">
        <v>0.004</v>
      </c>
      <c r="AS1192" s="3">
        <v>46107.778657407405</v>
      </c>
    </row>
    <row r="1193" ht="25.5" customHeight="1">
      <c r="A1193" t="inlineStr">
        <is>
          <t>625aea04000000001000e0f8</t>
        </is>
      </c>
      <c r="B1193" s="2" t="str">
        <f>=HYPERLINK("https://www.xiaohongshu.com/user/profile/625aea04000000001000e0f8", "https://www.xiaohongshu.com/user/profile/625aea04000000001000e0f8")</f>
        <v>https://www.xiaohongshu.com/user/profile/625aea04000000001000e0f8</v>
      </c>
      <c r="C1193" s="2" t="str">
        <f>=HYPERLINK("https://pgy.xiaohongshu.com/solar/pre-trade/blogger-detail/625aea04000000001000e0f8", "https://pgy.xiaohongshu.com/solar/pre-trade/blogger-detail/625aea04000000001000e0f8")</f>
        <v>https://pgy.xiaohongshu.com/solar/pre-trade/blogger-detail/625aea04000000001000e0f8</v>
      </c>
      <c r="D1193" t="inlineStr">
        <is>
          <t>男</t>
        </is>
      </c>
      <c r="E1193" t="inlineStr">
        <is>
          <t>kaixuanZmen</t>
        </is>
      </c>
      <c r="F1193" t="inlineStr">
        <is>
          <t>凯旋扉焱</t>
        </is>
      </c>
      <c r="G1193" t="inlineStr">
        <is>
          <t>北京</t>
        </is>
      </c>
      <c r="H1193"/>
      <c r="I1193" t="inlineStr">
        <is>
          <t>教育</t>
        </is>
      </c>
      <c r="J1193">
        <v>17424</v>
      </c>
      <c r="K1193" t="inlineStr">
        <is>
          <t>1.7</t>
        </is>
      </c>
      <c r="L1193">
        <v>12658</v>
      </c>
      <c r="M1193">
        <v>1827</v>
      </c>
      <c r="N1193">
        <v>192</v>
      </c>
      <c r="O1193">
        <v>1000</v>
      </c>
      <c r="P1193">
        <v>0</v>
      </c>
      <c r="Q1193">
        <v>0.4</v>
      </c>
      <c r="R1193">
        <v>12658</v>
      </c>
      <c r="S1193">
        <v>1827</v>
      </c>
      <c r="T1193">
        <v>164</v>
      </c>
      <c r="U1193">
        <v>0.85</v>
      </c>
      <c r="V1193">
        <v>1000</v>
      </c>
      <c r="W1193">
        <v>0.4</v>
      </c>
      <c r="X1193">
        <v>0</v>
      </c>
      <c r="Y1193">
        <v>79</v>
      </c>
      <c r="Z1193">
        <v>5.21</v>
      </c>
      <c r="AA1193">
        <v>0</v>
      </c>
      <c r="AB1193">
        <v>0</v>
      </c>
      <c r="AC1193">
        <v>0</v>
      </c>
      <c r="AD1193">
        <v>0</v>
      </c>
      <c r="AE1193">
        <v>2500</v>
      </c>
      <c r="AF1193">
        <v>0</v>
      </c>
      <c r="AG1193">
        <v>0</v>
      </c>
      <c r="AH1193">
        <v>0</v>
      </c>
      <c r="AI1193">
        <v>0</v>
      </c>
      <c r="AJ1193">
        <v>0</v>
      </c>
      <c r="AK1193">
        <v>0</v>
      </c>
      <c r="AL1193">
        <v>0</v>
      </c>
      <c r="AM1193">
        <v>0</v>
      </c>
      <c r="AN1193">
        <v>0</v>
      </c>
      <c r="AO1193">
        <v>0</v>
      </c>
      <c r="AP1193">
        <v>0.858</v>
      </c>
      <c r="AQ1193">
        <v>0.074</v>
      </c>
      <c r="AR1193">
        <v>0.032</v>
      </c>
      <c r="AS1193" s="3">
        <v>46107.778657407405</v>
      </c>
    </row>
    <row r="1194" ht="25.5" customHeight="1">
      <c r="A1194" t="inlineStr">
        <is>
          <t>658e98b70000000022013a6f</t>
        </is>
      </c>
      <c r="B1194" s="2" t="str">
        <f>=HYPERLINK("https://www.xiaohongshu.com/user/profile/658e98b70000000022013a6f", "https://www.xiaohongshu.com/user/profile/658e98b70000000022013a6f")</f>
        <v>https://www.xiaohongshu.com/user/profile/658e98b70000000022013a6f</v>
      </c>
      <c r="C1194" s="2" t="str">
        <f>=HYPERLINK("https://pgy.xiaohongshu.com/solar/pre-trade/blogger-detail/658e98b70000000022013a6f", "https://pgy.xiaohongshu.com/solar/pre-trade/blogger-detail/658e98b70000000022013a6f")</f>
        <v>https://pgy.xiaohongshu.com/solar/pre-trade/blogger-detail/658e98b70000000022013a6f</v>
      </c>
      <c r="D1194" t="inlineStr">
        <is>
          <t>男</t>
        </is>
      </c>
      <c r="E1194" t="inlineStr">
        <is>
          <t>9056996323</t>
        </is>
      </c>
      <c r="F1194" t="inlineStr">
        <is>
          <t>Deutsch德语探险家</t>
        </is>
      </c>
      <c r="G1194" t="inlineStr">
        <is>
          <t>重庆</t>
        </is>
      </c>
      <c r="H1194"/>
      <c r="I1194" t="inlineStr">
        <is>
          <t>教育</t>
        </is>
      </c>
      <c r="J1194">
        <v>7313</v>
      </c>
      <c r="K1194" t="inlineStr">
        <is>
          <t>0.7</t>
        </is>
      </c>
      <c r="L1194">
        <v>2590</v>
      </c>
      <c r="M1194">
        <v>1081</v>
      </c>
      <c r="N1194">
        <v>104</v>
      </c>
      <c r="O1194">
        <v>199</v>
      </c>
      <c r="P1194">
        <v>0</v>
      </c>
      <c r="Q1194">
        <v>0.063</v>
      </c>
      <c r="R1194">
        <v>1322</v>
      </c>
      <c r="S1194">
        <v>64</v>
      </c>
      <c r="T1194">
        <v>9</v>
      </c>
      <c r="U1194">
        <v>3.41</v>
      </c>
      <c r="V1194">
        <v>199</v>
      </c>
      <c r="W1194">
        <v>0</v>
      </c>
      <c r="X1194">
        <v>0</v>
      </c>
      <c r="Y1194">
        <v>150.53</v>
      </c>
      <c r="Z1194">
        <v>19.9</v>
      </c>
      <c r="AA1194">
        <v>3908</v>
      </c>
      <c r="AB1194">
        <v>1396</v>
      </c>
      <c r="AC1194">
        <v>70</v>
      </c>
      <c r="AD1194">
        <v>1.76</v>
      </c>
      <c r="AE1194">
        <v>366</v>
      </c>
      <c r="AF1194">
        <v>0.077</v>
      </c>
      <c r="AG1194">
        <v>0</v>
      </c>
      <c r="AH1194">
        <v>0.119</v>
      </c>
      <c r="AI1194">
        <v>93.65</v>
      </c>
      <c r="AJ1194">
        <v>2.75</v>
      </c>
      <c r="AK1194">
        <v>0</v>
      </c>
      <c r="AL1194">
        <v>0</v>
      </c>
      <c r="AM1194">
        <v>0</v>
      </c>
      <c r="AN1194">
        <v>0</v>
      </c>
      <c r="AO1194">
        <v>0</v>
      </c>
      <c r="AP1194">
        <v>0.907</v>
      </c>
      <c r="AQ1194">
        <v>0.043</v>
      </c>
      <c r="AR1194">
        <v>0.136999999999999</v>
      </c>
      <c r="AS1194" s="3">
        <v>46107.778657407405</v>
      </c>
    </row>
    <row r="1195" ht="25.5" customHeight="1">
      <c r="A1195" t="inlineStr">
        <is>
          <t>5d59464c000000000100b2f4</t>
        </is>
      </c>
      <c r="B1195" s="2" t="str">
        <f>=HYPERLINK("https://www.xiaohongshu.com/user/profile/5d59464c000000000100b2f4", "https://www.xiaohongshu.com/user/profile/5d59464c000000000100b2f4")</f>
        <v>https://www.xiaohongshu.com/user/profile/5d59464c000000000100b2f4</v>
      </c>
      <c r="C1195" s="2" t="str">
        <f>=HYPERLINK("https://pgy.xiaohongshu.com/solar/pre-trade/blogger-detail/5d59464c000000000100b2f4", "https://pgy.xiaohongshu.com/solar/pre-trade/blogger-detail/5d59464c000000000100b2f4")</f>
        <v>https://pgy.xiaohongshu.com/solar/pre-trade/blogger-detail/5d59464c000000000100b2f4</v>
      </c>
      <c r="D1195" t="inlineStr">
        <is>
          <t>男</t>
        </is>
      </c>
      <c r="E1195" t="inlineStr">
        <is>
          <t>922060077</t>
        </is>
      </c>
      <c r="F1195" t="inlineStr">
        <is>
          <t>林林又檎檎</t>
        </is>
      </c>
      <c r="G1195" t="inlineStr">
        <is>
          <t>北京</t>
        </is>
      </c>
      <c r="H1195" t="inlineStr">
        <is>
          <t>学生</t>
        </is>
      </c>
      <c r="I1195" t="inlineStr">
        <is>
          <t>生活记录</t>
        </is>
      </c>
      <c r="J1195">
        <v>8756</v>
      </c>
      <c r="K1195" t="inlineStr">
        <is>
          <t>0.9</t>
        </is>
      </c>
      <c r="L1195">
        <v>20713</v>
      </c>
      <c r="M1195">
        <v>3876</v>
      </c>
      <c r="N1195">
        <v>200</v>
      </c>
      <c r="O1195">
        <v>800</v>
      </c>
      <c r="P1195">
        <v>0</v>
      </c>
      <c r="Q1195">
        <v>0.75</v>
      </c>
      <c r="R1195">
        <v>20239</v>
      </c>
      <c r="S1195">
        <v>3603</v>
      </c>
      <c r="T1195">
        <v>160</v>
      </c>
      <c r="U1195">
        <v>0.52</v>
      </c>
      <c r="V1195">
        <v>800</v>
      </c>
      <c r="W1195">
        <v>0.667</v>
      </c>
      <c r="X1195">
        <v>0</v>
      </c>
      <c r="Y1195">
        <v>39.53</v>
      </c>
      <c r="Z1195">
        <v>4.08</v>
      </c>
      <c r="AA1195">
        <v>209419</v>
      </c>
      <c r="AB1195">
        <v>20618</v>
      </c>
      <c r="AC1195">
        <v>836</v>
      </c>
      <c r="AD1195">
        <v>1.56</v>
      </c>
      <c r="AE1195">
        <v>1200</v>
      </c>
      <c r="AF1195">
        <v>1</v>
      </c>
      <c r="AG1195">
        <v>0</v>
      </c>
      <c r="AH1195">
        <v>0.076</v>
      </c>
      <c r="AI1195">
        <v>5.73</v>
      </c>
      <c r="AJ1195">
        <v>0.95</v>
      </c>
      <c r="AK1195">
        <v>0</v>
      </c>
      <c r="AL1195">
        <v>0</v>
      </c>
      <c r="AM1195">
        <v>0</v>
      </c>
      <c r="AN1195">
        <v>0</v>
      </c>
      <c r="AO1195">
        <v>0</v>
      </c>
      <c r="AP1195">
        <v>0.885</v>
      </c>
      <c r="AQ1195">
        <v>0.0579999999999999</v>
      </c>
      <c r="AR1195">
        <v>0.06</v>
      </c>
      <c r="AS1195" s="3">
        <v>46107.778657407405</v>
      </c>
    </row>
    <row r="1196" ht="25.5" customHeight="1">
      <c r="A1196" t="inlineStr">
        <is>
          <t>669fbf7a000000002401da56</t>
        </is>
      </c>
      <c r="B1196" s="2" t="str">
        <f>=HYPERLINK("https://www.xiaohongshu.com/user/profile/669fbf7a000000002401da56", "https://www.xiaohongshu.com/user/profile/669fbf7a000000002401da56")</f>
        <v>https://www.xiaohongshu.com/user/profile/669fbf7a000000002401da56</v>
      </c>
      <c r="C1196" s="2" t="str">
        <f>=HYPERLINK("https://pgy.xiaohongshu.com/solar/pre-trade/blogger-detail/669fbf7a000000002401da56", "https://pgy.xiaohongshu.com/solar/pre-trade/blogger-detail/669fbf7a000000002401da56")</f>
        <v>https://pgy.xiaohongshu.com/solar/pre-trade/blogger-detail/669fbf7a000000002401da56</v>
      </c>
      <c r="D1196" t="inlineStr">
        <is>
          <t>男</t>
        </is>
      </c>
      <c r="E1196" t="inlineStr">
        <is>
          <t>42856887994</t>
        </is>
      </c>
      <c r="F1196" t="inlineStr">
        <is>
          <t>空空的脑袋不空空</t>
        </is>
      </c>
      <c r="G1196" t="inlineStr">
        <is>
          <t>北京</t>
        </is>
      </c>
      <c r="H1196"/>
      <c r="I1196" t="inlineStr">
        <is>
          <t>教育</t>
        </is>
      </c>
      <c r="J1196">
        <v>10817</v>
      </c>
      <c r="K1196" t="inlineStr">
        <is>
          <t>1.1</t>
        </is>
      </c>
      <c r="L1196">
        <v>4325</v>
      </c>
      <c r="M1196">
        <v>1903</v>
      </c>
      <c r="N1196">
        <v>440</v>
      </c>
      <c r="O1196">
        <v>500</v>
      </c>
      <c r="P1196">
        <v>0</v>
      </c>
      <c r="Q1196">
        <v>1</v>
      </c>
      <c r="R1196">
        <v>0</v>
      </c>
      <c r="S1196">
        <v>0</v>
      </c>
      <c r="T1196">
        <v>0</v>
      </c>
      <c r="U1196">
        <v>0</v>
      </c>
      <c r="V1196">
        <v>500</v>
      </c>
      <c r="W1196">
        <v>0</v>
      </c>
      <c r="X1196">
        <v>0</v>
      </c>
      <c r="Y1196">
        <v>0</v>
      </c>
      <c r="Z1196">
        <v>0</v>
      </c>
      <c r="AA1196">
        <v>4325</v>
      </c>
      <c r="AB1196">
        <v>1903</v>
      </c>
      <c r="AC1196">
        <v>388</v>
      </c>
      <c r="AD1196">
        <v>2.63</v>
      </c>
      <c r="AE1196">
        <v>2144</v>
      </c>
      <c r="AF1196">
        <v>1</v>
      </c>
      <c r="AG1196">
        <v>0</v>
      </c>
      <c r="AH1196">
        <v>0.015</v>
      </c>
      <c r="AI1196">
        <v>495.72</v>
      </c>
      <c r="AJ1196">
        <v>4.87</v>
      </c>
      <c r="AK1196">
        <v>0</v>
      </c>
      <c r="AL1196">
        <v>0</v>
      </c>
      <c r="AM1196">
        <v>0</v>
      </c>
      <c r="AN1196">
        <v>0</v>
      </c>
      <c r="AO1196">
        <v>0</v>
      </c>
      <c r="AP1196">
        <v>0.962</v>
      </c>
      <c r="AQ1196">
        <v>0.031</v>
      </c>
      <c r="AR1196">
        <v>0.03</v>
      </c>
      <c r="AS1196" s="3">
        <v>46107.778657407405</v>
      </c>
    </row>
    <row r="1197" ht="25.5" customHeight="1">
      <c r="A1197" t="inlineStr">
        <is>
          <t>68a289d2000000001901ba8d</t>
        </is>
      </c>
      <c r="B1197" s="2" t="str">
        <f>=HYPERLINK("https://www.xiaohongshu.com/user/profile/68a289d2000000001901ba8d", "https://www.xiaohongshu.com/user/profile/68a289d2000000001901ba8d")</f>
        <v>https://www.xiaohongshu.com/user/profile/68a289d2000000001901ba8d</v>
      </c>
      <c r="C1197" s="2" t="str">
        <f>=HYPERLINK("https://pgy.xiaohongshu.com/solar/pre-trade/blogger-detail/68a289d2000000001901ba8d", "https://pgy.xiaohongshu.com/solar/pre-trade/blogger-detail/68a289d2000000001901ba8d")</f>
        <v>https://pgy.xiaohongshu.com/solar/pre-trade/blogger-detail/68a289d2000000001901ba8d</v>
      </c>
      <c r="D1197" t="inlineStr">
        <is>
          <t>男</t>
        </is>
      </c>
      <c r="E1197" t="inlineStr">
        <is>
          <t>18935192101</t>
        </is>
      </c>
      <c r="F1197" t="inlineStr">
        <is>
          <t>曼达英语</t>
        </is>
      </c>
      <c r="G1197" t="inlineStr">
        <is>
          <t>四川 成都 郫都区</t>
        </is>
      </c>
      <c r="H1197"/>
      <c r="I1197" t="inlineStr">
        <is>
          <t>教育</t>
        </is>
      </c>
      <c r="J1197">
        <v>15328</v>
      </c>
      <c r="K1197" t="inlineStr">
        <is>
          <t>1.5</t>
        </is>
      </c>
      <c r="L1197">
        <v>7659</v>
      </c>
      <c r="M1197">
        <v>1000</v>
      </c>
      <c r="N1197">
        <v>115</v>
      </c>
      <c r="O1197">
        <v>374</v>
      </c>
      <c r="P1197">
        <v>0.032</v>
      </c>
      <c r="Q1197">
        <v>0.338999999999999</v>
      </c>
      <c r="R1197">
        <v>7659</v>
      </c>
      <c r="S1197">
        <v>1000</v>
      </c>
      <c r="T1197">
        <v>107</v>
      </c>
      <c r="U1197">
        <v>0.67</v>
      </c>
      <c r="V1197">
        <v>374</v>
      </c>
      <c r="W1197">
        <v>0.338999999999999</v>
      </c>
      <c r="X1197">
        <v>0.032</v>
      </c>
      <c r="Y1197">
        <v>48.83</v>
      </c>
      <c r="Z1197">
        <v>3.24</v>
      </c>
      <c r="AA1197">
        <v>0</v>
      </c>
      <c r="AB1197">
        <v>0</v>
      </c>
      <c r="AC1197">
        <v>0</v>
      </c>
      <c r="AD1197">
        <v>0</v>
      </c>
      <c r="AE1197">
        <v>849</v>
      </c>
      <c r="AF1197">
        <v>0</v>
      </c>
      <c r="AG1197">
        <v>0</v>
      </c>
      <c r="AH1197">
        <v>0</v>
      </c>
      <c r="AI1197">
        <v>0</v>
      </c>
      <c r="AJ1197">
        <v>0</v>
      </c>
      <c r="AK1197">
        <v>0</v>
      </c>
      <c r="AL1197">
        <v>0</v>
      </c>
      <c r="AM1197">
        <v>0</v>
      </c>
      <c r="AN1197">
        <v>0</v>
      </c>
      <c r="AO1197">
        <v>0</v>
      </c>
      <c r="AP1197">
        <v>0.953</v>
      </c>
      <c r="AQ1197">
        <v>0.096</v>
      </c>
      <c r="AR1197">
        <v>0.057</v>
      </c>
      <c r="AS1197" s="3">
        <v>46107.778657407405</v>
      </c>
    </row>
    <row r="1198" ht="25.5" customHeight="1">
      <c r="A1198" t="inlineStr">
        <is>
          <t>5be310ca849aa60001b64ca8</t>
        </is>
      </c>
      <c r="B1198" s="2" t="str">
        <f>=HYPERLINK("https://www.xiaohongshu.com/user/profile/5be310ca849aa60001b64ca8", "https://www.xiaohongshu.com/user/profile/5be310ca849aa60001b64ca8")</f>
        <v>https://www.xiaohongshu.com/user/profile/5be310ca849aa60001b64ca8</v>
      </c>
      <c r="C1198" s="2" t="str">
        <f>=HYPERLINK("https://pgy.xiaohongshu.com/solar/pre-trade/blogger-detail/5be310ca849aa60001b64ca8", "https://pgy.xiaohongshu.com/solar/pre-trade/blogger-detail/5be310ca849aa60001b64ca8")</f>
        <v>https://pgy.xiaohongshu.com/solar/pre-trade/blogger-detail/5be310ca849aa60001b64ca8</v>
      </c>
      <c r="D1198" t="inlineStr">
        <is>
          <t>男</t>
        </is>
      </c>
      <c r="E1198" t="inlineStr">
        <is>
          <t>293123971</t>
        </is>
      </c>
      <c r="F1198" t="inlineStr">
        <is>
          <t>泽周周（接1对1版）</t>
        </is>
      </c>
      <c r="G1198" t="inlineStr">
        <is>
          <t>日本</t>
        </is>
      </c>
      <c r="H1198"/>
      <c r="I1198" t="inlineStr">
        <is>
          <t>教育</t>
        </is>
      </c>
      <c r="J1198">
        <v>1495</v>
      </c>
      <c r="K1198" t="inlineStr">
        <is>
          <t>0.1</t>
        </is>
      </c>
      <c r="L1198">
        <v>51779</v>
      </c>
      <c r="M1198">
        <v>14804</v>
      </c>
      <c r="N1198">
        <v>390</v>
      </c>
      <c r="O1198">
        <v>200</v>
      </c>
      <c r="P1198">
        <v>0</v>
      </c>
      <c r="Q1198">
        <v>0.5</v>
      </c>
      <c r="R1198">
        <v>99836</v>
      </c>
      <c r="S1198">
        <v>28220</v>
      </c>
      <c r="T1198">
        <v>624</v>
      </c>
      <c r="U1198">
        <v>0.31</v>
      </c>
      <c r="V1198">
        <v>200</v>
      </c>
      <c r="W1198">
        <v>1</v>
      </c>
      <c r="X1198">
        <v>0</v>
      </c>
      <c r="Y1198">
        <v>2</v>
      </c>
      <c r="Z1198">
        <v>0.29</v>
      </c>
      <c r="AA1198">
        <v>3723</v>
      </c>
      <c r="AB1198">
        <v>1388</v>
      </c>
      <c r="AC1198">
        <v>63</v>
      </c>
      <c r="AD1198">
        <v>2.22</v>
      </c>
      <c r="AE1198">
        <v>1000</v>
      </c>
      <c r="AF1198">
        <v>0</v>
      </c>
      <c r="AG1198">
        <v>0</v>
      </c>
      <c r="AH1198">
        <v>0.027</v>
      </c>
      <c r="AI1198">
        <v>268.6</v>
      </c>
      <c r="AJ1198">
        <v>10.53</v>
      </c>
      <c r="AK1198">
        <v>0</v>
      </c>
      <c r="AL1198">
        <v>0</v>
      </c>
      <c r="AM1198">
        <v>0</v>
      </c>
      <c r="AN1198">
        <v>0</v>
      </c>
      <c r="AO1198">
        <v>0</v>
      </c>
      <c r="AP1198">
        <v>0.890999999999999</v>
      </c>
      <c r="AQ1198">
        <v>0.045</v>
      </c>
      <c r="AR1198">
        <v>0.045</v>
      </c>
      <c r="AS1198" s="3">
        <v>46107.778657407405</v>
      </c>
    </row>
    <row r="1199" ht="25.5" customHeight="1">
      <c r="A1199" t="inlineStr">
        <is>
          <t>60c1ce15000000000100bfbd</t>
        </is>
      </c>
      <c r="B1199" s="2" t="str">
        <f>=HYPERLINK("https://www.xiaohongshu.com/user/profile/60c1ce15000000000100bfbd", "https://www.xiaohongshu.com/user/profile/60c1ce15000000000100bfbd")</f>
        <v>https://www.xiaohongshu.com/user/profile/60c1ce15000000000100bfbd</v>
      </c>
      <c r="C1199" s="2" t="str">
        <f>=HYPERLINK("https://pgy.xiaohongshu.com/solar/pre-trade/blogger-detail/60c1ce15000000000100bfbd", "https://pgy.xiaohongshu.com/solar/pre-trade/blogger-detail/60c1ce15000000000100bfbd")</f>
        <v>https://pgy.xiaohongshu.com/solar/pre-trade/blogger-detail/60c1ce15000000000100bfbd</v>
      </c>
      <c r="D1199" t="inlineStr">
        <is>
          <t>男</t>
        </is>
      </c>
      <c r="E1199" t="inlineStr">
        <is>
          <t>1156827306</t>
        </is>
      </c>
      <c r="F1199" t="inlineStr">
        <is>
          <t>无法无天Law.</t>
        </is>
      </c>
      <c r="G1199" t="inlineStr">
        <is>
          <t>福建 厦门 集美区</t>
        </is>
      </c>
      <c r="H1199"/>
      <c r="I1199" t="inlineStr">
        <is>
          <t>职场, 教育</t>
        </is>
      </c>
      <c r="J1199">
        <v>2761</v>
      </c>
      <c r="K1199" t="inlineStr">
        <is>
          <t>0.3</t>
        </is>
      </c>
      <c r="L1199">
        <v>12509</v>
      </c>
      <c r="M1199">
        <v>2451</v>
      </c>
      <c r="N1199">
        <v>832</v>
      </c>
      <c r="O1199">
        <v>150</v>
      </c>
      <c r="P1199">
        <v>0.166999999999999</v>
      </c>
      <c r="Q1199">
        <v>0.667</v>
      </c>
      <c r="R1199">
        <v>12509</v>
      </c>
      <c r="S1199">
        <v>2451</v>
      </c>
      <c r="T1199">
        <v>712</v>
      </c>
      <c r="U1199">
        <v>0.36</v>
      </c>
      <c r="V1199">
        <v>150</v>
      </c>
      <c r="W1199">
        <v>0.667</v>
      </c>
      <c r="X1199">
        <v>0.166999999999999</v>
      </c>
      <c r="Y1199">
        <v>11.99</v>
      </c>
      <c r="Z1199">
        <v>0.18</v>
      </c>
      <c r="AA1199">
        <v>0</v>
      </c>
      <c r="AB1199">
        <v>0</v>
      </c>
      <c r="AC1199">
        <v>0</v>
      </c>
      <c r="AD1199">
        <v>0</v>
      </c>
      <c r="AE1199">
        <v>200</v>
      </c>
      <c r="AF1199">
        <v>0</v>
      </c>
      <c r="AG1199">
        <v>0</v>
      </c>
      <c r="AH1199">
        <v>0</v>
      </c>
      <c r="AI1199">
        <v>0</v>
      </c>
      <c r="AJ1199">
        <v>0</v>
      </c>
      <c r="AK1199">
        <v>0</v>
      </c>
      <c r="AL1199">
        <v>0</v>
      </c>
      <c r="AM1199">
        <v>0</v>
      </c>
      <c r="AN1199">
        <v>0</v>
      </c>
      <c r="AO1199">
        <v>0</v>
      </c>
      <c r="AP1199">
        <v>0.742</v>
      </c>
      <c r="AQ1199">
        <v>0.098</v>
      </c>
      <c r="AR1199">
        <v>0.142</v>
      </c>
      <c r="AS1199" s="3">
        <v>46107.778657407405</v>
      </c>
    </row>
    <row r="1200" ht="25.5" customHeight="1">
      <c r="A1200" t="inlineStr">
        <is>
          <t>62333d6c0000000021023c37</t>
        </is>
      </c>
      <c r="B1200" s="2" t="str">
        <f>=HYPERLINK("https://www.xiaohongshu.com/user/profile/62333d6c0000000021023c37", "https://www.xiaohongshu.com/user/profile/62333d6c0000000021023c37")</f>
        <v>https://www.xiaohongshu.com/user/profile/62333d6c0000000021023c37</v>
      </c>
      <c r="C1200" s="2" t="str">
        <f>=HYPERLINK("https://pgy.xiaohongshu.com/solar/pre-trade/blogger-detail/62333d6c0000000021023c37", "https://pgy.xiaohongshu.com/solar/pre-trade/blogger-detail/62333d6c0000000021023c37")</f>
        <v>https://pgy.xiaohongshu.com/solar/pre-trade/blogger-detail/62333d6c0000000021023c37</v>
      </c>
      <c r="D1200" t="inlineStr">
        <is>
          <t>女</t>
        </is>
      </c>
      <c r="E1200" t="inlineStr">
        <is>
          <t>1664129420</t>
        </is>
      </c>
      <c r="F1200" t="inlineStr">
        <is>
          <t>KELLETT</t>
        </is>
      </c>
      <c r="G1200" t="inlineStr">
        <is>
          <t>广东 深圳 福田区</t>
        </is>
      </c>
      <c r="H1200"/>
      <c r="I1200" t="inlineStr">
        <is>
          <t>教育</t>
        </is>
      </c>
      <c r="J1200">
        <v>4753</v>
      </c>
      <c r="K1200" t="inlineStr">
        <is>
          <t>0.5</t>
        </is>
      </c>
      <c r="L1200">
        <v>2940</v>
      </c>
      <c r="M1200">
        <v>824</v>
      </c>
      <c r="N1200">
        <v>103</v>
      </c>
      <c r="O1200">
        <v>300</v>
      </c>
      <c r="P1200">
        <v>0</v>
      </c>
      <c r="Q1200">
        <v>0.444</v>
      </c>
      <c r="R1200">
        <v>0</v>
      </c>
      <c r="S1200">
        <v>0</v>
      </c>
      <c r="T1200">
        <v>0</v>
      </c>
      <c r="U1200">
        <v>0</v>
      </c>
      <c r="V1200">
        <v>300</v>
      </c>
      <c r="W1200">
        <v>0</v>
      </c>
      <c r="X1200">
        <v>0</v>
      </c>
      <c r="Y1200">
        <v>0</v>
      </c>
      <c r="Z1200">
        <v>0</v>
      </c>
      <c r="AA1200">
        <v>2940</v>
      </c>
      <c r="AB1200">
        <v>824</v>
      </c>
      <c r="AC1200">
        <v>92</v>
      </c>
      <c r="AD1200">
        <v>1.92</v>
      </c>
      <c r="AE1200">
        <v>350</v>
      </c>
      <c r="AF1200">
        <v>0.444</v>
      </c>
      <c r="AG1200">
        <v>0</v>
      </c>
      <c r="AH1200">
        <v>0.066</v>
      </c>
      <c r="AI1200">
        <v>119.05</v>
      </c>
      <c r="AJ1200">
        <v>3.4</v>
      </c>
      <c r="AK1200">
        <v>0</v>
      </c>
      <c r="AL1200">
        <v>0</v>
      </c>
      <c r="AM1200">
        <v>0</v>
      </c>
      <c r="AN1200">
        <v>0</v>
      </c>
      <c r="AO1200">
        <v>0</v>
      </c>
      <c r="AP1200">
        <v>0.892</v>
      </c>
      <c r="AQ1200">
        <v>0.052</v>
      </c>
      <c r="AR1200">
        <v>0.022</v>
      </c>
      <c r="AS1200" s="3">
        <v>46107.778657407405</v>
      </c>
    </row>
    <row r="1201" ht="25.5" customHeight="1">
      <c r="A1201" t="inlineStr">
        <is>
          <t>668402420000000003030d21</t>
        </is>
      </c>
      <c r="B1201" s="2" t="str">
        <f>=HYPERLINK("https://www.xiaohongshu.com/user/profile/668402420000000003030d21", "https://www.xiaohongshu.com/user/profile/668402420000000003030d21")</f>
        <v>https://www.xiaohongshu.com/user/profile/668402420000000003030d21</v>
      </c>
      <c r="C1201" s="2" t="str">
        <f>=HYPERLINK("https://pgy.xiaohongshu.com/solar/pre-trade/blogger-detail/668402420000000003030d21", "https://pgy.xiaohongshu.com/solar/pre-trade/blogger-detail/668402420000000003030d21")</f>
        <v>https://pgy.xiaohongshu.com/solar/pre-trade/blogger-detail/668402420000000003030d21</v>
      </c>
      <c r="D1201" t="inlineStr">
        <is>
          <t>男</t>
        </is>
      </c>
      <c r="E1201" t="inlineStr">
        <is>
          <t>11436204784</t>
        </is>
      </c>
      <c r="F1201" t="inlineStr">
        <is>
          <t>英语搭子K老师</t>
        </is>
      </c>
      <c r="G1201" t="inlineStr">
        <is>
          <t>湖北 十堰 张湾区</t>
        </is>
      </c>
      <c r="H1201"/>
      <c r="I1201" t="inlineStr">
        <is>
          <t>教育</t>
        </is>
      </c>
      <c r="J1201">
        <v>2830</v>
      </c>
      <c r="K1201" t="inlineStr">
        <is>
          <t>0.3</t>
        </is>
      </c>
      <c r="L1201">
        <v>1689</v>
      </c>
      <c r="M1201">
        <v>893</v>
      </c>
      <c r="N1201">
        <v>121</v>
      </c>
      <c r="O1201">
        <v>164</v>
      </c>
      <c r="P1201">
        <v>0</v>
      </c>
      <c r="Q1201">
        <v>0</v>
      </c>
      <c r="R1201">
        <v>1255</v>
      </c>
      <c r="S1201">
        <v>192</v>
      </c>
      <c r="T1201">
        <v>3</v>
      </c>
      <c r="U1201">
        <v>1.15</v>
      </c>
      <c r="V1201">
        <v>164</v>
      </c>
      <c r="W1201">
        <v>0</v>
      </c>
      <c r="X1201">
        <v>0</v>
      </c>
      <c r="Y1201">
        <v>130.68</v>
      </c>
      <c r="Z1201">
        <v>54.67</v>
      </c>
      <c r="AA1201">
        <v>2124</v>
      </c>
      <c r="AB1201">
        <v>1568</v>
      </c>
      <c r="AC1201">
        <v>167</v>
      </c>
      <c r="AD1201">
        <v>1.65</v>
      </c>
      <c r="AE1201">
        <v>229</v>
      </c>
      <c r="AF1201">
        <v>0</v>
      </c>
      <c r="AG1201">
        <v>0</v>
      </c>
      <c r="AH1201">
        <v>0.152</v>
      </c>
      <c r="AI1201">
        <v>107.82</v>
      </c>
      <c r="AJ1201">
        <v>1</v>
      </c>
      <c r="AK1201">
        <v>0</v>
      </c>
      <c r="AL1201">
        <v>0</v>
      </c>
      <c r="AM1201">
        <v>0</v>
      </c>
      <c r="AN1201">
        <v>0</v>
      </c>
      <c r="AO1201">
        <v>0</v>
      </c>
      <c r="AP1201">
        <v>0.945</v>
      </c>
      <c r="AQ1201">
        <v>0.027</v>
      </c>
      <c r="AR1201">
        <v>0.31</v>
      </c>
      <c r="AS1201" s="3">
        <v>46107.77888888889</v>
      </c>
    </row>
    <row r="1202" ht="25.5" customHeight="1">
      <c r="A1202" t="inlineStr">
        <is>
          <t>629042090000000021020672</t>
        </is>
      </c>
      <c r="B1202" s="2" t="str">
        <f>=HYPERLINK("https://www.xiaohongshu.com/user/profile/629042090000000021020672", "https://www.xiaohongshu.com/user/profile/629042090000000021020672")</f>
        <v>https://www.xiaohongshu.com/user/profile/629042090000000021020672</v>
      </c>
      <c r="C1202" s="2" t="str">
        <f>=HYPERLINK("https://pgy.xiaohongshu.com/solar/pre-trade/blogger-detail/629042090000000021020672", "https://pgy.xiaohongshu.com/solar/pre-trade/blogger-detail/629042090000000021020672")</f>
        <v>https://pgy.xiaohongshu.com/solar/pre-trade/blogger-detail/629042090000000021020672</v>
      </c>
      <c r="D1202" t="inlineStr">
        <is>
          <t>男</t>
        </is>
      </c>
      <c r="E1202" t="inlineStr">
        <is>
          <t>rac_french</t>
        </is>
      </c>
      <c r="F1202" t="inlineStr">
        <is>
          <t>瑞秋爱法语</t>
        </is>
      </c>
      <c r="G1202" t="inlineStr">
        <is>
          <t>江苏 苏州 苏州工业园区</t>
        </is>
      </c>
      <c r="H1202"/>
      <c r="I1202" t="inlineStr">
        <is>
          <t>教育</t>
        </is>
      </c>
      <c r="J1202">
        <v>1926</v>
      </c>
      <c r="K1202" t="inlineStr">
        <is>
          <t>0.2</t>
        </is>
      </c>
      <c r="L1202">
        <v>6913</v>
      </c>
      <c r="M1202">
        <v>3565</v>
      </c>
      <c r="N1202">
        <v>400</v>
      </c>
      <c r="O1202">
        <v>150</v>
      </c>
      <c r="P1202">
        <v>0</v>
      </c>
      <c r="Q1202">
        <v>0.5</v>
      </c>
      <c r="R1202">
        <v>0</v>
      </c>
      <c r="S1202">
        <v>0</v>
      </c>
      <c r="T1202">
        <v>0</v>
      </c>
      <c r="U1202">
        <v>0</v>
      </c>
      <c r="V1202">
        <v>150</v>
      </c>
      <c r="W1202">
        <v>0</v>
      </c>
      <c r="X1202">
        <v>0</v>
      </c>
      <c r="Y1202">
        <v>0</v>
      </c>
      <c r="Z1202">
        <v>0</v>
      </c>
      <c r="AA1202">
        <v>6913</v>
      </c>
      <c r="AB1202">
        <v>3565</v>
      </c>
      <c r="AC1202">
        <v>257</v>
      </c>
      <c r="AD1202">
        <v>1.57</v>
      </c>
      <c r="AE1202">
        <v>233</v>
      </c>
      <c r="AF1202">
        <v>0.5</v>
      </c>
      <c r="AG1202">
        <v>0</v>
      </c>
      <c r="AH1202">
        <v>0.064</v>
      </c>
      <c r="AI1202">
        <v>33.7</v>
      </c>
      <c r="AJ1202">
        <v>0.58</v>
      </c>
      <c r="AK1202">
        <v>0</v>
      </c>
      <c r="AL1202">
        <v>0</v>
      </c>
      <c r="AM1202">
        <v>0</v>
      </c>
      <c r="AN1202">
        <v>0</v>
      </c>
      <c r="AO1202">
        <v>0</v>
      </c>
      <c r="AP1202">
        <v>0.983</v>
      </c>
      <c r="AQ1202">
        <v>0.107</v>
      </c>
      <c r="AR1202">
        <v>0.331</v>
      </c>
      <c r="AS1202" s="3">
        <v>46107.77888888889</v>
      </c>
    </row>
    <row r="1203" ht="25.5" customHeight="1">
      <c r="A1203" t="inlineStr">
        <is>
          <t>5fe30edf000000000101e6f7</t>
        </is>
      </c>
      <c r="B1203" s="2" t="str">
        <f>=HYPERLINK("https://www.xiaohongshu.com/user/profile/5fe30edf000000000101e6f7", "https://www.xiaohongshu.com/user/profile/5fe30edf000000000101e6f7")</f>
        <v>https://www.xiaohongshu.com/user/profile/5fe30edf000000000101e6f7</v>
      </c>
      <c r="C1203" s="2" t="str">
        <f>=HYPERLINK("https://pgy.xiaohongshu.com/solar/pre-trade/blogger-detail/5fe30edf000000000101e6f7", "https://pgy.xiaohongshu.com/solar/pre-trade/blogger-detail/5fe30edf000000000101e6f7")</f>
        <v>https://pgy.xiaohongshu.com/solar/pre-trade/blogger-detail/5fe30edf000000000101e6f7</v>
      </c>
      <c r="D1203" t="inlineStr">
        <is>
          <t>男</t>
        </is>
      </c>
      <c r="E1203" t="inlineStr">
        <is>
          <t>1085808901</t>
        </is>
      </c>
      <c r="F1203" t="inlineStr">
        <is>
          <t>县城鼠鼠在日本留学</t>
        </is>
      </c>
      <c r="G1203" t="inlineStr">
        <is>
          <t>日本</t>
        </is>
      </c>
      <c r="H1203"/>
      <c r="I1203" t="inlineStr">
        <is>
          <t>教育, 生活记录</t>
        </is>
      </c>
      <c r="J1203">
        <v>6400</v>
      </c>
      <c r="K1203" t="inlineStr">
        <is>
          <t>0.6</t>
        </is>
      </c>
      <c r="L1203">
        <v>6338</v>
      </c>
      <c r="M1203">
        <v>2307</v>
      </c>
      <c r="N1203">
        <v>125</v>
      </c>
      <c r="O1203">
        <v>880</v>
      </c>
      <c r="P1203">
        <v>0.036</v>
      </c>
      <c r="Q1203">
        <v>0.5</v>
      </c>
      <c r="R1203">
        <v>0</v>
      </c>
      <c r="S1203">
        <v>0</v>
      </c>
      <c r="T1203">
        <v>0</v>
      </c>
      <c r="U1203">
        <v>0</v>
      </c>
      <c r="V1203">
        <v>880</v>
      </c>
      <c r="W1203">
        <v>0</v>
      </c>
      <c r="X1203">
        <v>0</v>
      </c>
      <c r="Y1203">
        <v>0</v>
      </c>
      <c r="Z1203">
        <v>0</v>
      </c>
      <c r="AA1203">
        <v>6338</v>
      </c>
      <c r="AB1203">
        <v>2307</v>
      </c>
      <c r="AC1203">
        <v>114</v>
      </c>
      <c r="AD1203">
        <v>2.01</v>
      </c>
      <c r="AE1203">
        <v>1171</v>
      </c>
      <c r="AF1203">
        <v>0.5</v>
      </c>
      <c r="AG1203">
        <v>0.036</v>
      </c>
      <c r="AH1203">
        <v>0.078</v>
      </c>
      <c r="AI1203">
        <v>184.76</v>
      </c>
      <c r="AJ1203">
        <v>9.37</v>
      </c>
      <c r="AK1203">
        <v>0</v>
      </c>
      <c r="AL1203">
        <v>0</v>
      </c>
      <c r="AM1203">
        <v>0</v>
      </c>
      <c r="AN1203">
        <v>0</v>
      </c>
      <c r="AO1203">
        <v>0</v>
      </c>
      <c r="AP1203">
        <v>0.927999999999999</v>
      </c>
      <c r="AQ1203">
        <v>0.158</v>
      </c>
      <c r="AR1203">
        <v>0.185</v>
      </c>
      <c r="AS1203" s="3">
        <v>46107.77888888889</v>
      </c>
    </row>
    <row r="1204" ht="25.5" customHeight="1">
      <c r="A1204" t="inlineStr">
        <is>
          <t>55c0061958944602b1121740</t>
        </is>
      </c>
      <c r="B1204" s="2" t="str">
        <f>=HYPERLINK("https://www.xiaohongshu.com/user/profile/55c0061958944602b1121740", "https://www.xiaohongshu.com/user/profile/55c0061958944602b1121740")</f>
        <v>https://www.xiaohongshu.com/user/profile/55c0061958944602b1121740</v>
      </c>
      <c r="C1204" s="2" t="str">
        <f>=HYPERLINK("https://pgy.xiaohongshu.com/solar/pre-trade/blogger-detail/55c0061958944602b1121740", "https://pgy.xiaohongshu.com/solar/pre-trade/blogger-detail/55c0061958944602b1121740")</f>
        <v>https://pgy.xiaohongshu.com/solar/pre-trade/blogger-detail/55c0061958944602b1121740</v>
      </c>
      <c r="D1204" t="inlineStr">
        <is>
          <t>女</t>
        </is>
      </c>
      <c r="E1204" t="inlineStr">
        <is>
          <t>509889445</t>
        </is>
      </c>
      <c r="F1204" t="inlineStr">
        <is>
          <t>普测员日常</t>
        </is>
      </c>
      <c r="G1204" t="inlineStr">
        <is>
          <t>湖南 永州 蓝山县</t>
        </is>
      </c>
      <c r="H1204"/>
      <c r="I1204" t="inlineStr">
        <is>
          <t>教育</t>
        </is>
      </c>
      <c r="J1204">
        <v>2041</v>
      </c>
      <c r="K1204" t="inlineStr">
        <is>
          <t>0.2</t>
        </is>
      </c>
      <c r="L1204">
        <v>4412</v>
      </c>
      <c r="M1204">
        <v>584</v>
      </c>
      <c r="N1204">
        <v>121</v>
      </c>
      <c r="O1204">
        <v>160</v>
      </c>
      <c r="P1204">
        <v>0.08</v>
      </c>
      <c r="Q1204">
        <v>0.26</v>
      </c>
      <c r="R1204">
        <v>5124</v>
      </c>
      <c r="S1204">
        <v>614</v>
      </c>
      <c r="T1204">
        <v>79</v>
      </c>
      <c r="U1204">
        <v>0.56</v>
      </c>
      <c r="V1204">
        <v>160</v>
      </c>
      <c r="W1204">
        <v>0.302</v>
      </c>
      <c r="X1204">
        <v>0.093</v>
      </c>
      <c r="Y1204">
        <v>31.23</v>
      </c>
      <c r="Z1204">
        <v>1.13</v>
      </c>
      <c r="AA1204">
        <v>2351</v>
      </c>
      <c r="AB1204">
        <v>390</v>
      </c>
      <c r="AC1204">
        <v>16</v>
      </c>
      <c r="AD1204">
        <v>2.01</v>
      </c>
      <c r="AE1204">
        <v>199</v>
      </c>
      <c r="AF1204">
        <v>0</v>
      </c>
      <c r="AG1204">
        <v>0</v>
      </c>
      <c r="AH1204">
        <v>0.184</v>
      </c>
      <c r="AI1204">
        <v>84.64</v>
      </c>
      <c r="AJ1204">
        <v>9.05</v>
      </c>
      <c r="AK1204">
        <v>0</v>
      </c>
      <c r="AL1204">
        <v>0</v>
      </c>
      <c r="AM1204">
        <v>0</v>
      </c>
      <c r="AN1204">
        <v>0</v>
      </c>
      <c r="AO1204">
        <v>0</v>
      </c>
      <c r="AP1204">
        <v>0.974</v>
      </c>
      <c r="AQ1204">
        <v>0.396</v>
      </c>
      <c r="AR1204">
        <v>0</v>
      </c>
      <c r="AS1204" s="3">
        <v>46107.77888888889</v>
      </c>
    </row>
    <row r="1205" ht="25.5" customHeight="1">
      <c r="A1205" t="inlineStr">
        <is>
          <t>663c39190000000003031fb8</t>
        </is>
      </c>
      <c r="B1205" s="2" t="str">
        <f>=HYPERLINK("https://www.xiaohongshu.com/user/profile/663c39190000000003031fb8", "https://www.xiaohongshu.com/user/profile/663c39190000000003031fb8")</f>
        <v>https://www.xiaohongshu.com/user/profile/663c39190000000003031fb8</v>
      </c>
      <c r="C1205" s="2" t="str">
        <f>=HYPERLINK("https://pgy.xiaohongshu.com/solar/pre-trade/blogger-detail/663c39190000000003031fb8", "https://pgy.xiaohongshu.com/solar/pre-trade/blogger-detail/663c39190000000003031fb8")</f>
        <v>https://pgy.xiaohongshu.com/solar/pre-trade/blogger-detail/663c39190000000003031fb8</v>
      </c>
      <c r="D1205" t="inlineStr">
        <is>
          <t>男</t>
        </is>
      </c>
      <c r="E1205" t="inlineStr">
        <is>
          <t>42155942677</t>
        </is>
      </c>
      <c r="F1205" t="inlineStr">
        <is>
          <t>黄色垃圾桶</t>
        </is>
      </c>
      <c r="G1205" t="inlineStr">
        <is>
          <t>安徽 合肥 蜀山区</t>
        </is>
      </c>
      <c r="H1205"/>
      <c r="I1205" t="inlineStr">
        <is>
          <t>职场, 教育</t>
        </is>
      </c>
      <c r="J1205">
        <v>4678</v>
      </c>
      <c r="K1205" t="inlineStr">
        <is>
          <t>0.5</t>
        </is>
      </c>
      <c r="L1205">
        <v>30001</v>
      </c>
      <c r="M1205">
        <v>6147</v>
      </c>
      <c r="N1205">
        <v>174</v>
      </c>
      <c r="O1205">
        <v>300</v>
      </c>
      <c r="P1205">
        <v>0</v>
      </c>
      <c r="Q1205">
        <v>0</v>
      </c>
      <c r="R1205">
        <v>30001</v>
      </c>
      <c r="S1205">
        <v>6147</v>
      </c>
      <c r="T1205">
        <v>117</v>
      </c>
      <c r="U1205">
        <v>0.35</v>
      </c>
      <c r="V1205">
        <v>300</v>
      </c>
      <c r="W1205">
        <v>0</v>
      </c>
      <c r="X1205">
        <v>0</v>
      </c>
      <c r="Y1205">
        <v>10</v>
      </c>
      <c r="Z1205">
        <v>1.72</v>
      </c>
      <c r="AA1205">
        <v>0</v>
      </c>
      <c r="AB1205">
        <v>0</v>
      </c>
      <c r="AC1205">
        <v>0</v>
      </c>
      <c r="AD1205">
        <v>0</v>
      </c>
      <c r="AE1205">
        <v>0</v>
      </c>
      <c r="AF1205">
        <v>0</v>
      </c>
      <c r="AG1205">
        <v>0</v>
      </c>
      <c r="AH1205">
        <v>0</v>
      </c>
      <c r="AI1205">
        <v>0</v>
      </c>
      <c r="AJ1205">
        <v>0</v>
      </c>
      <c r="AK1205">
        <v>0</v>
      </c>
      <c r="AL1205">
        <v>0</v>
      </c>
      <c r="AM1205">
        <v>0</v>
      </c>
      <c r="AN1205">
        <v>0</v>
      </c>
      <c r="AO1205">
        <v>0</v>
      </c>
      <c r="AP1205">
        <v>0.915</v>
      </c>
      <c r="AQ1205">
        <v>0.0289999999999999</v>
      </c>
      <c r="AR1205">
        <v>0.035</v>
      </c>
      <c r="AS1205" s="3">
        <v>46107.77888888889</v>
      </c>
    </row>
    <row r="1206" ht="25.5" customHeight="1">
      <c r="A1206" t="inlineStr">
        <is>
          <t>5d3a428c0000000016006049</t>
        </is>
      </c>
      <c r="B1206" s="2" t="str">
        <f>=HYPERLINK("https://www.xiaohongshu.com/user/profile/5d3a428c0000000016006049", "https://www.xiaohongshu.com/user/profile/5d3a428c0000000016006049")</f>
        <v>https://www.xiaohongshu.com/user/profile/5d3a428c0000000016006049</v>
      </c>
      <c r="C1206" s="2" t="str">
        <f>=HYPERLINK("https://pgy.xiaohongshu.com/solar/pre-trade/blogger-detail/5d3a428c0000000016006049", "https://pgy.xiaohongshu.com/solar/pre-trade/blogger-detail/5d3a428c0000000016006049")</f>
        <v>https://pgy.xiaohongshu.com/solar/pre-trade/blogger-detail/5d3a428c0000000016006049</v>
      </c>
      <c r="D1206" t="inlineStr">
        <is>
          <t>男</t>
        </is>
      </c>
      <c r="E1206" t="inlineStr">
        <is>
          <t>10khrs</t>
        </is>
      </c>
      <c r="F1206" t="inlineStr">
        <is>
          <t>埃德温Edwin</t>
        </is>
      </c>
      <c r="G1206" t="inlineStr">
        <is>
          <t>广东 深圳 福田区</t>
        </is>
      </c>
      <c r="H1206" t="inlineStr">
        <is>
          <t>翻译</t>
        </is>
      </c>
      <c r="I1206" t="inlineStr">
        <is>
          <t>职场, 教育</t>
        </is>
      </c>
      <c r="J1206">
        <v>2965</v>
      </c>
      <c r="K1206" t="inlineStr">
        <is>
          <t>0.3</t>
        </is>
      </c>
      <c r="L1206">
        <v>3508</v>
      </c>
      <c r="M1206">
        <v>1316</v>
      </c>
      <c r="N1206">
        <v>144</v>
      </c>
      <c r="O1206">
        <v>199</v>
      </c>
      <c r="P1206">
        <v>0</v>
      </c>
      <c r="Q1206">
        <v>0.332999999999999</v>
      </c>
      <c r="R1206">
        <v>3860</v>
      </c>
      <c r="S1206">
        <v>626</v>
      </c>
      <c r="T1206">
        <v>106</v>
      </c>
      <c r="U1206">
        <v>0.62</v>
      </c>
      <c r="V1206">
        <v>199</v>
      </c>
      <c r="W1206">
        <v>0.25</v>
      </c>
      <c r="X1206">
        <v>0</v>
      </c>
      <c r="Y1206">
        <v>51.55</v>
      </c>
      <c r="Z1206">
        <v>1.64</v>
      </c>
      <c r="AA1206">
        <v>3508</v>
      </c>
      <c r="AB1206">
        <v>1333</v>
      </c>
      <c r="AC1206">
        <v>126</v>
      </c>
      <c r="AD1206">
        <v>1.8</v>
      </c>
      <c r="AE1206">
        <v>399</v>
      </c>
      <c r="AF1206">
        <v>0.4</v>
      </c>
      <c r="AG1206">
        <v>0</v>
      </c>
      <c r="AH1206">
        <v>0.061</v>
      </c>
      <c r="AI1206">
        <v>113.74</v>
      </c>
      <c r="AJ1206">
        <v>2.77</v>
      </c>
      <c r="AK1206">
        <v>0</v>
      </c>
      <c r="AL1206">
        <v>0</v>
      </c>
      <c r="AM1206">
        <v>0</v>
      </c>
      <c r="AN1206">
        <v>0</v>
      </c>
      <c r="AO1206">
        <v>0</v>
      </c>
      <c r="AP1206">
        <v>0.827</v>
      </c>
      <c r="AQ1206">
        <v>0.085</v>
      </c>
      <c r="AR1206">
        <v>0.166</v>
      </c>
      <c r="AS1206" s="3">
        <v>46107.77888888889</v>
      </c>
    </row>
    <row r="1207" ht="25.5" customHeight="1">
      <c r="A1207" t="inlineStr">
        <is>
          <t>66f82cce000000001d031043</t>
        </is>
      </c>
      <c r="B1207" s="2" t="str">
        <f>=HYPERLINK("https://www.xiaohongshu.com/user/profile/66f82cce000000001d031043", "https://www.xiaohongshu.com/user/profile/66f82cce000000001d031043")</f>
        <v>https://www.xiaohongshu.com/user/profile/66f82cce000000001d031043</v>
      </c>
      <c r="C1207" s="2" t="str">
        <f>=HYPERLINK("https://pgy.xiaohongshu.com/solar/pre-trade/blogger-detail/66f82cce000000001d031043", "https://pgy.xiaohongshu.com/solar/pre-trade/blogger-detail/66f82cce000000001d031043")</f>
        <v>https://pgy.xiaohongshu.com/solar/pre-trade/blogger-detail/66f82cce000000001d031043</v>
      </c>
      <c r="D1207" t="inlineStr">
        <is>
          <t>女</t>
        </is>
      </c>
      <c r="E1207" t="inlineStr">
        <is>
          <t>26210633293</t>
        </is>
      </c>
      <c r="F1207" t="inlineStr">
        <is>
          <t>三分钟地道英语</t>
        </is>
      </c>
      <c r="G1207" t="inlineStr">
        <is>
          <t>重庆</t>
        </is>
      </c>
      <c r="H1207"/>
      <c r="I1207" t="inlineStr">
        <is>
          <t>职场, 教育</t>
        </is>
      </c>
      <c r="J1207">
        <v>16531</v>
      </c>
      <c r="K1207" t="inlineStr">
        <is>
          <t>1.7</t>
        </is>
      </c>
      <c r="L1207">
        <v>6383</v>
      </c>
      <c r="M1207">
        <v>2328</v>
      </c>
      <c r="N1207">
        <v>214</v>
      </c>
      <c r="O1207">
        <v>1000</v>
      </c>
      <c r="P1207">
        <v>0</v>
      </c>
      <c r="Q1207">
        <v>0</v>
      </c>
      <c r="R1207">
        <v>0</v>
      </c>
      <c r="S1207">
        <v>0</v>
      </c>
      <c r="T1207">
        <v>0</v>
      </c>
      <c r="U1207">
        <v>0</v>
      </c>
      <c r="V1207">
        <v>0</v>
      </c>
      <c r="W1207">
        <v>0</v>
      </c>
      <c r="X1207">
        <v>0</v>
      </c>
      <c r="Y1207">
        <v>0</v>
      </c>
      <c r="Z1207">
        <v>0</v>
      </c>
      <c r="AA1207">
        <v>6383</v>
      </c>
      <c r="AB1207">
        <v>2328</v>
      </c>
      <c r="AC1207">
        <v>147</v>
      </c>
      <c r="AD1207">
        <v>1.93</v>
      </c>
      <c r="AE1207">
        <v>1000</v>
      </c>
      <c r="AF1207">
        <v>0</v>
      </c>
      <c r="AG1207">
        <v>0</v>
      </c>
      <c r="AH1207">
        <v>0.325</v>
      </c>
      <c r="AI1207">
        <v>156.67</v>
      </c>
      <c r="AJ1207">
        <v>4.67</v>
      </c>
      <c r="AK1207">
        <v>0</v>
      </c>
      <c r="AL1207">
        <v>0</v>
      </c>
      <c r="AM1207">
        <v>0</v>
      </c>
      <c r="AN1207">
        <v>0</v>
      </c>
      <c r="AO1207">
        <v>0</v>
      </c>
      <c r="AP1207">
        <v>0.965</v>
      </c>
      <c r="AQ1207">
        <v>0.009</v>
      </c>
      <c r="AR1207">
        <v>0.003</v>
      </c>
      <c r="AS1207" s="3">
        <v>46107.77888888889</v>
      </c>
    </row>
    <row r="1208" ht="25.5" customHeight="1">
      <c r="A1208" t="inlineStr">
        <is>
          <t>648487260000000010035347</t>
        </is>
      </c>
      <c r="B1208" s="2" t="str">
        <f>=HYPERLINK("https://www.xiaohongshu.com/user/profile/648487260000000010035347", "https://www.xiaohongshu.com/user/profile/648487260000000010035347")</f>
        <v>https://www.xiaohongshu.com/user/profile/648487260000000010035347</v>
      </c>
      <c r="C1208" s="2" t="str">
        <f>=HYPERLINK("https://pgy.xiaohongshu.com/solar/pre-trade/blogger-detail/648487260000000010035347", "https://pgy.xiaohongshu.com/solar/pre-trade/blogger-detail/648487260000000010035347")</f>
        <v>https://pgy.xiaohongshu.com/solar/pre-trade/blogger-detail/648487260000000010035347</v>
      </c>
      <c r="D1208" t="inlineStr">
        <is>
          <t>女</t>
        </is>
      </c>
      <c r="E1208" t="inlineStr">
        <is>
          <t>8973261449</t>
        </is>
      </c>
      <c r="F1208" t="inlineStr">
        <is>
          <t>栀浅的学习频道</t>
        </is>
      </c>
      <c r="G1208" t="inlineStr">
        <is>
          <t>广东 广州 海珠区</t>
        </is>
      </c>
      <c r="H1208" t="inlineStr">
        <is>
          <t>学生</t>
        </is>
      </c>
      <c r="I1208" t="inlineStr">
        <is>
          <t>教育</t>
        </is>
      </c>
      <c r="J1208">
        <v>1319</v>
      </c>
      <c r="K1208" t="inlineStr">
        <is>
          <t>0.1</t>
        </is>
      </c>
      <c r="L1208">
        <v>4537</v>
      </c>
      <c r="M1208">
        <v>694</v>
      </c>
      <c r="N1208">
        <v>148</v>
      </c>
      <c r="O1208">
        <v>150</v>
      </c>
      <c r="P1208">
        <v>0</v>
      </c>
      <c r="Q1208">
        <v>0.4</v>
      </c>
      <c r="R1208">
        <v>4537</v>
      </c>
      <c r="S1208">
        <v>694</v>
      </c>
      <c r="T1208">
        <v>128</v>
      </c>
      <c r="U1208">
        <v>0.52</v>
      </c>
      <c r="V1208">
        <v>150</v>
      </c>
      <c r="W1208">
        <v>0.4</v>
      </c>
      <c r="X1208">
        <v>0</v>
      </c>
      <c r="Y1208">
        <v>33.06</v>
      </c>
      <c r="Z1208">
        <v>1.01</v>
      </c>
      <c r="AA1208">
        <v>0</v>
      </c>
      <c r="AB1208">
        <v>0</v>
      </c>
      <c r="AC1208">
        <v>0</v>
      </c>
      <c r="AD1208">
        <v>0</v>
      </c>
      <c r="AE1208">
        <v>200</v>
      </c>
      <c r="AF1208">
        <v>0</v>
      </c>
      <c r="AG1208">
        <v>0</v>
      </c>
      <c r="AH1208">
        <v>0</v>
      </c>
      <c r="AI1208">
        <v>0</v>
      </c>
      <c r="AJ1208">
        <v>0</v>
      </c>
      <c r="AK1208">
        <v>0</v>
      </c>
      <c r="AL1208">
        <v>0</v>
      </c>
      <c r="AM1208">
        <v>0</v>
      </c>
      <c r="AN1208">
        <v>0</v>
      </c>
      <c r="AO1208">
        <v>0</v>
      </c>
      <c r="AP1208">
        <v>0.575</v>
      </c>
      <c r="AQ1208">
        <v>0.022</v>
      </c>
      <c r="AR1208">
        <v>0.015</v>
      </c>
      <c r="AS1208" s="3">
        <v>46107.77888888889</v>
      </c>
    </row>
    <row r="1209" ht="25.5" customHeight="1">
      <c r="A1209" t="inlineStr">
        <is>
          <t>6759ae88000000001c018019</t>
        </is>
      </c>
      <c r="B1209" s="2" t="str">
        <f>=HYPERLINK("https://www.xiaohongshu.com/user/profile/6759ae88000000001c018019", "https://www.xiaohongshu.com/user/profile/6759ae88000000001c018019")</f>
        <v>https://www.xiaohongshu.com/user/profile/6759ae88000000001c018019</v>
      </c>
      <c r="C1209" s="2" t="str">
        <f>=HYPERLINK("https://pgy.xiaohongshu.com/solar/pre-trade/blogger-detail/6759ae88000000001c018019", "https://pgy.xiaohongshu.com/solar/pre-trade/blogger-detail/6759ae88000000001c018019")</f>
        <v>https://pgy.xiaohongshu.com/solar/pre-trade/blogger-detail/6759ae88000000001c018019</v>
      </c>
      <c r="D1209" t="inlineStr">
        <is>
          <t>男</t>
        </is>
      </c>
      <c r="E1209" t="inlineStr">
        <is>
          <t>95677060650</t>
        </is>
      </c>
      <c r="F1209" t="inlineStr">
        <is>
          <t>lancelot龙</t>
        </is>
      </c>
      <c r="G1209" t="inlineStr">
        <is>
          <t>山东 青岛 崂山区</t>
        </is>
      </c>
      <c r="H1209" t="inlineStr">
        <is>
          <t>留学背景</t>
        </is>
      </c>
      <c r="I1209" t="inlineStr">
        <is>
          <t>生活记录</t>
        </is>
      </c>
      <c r="J1209">
        <v>2494</v>
      </c>
      <c r="K1209" t="inlineStr">
        <is>
          <t>0.2</t>
        </is>
      </c>
      <c r="L1209">
        <v>3159</v>
      </c>
      <c r="M1209">
        <v>742</v>
      </c>
      <c r="N1209">
        <v>105</v>
      </c>
      <c r="O1209">
        <v>317</v>
      </c>
      <c r="P1209">
        <v>0</v>
      </c>
      <c r="Q1209">
        <v>0</v>
      </c>
      <c r="R1209">
        <v>1632</v>
      </c>
      <c r="S1209">
        <v>247</v>
      </c>
      <c r="T1209">
        <v>40</v>
      </c>
      <c r="U1209">
        <v>1.58</v>
      </c>
      <c r="V1209">
        <v>317</v>
      </c>
      <c r="W1209">
        <v>0</v>
      </c>
      <c r="X1209">
        <v>0</v>
      </c>
      <c r="Y1209">
        <v>194.24</v>
      </c>
      <c r="Z1209">
        <v>6.89</v>
      </c>
      <c r="AA1209">
        <v>3542</v>
      </c>
      <c r="AB1209">
        <v>1175</v>
      </c>
      <c r="AC1209">
        <v>141</v>
      </c>
      <c r="AD1209">
        <v>2.21</v>
      </c>
      <c r="AE1209">
        <v>829</v>
      </c>
      <c r="AF1209">
        <v>0</v>
      </c>
      <c r="AG1209">
        <v>0</v>
      </c>
      <c r="AH1209">
        <v>0.196</v>
      </c>
      <c r="AI1209">
        <v>234.02</v>
      </c>
      <c r="AJ1209">
        <v>4.96</v>
      </c>
      <c r="AK1209">
        <v>0</v>
      </c>
      <c r="AL1209">
        <v>0</v>
      </c>
      <c r="AM1209">
        <v>0</v>
      </c>
      <c r="AN1209">
        <v>0</v>
      </c>
      <c r="AO1209">
        <v>0</v>
      </c>
      <c r="AP1209">
        <v>0.823</v>
      </c>
      <c r="AQ1209">
        <v>0.024</v>
      </c>
      <c r="AR1209">
        <v>0.018</v>
      </c>
      <c r="AS1209" s="3">
        <v>46107.77888888889</v>
      </c>
    </row>
    <row r="1210" ht="25.5" customHeight="1">
      <c r="A1210" t="inlineStr">
        <is>
          <t>609e94cb000000000100b71b</t>
        </is>
      </c>
      <c r="B1210" s="2" t="str">
        <f>=HYPERLINK("https://www.xiaohongshu.com/user/profile/609e94cb000000000100b71b", "https://www.xiaohongshu.com/user/profile/609e94cb000000000100b71b")</f>
        <v>https://www.xiaohongshu.com/user/profile/609e94cb000000000100b71b</v>
      </c>
      <c r="C1210" s="2" t="str">
        <f>=HYPERLINK("https://pgy.xiaohongshu.com/solar/pre-trade/blogger-detail/609e94cb000000000100b71b", "https://pgy.xiaohongshu.com/solar/pre-trade/blogger-detail/609e94cb000000000100b71b")</f>
        <v>https://pgy.xiaohongshu.com/solar/pre-trade/blogger-detail/609e94cb000000000100b71b</v>
      </c>
      <c r="D1210" t="inlineStr">
        <is>
          <t>男</t>
        </is>
      </c>
      <c r="E1210" t="inlineStr">
        <is>
          <t>1137416178</t>
        </is>
      </c>
      <c r="F1210" t="inlineStr">
        <is>
          <t>爱德华分享日记</t>
        </is>
      </c>
      <c r="G1210" t="inlineStr">
        <is>
          <t>马来西亚</t>
        </is>
      </c>
      <c r="H1210"/>
      <c r="I1210" t="inlineStr">
        <is>
          <t>职场, 出行旅游</t>
        </is>
      </c>
      <c r="J1210">
        <v>8991</v>
      </c>
      <c r="K1210" t="inlineStr">
        <is>
          <t>0.9</t>
        </is>
      </c>
      <c r="L1210">
        <v>17341</v>
      </c>
      <c r="M1210">
        <v>2468</v>
      </c>
      <c r="N1210">
        <v>143</v>
      </c>
      <c r="O1210">
        <v>445</v>
      </c>
      <c r="P1210">
        <v>0.071</v>
      </c>
      <c r="Q1210">
        <v>0.429</v>
      </c>
      <c r="R1210">
        <v>17341</v>
      </c>
      <c r="S1210">
        <v>2468</v>
      </c>
      <c r="T1210">
        <v>134</v>
      </c>
      <c r="U1210">
        <v>0.54</v>
      </c>
      <c r="V1210">
        <v>445</v>
      </c>
      <c r="W1210">
        <v>0.429</v>
      </c>
      <c r="X1210">
        <v>0.071</v>
      </c>
      <c r="Y1210">
        <v>35.63</v>
      </c>
      <c r="Z1210">
        <v>3.13</v>
      </c>
      <c r="AA1210">
        <v>0</v>
      </c>
      <c r="AB1210">
        <v>0</v>
      </c>
      <c r="AC1210">
        <v>0</v>
      </c>
      <c r="AD1210">
        <v>0</v>
      </c>
      <c r="AE1210">
        <v>815</v>
      </c>
      <c r="AF1210">
        <v>0</v>
      </c>
      <c r="AG1210">
        <v>0</v>
      </c>
      <c r="AH1210">
        <v>0</v>
      </c>
      <c r="AI1210">
        <v>0</v>
      </c>
      <c r="AJ1210">
        <v>0</v>
      </c>
      <c r="AK1210">
        <v>4663</v>
      </c>
      <c r="AL1210">
        <v>427</v>
      </c>
      <c r="AM1210">
        <v>76</v>
      </c>
      <c r="AN1210">
        <v>0</v>
      </c>
      <c r="AO1210">
        <v>0</v>
      </c>
      <c r="AP1210">
        <v>0.895999999999999</v>
      </c>
      <c r="AQ1210">
        <v>0.07</v>
      </c>
      <c r="AR1210">
        <v>0.034</v>
      </c>
      <c r="AS1210" s="3">
        <v>46107.77888888889</v>
      </c>
    </row>
    <row r="1211" ht="25.5" customHeight="1">
      <c r="A1211" t="inlineStr">
        <is>
          <t>5c1b1ee50000000005025d2f</t>
        </is>
      </c>
      <c r="B1211" s="2" t="str">
        <f>=HYPERLINK("https://www.xiaohongshu.com/user/profile/5c1b1ee50000000005025d2f", "https://www.xiaohongshu.com/user/profile/5c1b1ee50000000005025d2f")</f>
        <v>https://www.xiaohongshu.com/user/profile/5c1b1ee50000000005025d2f</v>
      </c>
      <c r="C1211" s="2" t="str">
        <f>=HYPERLINK("https://pgy.xiaohongshu.com/solar/pre-trade/blogger-detail/5c1b1ee50000000005025d2f", "https://pgy.xiaohongshu.com/solar/pre-trade/blogger-detail/5c1b1ee50000000005025d2f")</f>
        <v>https://pgy.xiaohongshu.com/solar/pre-trade/blogger-detail/5c1b1ee50000000005025d2f</v>
      </c>
      <c r="D1211" t="inlineStr">
        <is>
          <t>女</t>
        </is>
      </c>
      <c r="E1211" t="inlineStr">
        <is>
          <t>625706566</t>
        </is>
      </c>
      <c r="F1211" t="inlineStr">
        <is>
          <t>背台词学英语</t>
        </is>
      </c>
      <c r="G1211" t="inlineStr">
        <is>
          <t>浙江 杭州 西湖区</t>
        </is>
      </c>
      <c r="H1211"/>
      <c r="I1211" t="inlineStr">
        <is>
          <t>教育</t>
        </is>
      </c>
      <c r="J1211">
        <v>4622</v>
      </c>
      <c r="K1211" t="inlineStr">
        <is>
          <t>0.5</t>
        </is>
      </c>
      <c r="L1211">
        <v>1630</v>
      </c>
      <c r="M1211">
        <v>727</v>
      </c>
      <c r="N1211">
        <v>106</v>
      </c>
      <c r="O1211">
        <v>164</v>
      </c>
      <c r="P1211">
        <v>0</v>
      </c>
      <c r="Q1211">
        <v>0</v>
      </c>
      <c r="R1211">
        <v>0</v>
      </c>
      <c r="S1211">
        <v>0</v>
      </c>
      <c r="T1211">
        <v>0</v>
      </c>
      <c r="U1211">
        <v>0</v>
      </c>
      <c r="V1211">
        <v>164</v>
      </c>
      <c r="W1211">
        <v>0</v>
      </c>
      <c r="X1211">
        <v>0</v>
      </c>
      <c r="Y1211">
        <v>0</v>
      </c>
      <c r="Z1211">
        <v>0</v>
      </c>
      <c r="AA1211">
        <v>1630</v>
      </c>
      <c r="AB1211">
        <v>727</v>
      </c>
      <c r="AC1211">
        <v>93</v>
      </c>
      <c r="AD1211">
        <v>1.84</v>
      </c>
      <c r="AE1211">
        <v>246</v>
      </c>
      <c r="AF1211">
        <v>0</v>
      </c>
      <c r="AG1211">
        <v>0</v>
      </c>
      <c r="AH1211">
        <v>0.175</v>
      </c>
      <c r="AI1211">
        <v>150.92</v>
      </c>
      <c r="AJ1211">
        <v>2.31</v>
      </c>
      <c r="AK1211">
        <v>0</v>
      </c>
      <c r="AL1211">
        <v>0</v>
      </c>
      <c r="AM1211">
        <v>0</v>
      </c>
      <c r="AN1211">
        <v>0</v>
      </c>
      <c r="AO1211">
        <v>0</v>
      </c>
      <c r="AP1211">
        <v>0.938</v>
      </c>
      <c r="AQ1211">
        <v>0.015</v>
      </c>
      <c r="AR1211">
        <v>0.011</v>
      </c>
      <c r="AS1211" s="3">
        <v>46107.77888888889</v>
      </c>
    </row>
    <row r="1212" ht="25.5" customHeight="1">
      <c r="A1212" t="inlineStr">
        <is>
          <t>61f688af000000001000de61</t>
        </is>
      </c>
      <c r="B1212" s="2" t="str">
        <f>=HYPERLINK("https://www.xiaohongshu.com/user/profile/61f688af000000001000de61", "https://www.xiaohongshu.com/user/profile/61f688af000000001000de61")</f>
        <v>https://www.xiaohongshu.com/user/profile/61f688af000000001000de61</v>
      </c>
      <c r="C1212" s="2" t="str">
        <f>=HYPERLINK("https://pgy.xiaohongshu.com/solar/pre-trade/blogger-detail/61f688af000000001000de61", "https://pgy.xiaohongshu.com/solar/pre-trade/blogger-detail/61f688af000000001000de61")</f>
        <v>https://pgy.xiaohongshu.com/solar/pre-trade/blogger-detail/61f688af000000001000de61</v>
      </c>
      <c r="D1212" t="inlineStr">
        <is>
          <t>女</t>
        </is>
      </c>
      <c r="E1212" t="inlineStr">
        <is>
          <t>5226215435</t>
        </is>
      </c>
      <c r="F1212" t="inlineStr">
        <is>
          <t>小金鱼鱼</t>
        </is>
      </c>
      <c r="G1212" t="inlineStr">
        <is>
          <t>湖北 孝感 汉川市</t>
        </is>
      </c>
      <c r="H1212" t="inlineStr">
        <is>
          <t>学生</t>
        </is>
      </c>
      <c r="I1212"/>
      <c r="J1212">
        <v>1055</v>
      </c>
      <c r="K1212" t="inlineStr">
        <is>
          <t>0.1</t>
        </is>
      </c>
      <c r="L1212">
        <v>100504</v>
      </c>
      <c r="M1212">
        <v>35262</v>
      </c>
      <c r="N1212">
        <v>867</v>
      </c>
      <c r="O1212">
        <v>180</v>
      </c>
      <c r="P1212">
        <v>0</v>
      </c>
      <c r="Q1212">
        <v>1</v>
      </c>
      <c r="R1212">
        <v>100504</v>
      </c>
      <c r="S1212">
        <v>35262</v>
      </c>
      <c r="T1212">
        <v>848</v>
      </c>
      <c r="U1212">
        <v>0.31</v>
      </c>
      <c r="V1212">
        <v>180</v>
      </c>
      <c r="W1212">
        <v>1</v>
      </c>
      <c r="X1212">
        <v>0</v>
      </c>
      <c r="Y1212">
        <v>1.79</v>
      </c>
      <c r="Z1212">
        <v>0.21</v>
      </c>
      <c r="AA1212">
        <v>0</v>
      </c>
      <c r="AB1212">
        <v>0</v>
      </c>
      <c r="AC1212">
        <v>0</v>
      </c>
      <c r="AD1212">
        <v>0</v>
      </c>
      <c r="AE1212">
        <v>300</v>
      </c>
      <c r="AF1212">
        <v>0</v>
      </c>
      <c r="AG1212">
        <v>0</v>
      </c>
      <c r="AH1212">
        <v>0</v>
      </c>
      <c r="AI1212">
        <v>0</v>
      </c>
      <c r="AJ1212">
        <v>0</v>
      </c>
      <c r="AK1212">
        <v>0</v>
      </c>
      <c r="AL1212">
        <v>0</v>
      </c>
      <c r="AM1212">
        <v>0</v>
      </c>
      <c r="AN1212">
        <v>0</v>
      </c>
      <c r="AO1212">
        <v>0</v>
      </c>
      <c r="AP1212">
        <v>0.797999999999999</v>
      </c>
      <c r="AQ1212">
        <v>0.026</v>
      </c>
      <c r="AR1212">
        <v>-0.04</v>
      </c>
      <c r="AS1212" s="3">
        <v>46107.77888888889</v>
      </c>
    </row>
    <row r="1213" ht="25.5" customHeight="1">
      <c r="A1213" t="inlineStr">
        <is>
          <t>5cd82de7000000001200646d</t>
        </is>
      </c>
      <c r="B1213" s="2" t="str">
        <f>=HYPERLINK("https://www.xiaohongshu.com/user/profile/5cd82de7000000001200646d", "https://www.xiaohongshu.com/user/profile/5cd82de7000000001200646d")</f>
        <v>https://www.xiaohongshu.com/user/profile/5cd82de7000000001200646d</v>
      </c>
      <c r="C1213" s="2" t="str">
        <f>=HYPERLINK("https://pgy.xiaohongshu.com/solar/pre-trade/blogger-detail/5cd82de7000000001200646d", "https://pgy.xiaohongshu.com/solar/pre-trade/blogger-detail/5cd82de7000000001200646d")</f>
        <v>https://pgy.xiaohongshu.com/solar/pre-trade/blogger-detail/5cd82de7000000001200646d</v>
      </c>
      <c r="D1213" t="inlineStr">
        <is>
          <t>男</t>
        </is>
      </c>
      <c r="E1213" t="inlineStr">
        <is>
          <t>869697515</t>
        </is>
      </c>
      <c r="F1213" t="inlineStr">
        <is>
          <t>教意大利语的安老师</t>
        </is>
      </c>
      <c r="G1213" t="inlineStr">
        <is>
          <t>意大利</t>
        </is>
      </c>
      <c r="H1213"/>
      <c r="I1213" t="inlineStr">
        <is>
          <t>教育</t>
        </is>
      </c>
      <c r="J1213">
        <v>7748</v>
      </c>
      <c r="K1213" t="inlineStr">
        <is>
          <t>0.8</t>
        </is>
      </c>
      <c r="L1213">
        <v>5014</v>
      </c>
      <c r="M1213">
        <v>2284</v>
      </c>
      <c r="N1213">
        <v>215</v>
      </c>
      <c r="O1213">
        <v>130</v>
      </c>
      <c r="P1213">
        <v>0</v>
      </c>
      <c r="Q1213">
        <v>0.696</v>
      </c>
      <c r="R1213">
        <v>3775</v>
      </c>
      <c r="S1213">
        <v>263</v>
      </c>
      <c r="T1213">
        <v>25</v>
      </c>
      <c r="U1213">
        <v>0.79</v>
      </c>
      <c r="V1213">
        <v>130</v>
      </c>
      <c r="W1213">
        <v>0</v>
      </c>
      <c r="X1213">
        <v>0</v>
      </c>
      <c r="Y1213">
        <v>34.44</v>
      </c>
      <c r="Z1213">
        <v>5</v>
      </c>
      <c r="AA1213">
        <v>5036</v>
      </c>
      <c r="AB1213">
        <v>2296</v>
      </c>
      <c r="AC1213">
        <v>181</v>
      </c>
      <c r="AD1213">
        <v>1.79</v>
      </c>
      <c r="AE1213">
        <v>666</v>
      </c>
      <c r="AF1213">
        <v>0.727</v>
      </c>
      <c r="AG1213">
        <v>0</v>
      </c>
      <c r="AH1213">
        <v>0.318</v>
      </c>
      <c r="AI1213">
        <v>132.25</v>
      </c>
      <c r="AJ1213">
        <v>3.07</v>
      </c>
      <c r="AK1213">
        <v>0</v>
      </c>
      <c r="AL1213">
        <v>0</v>
      </c>
      <c r="AM1213">
        <v>0</v>
      </c>
      <c r="AN1213">
        <v>0</v>
      </c>
      <c r="AO1213">
        <v>0</v>
      </c>
      <c r="AP1213">
        <v>0.994</v>
      </c>
      <c r="AQ1213">
        <v>0.223</v>
      </c>
      <c r="AR1213">
        <v>0.276</v>
      </c>
      <c r="AS1213" s="3">
        <v>46107.77888888889</v>
      </c>
    </row>
    <row r="1214" ht="25.5" customHeight="1">
      <c r="A1214" t="inlineStr">
        <is>
          <t>607a4fe0000000000100317a</t>
        </is>
      </c>
      <c r="B1214" s="2" t="str">
        <f>=HYPERLINK("https://www.xiaohongshu.com/user/profile/607a4fe0000000000100317a", "https://www.xiaohongshu.com/user/profile/607a4fe0000000000100317a")</f>
        <v>https://www.xiaohongshu.com/user/profile/607a4fe0000000000100317a</v>
      </c>
      <c r="C1214" s="2" t="str">
        <f>=HYPERLINK("https://pgy.xiaohongshu.com/solar/pre-trade/blogger-detail/607a4fe0000000000100317a", "https://pgy.xiaohongshu.com/solar/pre-trade/blogger-detail/607a4fe0000000000100317a")</f>
        <v>https://pgy.xiaohongshu.com/solar/pre-trade/blogger-detail/607a4fe0000000000100317a</v>
      </c>
      <c r="D1214" t="inlineStr">
        <is>
          <t>女</t>
        </is>
      </c>
      <c r="E1214" t="inlineStr">
        <is>
          <t>4281630525</t>
        </is>
      </c>
      <c r="F1214" t="inlineStr">
        <is>
          <t>土土的学习笔记</t>
        </is>
      </c>
      <c r="G1214" t="inlineStr">
        <is>
          <t>福建 泉州 泉港区</t>
        </is>
      </c>
      <c r="H1214"/>
      <c r="I1214" t="inlineStr">
        <is>
          <t>教育</t>
        </is>
      </c>
      <c r="J1214">
        <v>4226</v>
      </c>
      <c r="K1214" t="inlineStr">
        <is>
          <t>0.4</t>
        </is>
      </c>
      <c r="L1214">
        <v>8056</v>
      </c>
      <c r="M1214">
        <v>921</v>
      </c>
      <c r="N1214">
        <v>170</v>
      </c>
      <c r="O1214">
        <v>130</v>
      </c>
      <c r="P1214">
        <v>0.095</v>
      </c>
      <c r="Q1214">
        <v>0.476</v>
      </c>
      <c r="R1214">
        <v>8056</v>
      </c>
      <c r="S1214">
        <v>921</v>
      </c>
      <c r="T1214">
        <v>146</v>
      </c>
      <c r="U1214">
        <v>0.44</v>
      </c>
      <c r="V1214">
        <v>130</v>
      </c>
      <c r="W1214">
        <v>0.476</v>
      </c>
      <c r="X1214">
        <v>0.095</v>
      </c>
      <c r="Y1214">
        <v>16.14</v>
      </c>
      <c r="Z1214">
        <v>0.76</v>
      </c>
      <c r="AA1214">
        <v>0</v>
      </c>
      <c r="AB1214">
        <v>0</v>
      </c>
      <c r="AC1214">
        <v>0</v>
      </c>
      <c r="AD1214">
        <v>0</v>
      </c>
      <c r="AE1214">
        <v>227</v>
      </c>
      <c r="AF1214">
        <v>0</v>
      </c>
      <c r="AG1214">
        <v>0</v>
      </c>
      <c r="AH1214">
        <v>0</v>
      </c>
      <c r="AI1214">
        <v>0</v>
      </c>
      <c r="AJ1214">
        <v>0</v>
      </c>
      <c r="AK1214">
        <v>0</v>
      </c>
      <c r="AL1214">
        <v>0</v>
      </c>
      <c r="AM1214">
        <v>0</v>
      </c>
      <c r="AN1214">
        <v>0</v>
      </c>
      <c r="AO1214">
        <v>0</v>
      </c>
      <c r="AP1214">
        <v>0.996</v>
      </c>
      <c r="AQ1214">
        <v>0.442</v>
      </c>
      <c r="AR1214">
        <v>0</v>
      </c>
      <c r="AS1214" s="3">
        <v>46107.77888888889</v>
      </c>
    </row>
    <row r="1215" ht="25.5" customHeight="1">
      <c r="A1215" t="inlineStr">
        <is>
          <t>5bb2ede39ae446000198c0d0</t>
        </is>
      </c>
      <c r="B1215" s="2" t="str">
        <f>=HYPERLINK("https://www.xiaohongshu.com/user/profile/5bb2ede39ae446000198c0d0", "https://www.xiaohongshu.com/user/profile/5bb2ede39ae446000198c0d0")</f>
        <v>https://www.xiaohongshu.com/user/profile/5bb2ede39ae446000198c0d0</v>
      </c>
      <c r="C1215" s="2" t="str">
        <f>=HYPERLINK("https://pgy.xiaohongshu.com/solar/pre-trade/blogger-detail/5bb2ede39ae446000198c0d0", "https://pgy.xiaohongshu.com/solar/pre-trade/blogger-detail/5bb2ede39ae446000198c0d0")</f>
        <v>https://pgy.xiaohongshu.com/solar/pre-trade/blogger-detail/5bb2ede39ae446000198c0d0</v>
      </c>
      <c r="D1215" t="inlineStr">
        <is>
          <t>女</t>
        </is>
      </c>
      <c r="E1215" t="inlineStr">
        <is>
          <t>567430340</t>
        </is>
      </c>
      <c r="F1215" t="inlineStr">
        <is>
          <t>湖北最好相处的女人</t>
        </is>
      </c>
      <c r="G1215" t="inlineStr">
        <is>
          <t>澳大利亚</t>
        </is>
      </c>
      <c r="H1215" t="inlineStr">
        <is>
          <t>留学背景, 海外华人, 学生</t>
        </is>
      </c>
      <c r="I1215" t="inlineStr">
        <is>
          <t>出行旅游</t>
        </is>
      </c>
      <c r="J1215">
        <v>1324</v>
      </c>
      <c r="K1215" t="inlineStr">
        <is>
          <t>0.1</t>
        </is>
      </c>
      <c r="L1215">
        <v>1944</v>
      </c>
      <c r="M1215">
        <v>304</v>
      </c>
      <c r="N1215">
        <v>118</v>
      </c>
      <c r="O1215">
        <v>222</v>
      </c>
      <c r="P1215">
        <v>0</v>
      </c>
      <c r="Q1215">
        <v>0.332999999999999</v>
      </c>
      <c r="R1215">
        <v>2377</v>
      </c>
      <c r="S1215">
        <v>441</v>
      </c>
      <c r="T1215">
        <v>132</v>
      </c>
      <c r="U1215">
        <v>0.8</v>
      </c>
      <c r="V1215">
        <v>222</v>
      </c>
      <c r="W1215">
        <v>0.429</v>
      </c>
      <c r="X1215">
        <v>0</v>
      </c>
      <c r="Y1215">
        <v>93.4</v>
      </c>
      <c r="Z1215">
        <v>1.43</v>
      </c>
      <c r="AA1215">
        <v>1332</v>
      </c>
      <c r="AB1215">
        <v>250</v>
      </c>
      <c r="AC1215">
        <v>52</v>
      </c>
      <c r="AD1215">
        <v>2.89</v>
      </c>
      <c r="AE1215">
        <v>347</v>
      </c>
      <c r="AF1215">
        <v>0</v>
      </c>
      <c r="AG1215">
        <v>0</v>
      </c>
      <c r="AH1215">
        <v>0.68</v>
      </c>
      <c r="AI1215">
        <v>260.51</v>
      </c>
      <c r="AJ1215">
        <v>5.93</v>
      </c>
      <c r="AK1215">
        <v>0</v>
      </c>
      <c r="AL1215">
        <v>0</v>
      </c>
      <c r="AM1215">
        <v>0</v>
      </c>
      <c r="AN1215">
        <v>0</v>
      </c>
      <c r="AO1215">
        <v>0</v>
      </c>
      <c r="AP1215">
        <v>0.669</v>
      </c>
      <c r="AQ1215">
        <v>0.119</v>
      </c>
      <c r="AR1215">
        <v>0.17</v>
      </c>
      <c r="AS1215" s="3">
        <v>46107.77888888889</v>
      </c>
    </row>
    <row r="1216" ht="25.5" customHeight="1">
      <c r="A1216" t="inlineStr">
        <is>
          <t>665022cc000000000303380c</t>
        </is>
      </c>
      <c r="B1216" s="2" t="str">
        <f>=HYPERLINK("https://www.xiaohongshu.com/user/profile/665022cc000000000303380c", "https://www.xiaohongshu.com/user/profile/665022cc000000000303380c")</f>
        <v>https://www.xiaohongshu.com/user/profile/665022cc000000000303380c</v>
      </c>
      <c r="C1216" s="2" t="str">
        <f>=HYPERLINK("https://pgy.xiaohongshu.com/solar/pre-trade/blogger-detail/665022cc000000000303380c", "https://pgy.xiaohongshu.com/solar/pre-trade/blogger-detail/665022cc000000000303380c")</f>
        <v>https://pgy.xiaohongshu.com/solar/pre-trade/blogger-detail/665022cc000000000303380c</v>
      </c>
      <c r="D1216" t="inlineStr">
        <is>
          <t>男</t>
        </is>
      </c>
      <c r="E1216" t="inlineStr">
        <is>
          <t>11670583608</t>
        </is>
      </c>
      <c r="F1216" t="inlineStr">
        <is>
          <t>幽默龙</t>
        </is>
      </c>
      <c r="G1216" t="inlineStr">
        <is>
          <t>美国</t>
        </is>
      </c>
      <c r="H1216" t="inlineStr">
        <is>
          <t>学生</t>
        </is>
      </c>
      <c r="I1216" t="inlineStr">
        <is>
          <t>教育, 搞笑</t>
        </is>
      </c>
      <c r="J1216">
        <v>1997</v>
      </c>
      <c r="K1216" t="inlineStr">
        <is>
          <t>0.2</t>
        </is>
      </c>
      <c r="L1216">
        <v>123166</v>
      </c>
      <c r="M1216">
        <v>64501</v>
      </c>
      <c r="N1216">
        <v>1816</v>
      </c>
      <c r="O1216">
        <v>800</v>
      </c>
      <c r="P1216">
        <v>0.5</v>
      </c>
      <c r="Q1216">
        <v>1</v>
      </c>
      <c r="R1216">
        <v>0</v>
      </c>
      <c r="S1216">
        <v>0</v>
      </c>
      <c r="T1216">
        <v>0</v>
      </c>
      <c r="U1216">
        <v>0</v>
      </c>
      <c r="V1216">
        <v>800</v>
      </c>
      <c r="W1216">
        <v>0</v>
      </c>
      <c r="X1216">
        <v>0</v>
      </c>
      <c r="Y1216">
        <v>0</v>
      </c>
      <c r="Z1216">
        <v>0</v>
      </c>
      <c r="AA1216">
        <v>123166</v>
      </c>
      <c r="AB1216">
        <v>64501</v>
      </c>
      <c r="AC1216">
        <v>1623</v>
      </c>
      <c r="AD1216">
        <v>1.52</v>
      </c>
      <c r="AE1216">
        <v>1500</v>
      </c>
      <c r="AF1216">
        <v>1</v>
      </c>
      <c r="AG1216">
        <v>0.5</v>
      </c>
      <c r="AH1216">
        <v>0.295</v>
      </c>
      <c r="AI1216">
        <v>12.18</v>
      </c>
      <c r="AJ1216">
        <v>0.83</v>
      </c>
      <c r="AK1216">
        <v>0</v>
      </c>
      <c r="AL1216">
        <v>0</v>
      </c>
      <c r="AM1216">
        <v>0</v>
      </c>
      <c r="AN1216">
        <v>0</v>
      </c>
      <c r="AO1216">
        <v>0</v>
      </c>
      <c r="AP1216">
        <v>0.957</v>
      </c>
      <c r="AQ1216">
        <v>0.098</v>
      </c>
      <c r="AR1216">
        <v>0.1</v>
      </c>
      <c r="AS1216" s="3">
        <v>46107.77888888889</v>
      </c>
    </row>
    <row r="1217" ht="25.5" customHeight="1">
      <c r="A1217" t="inlineStr">
        <is>
          <t>63ab329400000000270370e0</t>
        </is>
      </c>
      <c r="B1217" s="2" t="str">
        <f>=HYPERLINK("https://www.xiaohongshu.com/user/profile/63ab329400000000270370e0", "https://www.xiaohongshu.com/user/profile/63ab329400000000270370e0")</f>
        <v>https://www.xiaohongshu.com/user/profile/63ab329400000000270370e0</v>
      </c>
      <c r="C1217" s="2" t="str">
        <f>=HYPERLINK("https://pgy.xiaohongshu.com/solar/pre-trade/blogger-detail/63ab329400000000270370e0", "https://pgy.xiaohongshu.com/solar/pre-trade/blogger-detail/63ab329400000000270370e0")</f>
        <v>https://pgy.xiaohongshu.com/solar/pre-trade/blogger-detail/63ab329400000000270370e0</v>
      </c>
      <c r="D1217" t="inlineStr">
        <is>
          <t>女</t>
        </is>
      </c>
      <c r="E1217" t="inlineStr">
        <is>
          <t>NXJ16888</t>
        </is>
      </c>
      <c r="F1217" t="inlineStr">
        <is>
          <t>宁学姐创赛分享</t>
        </is>
      </c>
      <c r="G1217" t="inlineStr">
        <is>
          <t>广东 江门 江海区</t>
        </is>
      </c>
      <c r="H1217"/>
      <c r="I1217" t="inlineStr">
        <is>
          <t>教育</t>
        </is>
      </c>
      <c r="J1217">
        <v>6617</v>
      </c>
      <c r="K1217" t="inlineStr">
        <is>
          <t>0.7</t>
        </is>
      </c>
      <c r="L1217">
        <v>10091</v>
      </c>
      <c r="M1217">
        <v>1326</v>
      </c>
      <c r="N1217">
        <v>136</v>
      </c>
      <c r="O1217">
        <v>200</v>
      </c>
      <c r="P1217">
        <v>0</v>
      </c>
      <c r="Q1217">
        <v>0</v>
      </c>
      <c r="R1217">
        <v>10091</v>
      </c>
      <c r="S1217">
        <v>1326</v>
      </c>
      <c r="T1217">
        <v>99</v>
      </c>
      <c r="U1217">
        <v>0.45</v>
      </c>
      <c r="V1217">
        <v>200</v>
      </c>
      <c r="W1217">
        <v>0</v>
      </c>
      <c r="X1217">
        <v>0</v>
      </c>
      <c r="Y1217">
        <v>19.82</v>
      </c>
      <c r="Z1217">
        <v>1.47</v>
      </c>
      <c r="AA1217">
        <v>0</v>
      </c>
      <c r="AB1217">
        <v>0</v>
      </c>
      <c r="AC1217">
        <v>0</v>
      </c>
      <c r="AD1217">
        <v>0</v>
      </c>
      <c r="AE1217">
        <v>500</v>
      </c>
      <c r="AF1217">
        <v>0</v>
      </c>
      <c r="AG1217">
        <v>0</v>
      </c>
      <c r="AH1217">
        <v>0</v>
      </c>
      <c r="AI1217">
        <v>0</v>
      </c>
      <c r="AJ1217">
        <v>0</v>
      </c>
      <c r="AK1217">
        <v>0</v>
      </c>
      <c r="AL1217">
        <v>0</v>
      </c>
      <c r="AM1217">
        <v>0</v>
      </c>
      <c r="AN1217">
        <v>0</v>
      </c>
      <c r="AO1217">
        <v>0</v>
      </c>
      <c r="AP1217">
        <v>0.728</v>
      </c>
      <c r="AQ1217">
        <v>0.01</v>
      </c>
      <c r="AR1217">
        <v>0.01</v>
      </c>
      <c r="AS1217" s="3">
        <v>46107.77888888889</v>
      </c>
    </row>
    <row r="1218" ht="25.5" customHeight="1">
      <c r="A1218" t="inlineStr">
        <is>
          <t>63283a30000000002303b9d2</t>
        </is>
      </c>
      <c r="B1218" s="2" t="str">
        <f>=HYPERLINK("https://www.xiaohongshu.com/user/profile/63283a30000000002303b9d2", "https://www.xiaohongshu.com/user/profile/63283a30000000002303b9d2")</f>
        <v>https://www.xiaohongshu.com/user/profile/63283a30000000002303b9d2</v>
      </c>
      <c r="C1218" s="2" t="str">
        <f>=HYPERLINK("https://pgy.xiaohongshu.com/solar/pre-trade/blogger-detail/63283a30000000002303b9d2", "https://pgy.xiaohongshu.com/solar/pre-trade/blogger-detail/63283a30000000002303b9d2")</f>
        <v>https://pgy.xiaohongshu.com/solar/pre-trade/blogger-detail/63283a30000000002303b9d2</v>
      </c>
      <c r="D1218" t="inlineStr">
        <is>
          <t>女</t>
        </is>
      </c>
      <c r="E1218" t="inlineStr">
        <is>
          <t>2914039462</t>
        </is>
      </c>
      <c r="F1218" t="inlineStr">
        <is>
          <t>Michael陈的英语干货</t>
        </is>
      </c>
      <c r="G1218" t="inlineStr">
        <is>
          <t>上海</t>
        </is>
      </c>
      <c r="H1218"/>
      <c r="I1218" t="inlineStr">
        <is>
          <t>教育</t>
        </is>
      </c>
      <c r="J1218">
        <v>2463</v>
      </c>
      <c r="K1218" t="inlineStr">
        <is>
          <t>0.2</t>
        </is>
      </c>
      <c r="L1218">
        <v>3614</v>
      </c>
      <c r="M1218">
        <v>1513</v>
      </c>
      <c r="N1218">
        <v>136</v>
      </c>
      <c r="O1218">
        <v>100</v>
      </c>
      <c r="P1218">
        <v>0</v>
      </c>
      <c r="Q1218">
        <v>0.32</v>
      </c>
      <c r="R1218">
        <v>8021</v>
      </c>
      <c r="S1218">
        <v>571</v>
      </c>
      <c r="T1218">
        <v>57</v>
      </c>
      <c r="U1218">
        <v>0.48</v>
      </c>
      <c r="V1218">
        <v>100</v>
      </c>
      <c r="W1218">
        <v>0</v>
      </c>
      <c r="X1218">
        <v>0</v>
      </c>
      <c r="Y1218">
        <v>12.47</v>
      </c>
      <c r="Z1218">
        <v>1.28</v>
      </c>
      <c r="AA1218">
        <v>3614</v>
      </c>
      <c r="AB1218">
        <v>1673</v>
      </c>
      <c r="AC1218">
        <v>116</v>
      </c>
      <c r="AD1218">
        <v>1.62</v>
      </c>
      <c r="AE1218">
        <v>200</v>
      </c>
      <c r="AF1218">
        <v>0.381</v>
      </c>
      <c r="AG1218">
        <v>0</v>
      </c>
      <c r="AH1218">
        <v>0.342</v>
      </c>
      <c r="AI1218">
        <v>55.34</v>
      </c>
      <c r="AJ1218">
        <v>1.24</v>
      </c>
      <c r="AK1218">
        <v>0</v>
      </c>
      <c r="AL1218">
        <v>0</v>
      </c>
      <c r="AM1218">
        <v>0</v>
      </c>
      <c r="AN1218">
        <v>0</v>
      </c>
      <c r="AO1218">
        <v>0</v>
      </c>
      <c r="AP1218">
        <v>0.998</v>
      </c>
      <c r="AQ1218">
        <v>0.36</v>
      </c>
      <c r="AR1218">
        <v>0</v>
      </c>
      <c r="AS1218" s="3">
        <v>46107.77888888889</v>
      </c>
    </row>
    <row r="1219" ht="25.5" customHeight="1">
      <c r="A1219" t="inlineStr">
        <is>
          <t>5d3e73650000000012019730</t>
        </is>
      </c>
      <c r="B1219" s="2" t="str">
        <f>=HYPERLINK("https://www.xiaohongshu.com/user/profile/5d3e73650000000012019730", "https://www.xiaohongshu.com/user/profile/5d3e73650000000012019730")</f>
        <v>https://www.xiaohongshu.com/user/profile/5d3e73650000000012019730</v>
      </c>
      <c r="C1219" s="2" t="str">
        <f>=HYPERLINK("https://pgy.xiaohongshu.com/solar/pre-trade/blogger-detail/5d3e73650000000012019730", "https://pgy.xiaohongshu.com/solar/pre-trade/blogger-detail/5d3e73650000000012019730")</f>
        <v>https://pgy.xiaohongshu.com/solar/pre-trade/blogger-detail/5d3e73650000000012019730</v>
      </c>
      <c r="D1219" t="inlineStr">
        <is>
          <t>男</t>
        </is>
      </c>
      <c r="E1219" t="inlineStr">
        <is>
          <t>238084087</t>
        </is>
      </c>
      <c r="F1219" t="inlineStr">
        <is>
          <t>Sein</t>
        </is>
      </c>
      <c r="G1219" t="inlineStr">
        <is>
          <t>广东 珠海 香洲区</t>
        </is>
      </c>
      <c r="H1219" t="inlineStr">
        <is>
          <t>学生</t>
        </is>
      </c>
      <c r="I1219" t="inlineStr">
        <is>
          <t>教育</t>
        </is>
      </c>
      <c r="J1219">
        <v>3614</v>
      </c>
      <c r="K1219" t="inlineStr">
        <is>
          <t>0.4</t>
        </is>
      </c>
      <c r="L1219">
        <v>4160</v>
      </c>
      <c r="M1219">
        <v>696</v>
      </c>
      <c r="N1219">
        <v>106</v>
      </c>
      <c r="O1219">
        <v>200</v>
      </c>
      <c r="P1219">
        <v>0</v>
      </c>
      <c r="Q1219">
        <v>0</v>
      </c>
      <c r="R1219">
        <v>4160</v>
      </c>
      <c r="S1219">
        <v>696</v>
      </c>
      <c r="T1219">
        <v>97</v>
      </c>
      <c r="U1219">
        <v>0.59</v>
      </c>
      <c r="V1219">
        <v>200</v>
      </c>
      <c r="W1219">
        <v>0</v>
      </c>
      <c r="X1219">
        <v>0</v>
      </c>
      <c r="Y1219">
        <v>48.08</v>
      </c>
      <c r="Z1219">
        <v>1.89</v>
      </c>
      <c r="AA1219">
        <v>0</v>
      </c>
      <c r="AB1219">
        <v>0</v>
      </c>
      <c r="AC1219">
        <v>0</v>
      </c>
      <c r="AD1219">
        <v>0</v>
      </c>
      <c r="AE1219">
        <v>350</v>
      </c>
      <c r="AF1219">
        <v>0</v>
      </c>
      <c r="AG1219">
        <v>0</v>
      </c>
      <c r="AH1219">
        <v>0</v>
      </c>
      <c r="AI1219">
        <v>0</v>
      </c>
      <c r="AJ1219">
        <v>0</v>
      </c>
      <c r="AK1219">
        <v>0</v>
      </c>
      <c r="AL1219">
        <v>0</v>
      </c>
      <c r="AM1219">
        <v>0</v>
      </c>
      <c r="AN1219">
        <v>0</v>
      </c>
      <c r="AO1219">
        <v>0</v>
      </c>
      <c r="AP1219">
        <v>0.738</v>
      </c>
      <c r="AQ1219">
        <v>0.024</v>
      </c>
      <c r="AR1219">
        <v>0.027</v>
      </c>
      <c r="AS1219" s="3">
        <v>46107.77888888889</v>
      </c>
    </row>
    <row r="1220" ht="25.5" customHeight="1">
      <c r="A1220" t="inlineStr">
        <is>
          <t>678763370000000006012b08</t>
        </is>
      </c>
      <c r="B1220" s="2" t="str">
        <f>=HYPERLINK("https://www.xiaohongshu.com/user/profile/678763370000000006012b08", "https://www.xiaohongshu.com/user/profile/678763370000000006012b08")</f>
        <v>https://www.xiaohongshu.com/user/profile/678763370000000006012b08</v>
      </c>
      <c r="C1220" s="2" t="str">
        <f>=HYPERLINK("https://pgy.xiaohongshu.com/solar/pre-trade/blogger-detail/678763370000000006012b08", "https://pgy.xiaohongshu.com/solar/pre-trade/blogger-detail/678763370000000006012b08")</f>
        <v>https://pgy.xiaohongshu.com/solar/pre-trade/blogger-detail/678763370000000006012b08</v>
      </c>
      <c r="D1220" t="inlineStr">
        <is>
          <t>女</t>
        </is>
      </c>
      <c r="E1220" t="inlineStr">
        <is>
          <t>26225828806</t>
        </is>
      </c>
      <c r="F1220" t="inlineStr">
        <is>
          <t>情绪女王</t>
        </is>
      </c>
      <c r="G1220" t="inlineStr">
        <is>
          <t>云南 昆明 呈贡区</t>
        </is>
      </c>
      <c r="H1220" t="inlineStr">
        <is>
          <t>学生</t>
        </is>
      </c>
      <c r="I1220" t="inlineStr">
        <is>
          <t>教育, 生活记录</t>
        </is>
      </c>
      <c r="J1220">
        <v>1294</v>
      </c>
      <c r="K1220" t="inlineStr">
        <is>
          <t>0.1</t>
        </is>
      </c>
      <c r="L1220">
        <v>5511</v>
      </c>
      <c r="M1220">
        <v>897</v>
      </c>
      <c r="N1220">
        <v>132</v>
      </c>
      <c r="O1220">
        <v>166</v>
      </c>
      <c r="P1220">
        <v>0</v>
      </c>
      <c r="Q1220">
        <v>0.611</v>
      </c>
      <c r="R1220">
        <v>5511</v>
      </c>
      <c r="S1220">
        <v>897</v>
      </c>
      <c r="T1220">
        <v>123</v>
      </c>
      <c r="U1220">
        <v>0.48</v>
      </c>
      <c r="V1220">
        <v>166</v>
      </c>
      <c r="W1220">
        <v>0.611</v>
      </c>
      <c r="X1220">
        <v>0</v>
      </c>
      <c r="Y1220">
        <v>30.12</v>
      </c>
      <c r="Z1220">
        <v>1.25</v>
      </c>
      <c r="AA1220">
        <v>0</v>
      </c>
      <c r="AB1220">
        <v>0</v>
      </c>
      <c r="AC1220">
        <v>0</v>
      </c>
      <c r="AD1220">
        <v>0</v>
      </c>
      <c r="AE1220">
        <v>0</v>
      </c>
      <c r="AF1220">
        <v>0</v>
      </c>
      <c r="AG1220">
        <v>0</v>
      </c>
      <c r="AH1220">
        <v>0</v>
      </c>
      <c r="AI1220">
        <v>0</v>
      </c>
      <c r="AJ1220">
        <v>0</v>
      </c>
      <c r="AK1220">
        <v>0</v>
      </c>
      <c r="AL1220">
        <v>0</v>
      </c>
      <c r="AM1220">
        <v>0</v>
      </c>
      <c r="AN1220">
        <v>0</v>
      </c>
      <c r="AO1220">
        <v>0</v>
      </c>
      <c r="AP1220">
        <v>0.954</v>
      </c>
      <c r="AQ1220">
        <v>0.163</v>
      </c>
      <c r="AR1220">
        <v>0</v>
      </c>
      <c r="AS1220" s="3">
        <v>46107.77888888889</v>
      </c>
    </row>
    <row r="1221" ht="25.5" customHeight="1">
      <c r="A1221" t="inlineStr">
        <is>
          <t>63ce66a00000000026011349</t>
        </is>
      </c>
      <c r="B1221" s="2" t="str">
        <f>=HYPERLINK("https://www.xiaohongshu.com/user/profile/63ce66a00000000026011349", "https://www.xiaohongshu.com/user/profile/63ce66a00000000026011349")</f>
        <v>https://www.xiaohongshu.com/user/profile/63ce66a00000000026011349</v>
      </c>
      <c r="C1221" s="2" t="str">
        <f>=HYPERLINK("https://pgy.xiaohongshu.com/solar/pre-trade/blogger-detail/63ce66a00000000026011349", "https://pgy.xiaohongshu.com/solar/pre-trade/blogger-detail/63ce66a00000000026011349")</f>
        <v>https://pgy.xiaohongshu.com/solar/pre-trade/blogger-detail/63ce66a00000000026011349</v>
      </c>
      <c r="D1221" t="inlineStr">
        <is>
          <t>男</t>
        </is>
      </c>
      <c r="E1221" t="inlineStr">
        <is>
          <t>w20020134</t>
        </is>
      </c>
      <c r="F1221" t="inlineStr">
        <is>
          <t>爽子在西大（momo版）</t>
        </is>
      </c>
      <c r="G1221" t="inlineStr">
        <is>
          <t>重庆</t>
        </is>
      </c>
      <c r="H1221"/>
      <c r="I1221" t="inlineStr">
        <is>
          <t>教育</t>
        </is>
      </c>
      <c r="J1221">
        <v>1639</v>
      </c>
      <c r="K1221" t="inlineStr">
        <is>
          <t>0.2</t>
        </is>
      </c>
      <c r="L1221">
        <v>11476</v>
      </c>
      <c r="M1221">
        <v>1227</v>
      </c>
      <c r="N1221">
        <v>139</v>
      </c>
      <c r="O1221">
        <v>180</v>
      </c>
      <c r="P1221">
        <v>0</v>
      </c>
      <c r="Q1221">
        <v>0.214</v>
      </c>
      <c r="R1221">
        <v>9216</v>
      </c>
      <c r="S1221">
        <v>1474</v>
      </c>
      <c r="T1221">
        <v>53</v>
      </c>
      <c r="U1221">
        <v>0.42</v>
      </c>
      <c r="V1221">
        <v>180</v>
      </c>
      <c r="W1221">
        <v>0.25</v>
      </c>
      <c r="X1221">
        <v>0</v>
      </c>
      <c r="Y1221">
        <v>19.53</v>
      </c>
      <c r="Z1221">
        <v>1.95</v>
      </c>
      <c r="AA1221">
        <v>12072</v>
      </c>
      <c r="AB1221">
        <v>1227</v>
      </c>
      <c r="AC1221">
        <v>125</v>
      </c>
      <c r="AD1221">
        <v>1.74</v>
      </c>
      <c r="AE1221">
        <v>300</v>
      </c>
      <c r="AF1221">
        <v>0.2</v>
      </c>
      <c r="AG1221">
        <v>0</v>
      </c>
      <c r="AH1221">
        <v>0.071</v>
      </c>
      <c r="AI1221">
        <v>24.85</v>
      </c>
      <c r="AJ1221">
        <v>1.79</v>
      </c>
      <c r="AK1221">
        <v>0</v>
      </c>
      <c r="AL1221">
        <v>0</v>
      </c>
      <c r="AM1221">
        <v>0</v>
      </c>
      <c r="AN1221">
        <v>0</v>
      </c>
      <c r="AO1221">
        <v>0</v>
      </c>
      <c r="AP1221">
        <v>0.883</v>
      </c>
      <c r="AQ1221">
        <v>0.111</v>
      </c>
      <c r="AR1221">
        <v>0.217</v>
      </c>
      <c r="AS1221" s="3">
        <v>46107.7791087963</v>
      </c>
    </row>
    <row r="1222" ht="25.5" customHeight="1">
      <c r="A1222" t="inlineStr">
        <is>
          <t>660139e9000000000b031db1</t>
        </is>
      </c>
      <c r="B1222" s="2" t="str">
        <f>=HYPERLINK("https://www.xiaohongshu.com/user/profile/660139e9000000000b031db1", "https://www.xiaohongshu.com/user/profile/660139e9000000000b031db1")</f>
        <v>https://www.xiaohongshu.com/user/profile/660139e9000000000b031db1</v>
      </c>
      <c r="C1222" s="2" t="str">
        <f>=HYPERLINK("https://pgy.xiaohongshu.com/solar/pre-trade/blogger-detail/660139e9000000000b031db1", "https://pgy.xiaohongshu.com/solar/pre-trade/blogger-detail/660139e9000000000b031db1")</f>
        <v>https://pgy.xiaohongshu.com/solar/pre-trade/blogger-detail/660139e9000000000b031db1</v>
      </c>
      <c r="D1222" t="inlineStr">
        <is>
          <t>女</t>
        </is>
      </c>
      <c r="E1222" t="inlineStr">
        <is>
          <t>aishangzyuanwei</t>
        </is>
      </c>
      <c r="F1222" t="inlineStr">
        <is>
          <t>爱上枝枝鸢尾</t>
        </is>
      </c>
      <c r="G1222" t="inlineStr">
        <is>
          <t>四川 成都 新都区</t>
        </is>
      </c>
      <c r="H1222"/>
      <c r="I1222" t="inlineStr">
        <is>
          <t>教育</t>
        </is>
      </c>
      <c r="J1222">
        <v>6170</v>
      </c>
      <c r="K1222" t="inlineStr">
        <is>
          <t>0.6</t>
        </is>
      </c>
      <c r="L1222">
        <v>44149</v>
      </c>
      <c r="M1222">
        <v>13663</v>
      </c>
      <c r="N1222">
        <v>397</v>
      </c>
      <c r="O1222">
        <v>1000</v>
      </c>
      <c r="P1222">
        <v>0</v>
      </c>
      <c r="Q1222">
        <v>0.6</v>
      </c>
      <c r="R1222">
        <v>49216</v>
      </c>
      <c r="S1222">
        <v>14867</v>
      </c>
      <c r="T1222">
        <v>237</v>
      </c>
      <c r="U1222">
        <v>0.37</v>
      </c>
      <c r="V1222">
        <v>1000</v>
      </c>
      <c r="W1222">
        <v>0.5</v>
      </c>
      <c r="X1222">
        <v>0</v>
      </c>
      <c r="Y1222">
        <v>20.32</v>
      </c>
      <c r="Z1222">
        <v>2.6</v>
      </c>
      <c r="AA1222">
        <v>5010</v>
      </c>
      <c r="AB1222">
        <v>1291</v>
      </c>
      <c r="AC1222">
        <v>381</v>
      </c>
      <c r="AD1222">
        <v>3.05</v>
      </c>
      <c r="AE1222">
        <v>2000</v>
      </c>
      <c r="AF1222">
        <v>1</v>
      </c>
      <c r="AG1222">
        <v>0</v>
      </c>
      <c r="AH1222">
        <v>0.548999999999999</v>
      </c>
      <c r="AI1222">
        <v>399.2</v>
      </c>
      <c r="AJ1222">
        <v>5.04</v>
      </c>
      <c r="AK1222">
        <v>0</v>
      </c>
      <c r="AL1222">
        <v>0</v>
      </c>
      <c r="AM1222">
        <v>0</v>
      </c>
      <c r="AN1222">
        <v>0</v>
      </c>
      <c r="AO1222">
        <v>0</v>
      </c>
      <c r="AP1222">
        <v>0.91</v>
      </c>
      <c r="AQ1222">
        <v>0.072</v>
      </c>
      <c r="AR1222">
        <v>0.018</v>
      </c>
      <c r="AS1222" s="3">
        <v>46107.7791087963</v>
      </c>
    </row>
    <row r="1223" ht="25.5" customHeight="1">
      <c r="A1223" t="inlineStr">
        <is>
          <t>5b74f04ed88eb30001cd14af</t>
        </is>
      </c>
      <c r="B1223" s="2" t="str">
        <f>=HYPERLINK("https://www.xiaohongshu.com/user/profile/5b74f04ed88eb30001cd14af", "https://www.xiaohongshu.com/user/profile/5b74f04ed88eb30001cd14af")</f>
        <v>https://www.xiaohongshu.com/user/profile/5b74f04ed88eb30001cd14af</v>
      </c>
      <c r="C1223" s="2" t="str">
        <f>=HYPERLINK("https://pgy.xiaohongshu.com/solar/pre-trade/blogger-detail/5b74f04ed88eb30001cd14af", "https://pgy.xiaohongshu.com/solar/pre-trade/blogger-detail/5b74f04ed88eb30001cd14af")</f>
        <v>https://pgy.xiaohongshu.com/solar/pre-trade/blogger-detail/5b74f04ed88eb30001cd14af</v>
      </c>
      <c r="D1223" t="inlineStr">
        <is>
          <t>女</t>
        </is>
      </c>
      <c r="E1223" t="inlineStr">
        <is>
          <t>haruchacha_love</t>
        </is>
      </c>
      <c r="F1223" t="inlineStr">
        <is>
          <t>哈鲁和茶茶</t>
        </is>
      </c>
      <c r="G1223" t="inlineStr">
        <is>
          <t>日本</t>
        </is>
      </c>
      <c r="H1223" t="inlineStr">
        <is>
          <t>海外华人, 铲屎官, 学生</t>
        </is>
      </c>
      <c r="I1223" t="inlineStr">
        <is>
          <t>影视综资讯, 生活记录, 母婴</t>
        </is>
      </c>
      <c r="J1223">
        <v>8566</v>
      </c>
      <c r="K1223" t="inlineStr">
        <is>
          <t>0.9</t>
        </is>
      </c>
      <c r="L1223">
        <v>6274</v>
      </c>
      <c r="M1223">
        <v>996</v>
      </c>
      <c r="N1223">
        <v>153</v>
      </c>
      <c r="O1223">
        <v>900</v>
      </c>
      <c r="P1223">
        <v>0</v>
      </c>
      <c r="Q1223">
        <v>0.2</v>
      </c>
      <c r="R1223">
        <v>9994</v>
      </c>
      <c r="S1223">
        <v>1374</v>
      </c>
      <c r="T1223">
        <v>172</v>
      </c>
      <c r="U1223">
        <v>0.96</v>
      </c>
      <c r="V1223">
        <v>900</v>
      </c>
      <c r="W1223">
        <v>0.332999999999999</v>
      </c>
      <c r="X1223">
        <v>0</v>
      </c>
      <c r="Y1223">
        <v>90.05</v>
      </c>
      <c r="Z1223">
        <v>5.52</v>
      </c>
      <c r="AA1223">
        <v>3908</v>
      </c>
      <c r="AB1223">
        <v>722</v>
      </c>
      <c r="AC1223">
        <v>45</v>
      </c>
      <c r="AD1223">
        <v>3.16</v>
      </c>
      <c r="AE1223">
        <v>1200</v>
      </c>
      <c r="AF1223">
        <v>0</v>
      </c>
      <c r="AG1223">
        <v>0</v>
      </c>
      <c r="AH1223">
        <v>0.13</v>
      </c>
      <c r="AI1223">
        <v>307.02</v>
      </c>
      <c r="AJ1223">
        <v>23.08</v>
      </c>
      <c r="AK1223">
        <v>0</v>
      </c>
      <c r="AL1223">
        <v>0</v>
      </c>
      <c r="AM1223">
        <v>0</v>
      </c>
      <c r="AN1223">
        <v>0</v>
      </c>
      <c r="AO1223">
        <v>0</v>
      </c>
      <c r="AP1223">
        <v>0.802</v>
      </c>
      <c r="AQ1223">
        <v>0.022</v>
      </c>
      <c r="AR1223">
        <v>-0.001</v>
      </c>
      <c r="AS1223" s="3">
        <v>46107.7791087963</v>
      </c>
    </row>
    <row r="1224" ht="25.5" customHeight="1">
      <c r="A1224" t="inlineStr">
        <is>
          <t>59eac80c11be1037240a06b4</t>
        </is>
      </c>
      <c r="B1224" s="2" t="str">
        <f>=HYPERLINK("https://www.xiaohongshu.com/user/profile/59eac80c11be1037240a06b4", "https://www.xiaohongshu.com/user/profile/59eac80c11be1037240a06b4")</f>
        <v>https://www.xiaohongshu.com/user/profile/59eac80c11be1037240a06b4</v>
      </c>
      <c r="C1224" s="2" t="str">
        <f>=HYPERLINK("https://pgy.xiaohongshu.com/solar/pre-trade/blogger-detail/59eac80c11be1037240a06b4", "https://pgy.xiaohongshu.com/solar/pre-trade/blogger-detail/59eac80c11be1037240a06b4")</f>
        <v>https://pgy.xiaohongshu.com/solar/pre-trade/blogger-detail/59eac80c11be1037240a06b4</v>
      </c>
      <c r="D1224" t="inlineStr">
        <is>
          <t>男</t>
        </is>
      </c>
      <c r="E1224" t="inlineStr">
        <is>
          <t>Jinmu_</t>
        </is>
      </c>
      <c r="F1224" t="inlineStr">
        <is>
          <t>JinmuSpanish</t>
        </is>
      </c>
      <c r="G1224" t="inlineStr">
        <is>
          <t>四川 成都 青羊区</t>
        </is>
      </c>
      <c r="H1224"/>
      <c r="I1224" t="inlineStr">
        <is>
          <t>教育</t>
        </is>
      </c>
      <c r="J1224">
        <v>4123</v>
      </c>
      <c r="K1224" t="inlineStr">
        <is>
          <t>0.4</t>
        </is>
      </c>
      <c r="L1224">
        <v>4172</v>
      </c>
      <c r="M1224">
        <v>2269</v>
      </c>
      <c r="N1224">
        <v>178</v>
      </c>
      <c r="O1224">
        <v>200</v>
      </c>
      <c r="P1224">
        <v>0</v>
      </c>
      <c r="Q1224">
        <v>0.5</v>
      </c>
      <c r="R1224">
        <v>0</v>
      </c>
      <c r="S1224">
        <v>0</v>
      </c>
      <c r="T1224">
        <v>0</v>
      </c>
      <c r="U1224">
        <v>0</v>
      </c>
      <c r="V1224">
        <v>200</v>
      </c>
      <c r="W1224">
        <v>0</v>
      </c>
      <c r="X1224">
        <v>0</v>
      </c>
      <c r="Y1224">
        <v>0</v>
      </c>
      <c r="Z1224">
        <v>0</v>
      </c>
      <c r="AA1224">
        <v>4172</v>
      </c>
      <c r="AB1224">
        <v>2269</v>
      </c>
      <c r="AC1224">
        <v>136</v>
      </c>
      <c r="AD1224">
        <v>1.63</v>
      </c>
      <c r="AE1224">
        <v>300</v>
      </c>
      <c r="AF1224">
        <v>0.5</v>
      </c>
      <c r="AG1224">
        <v>0</v>
      </c>
      <c r="AH1224">
        <v>0.154</v>
      </c>
      <c r="AI1224">
        <v>71.9</v>
      </c>
      <c r="AJ1224">
        <v>1.68</v>
      </c>
      <c r="AK1224">
        <v>0</v>
      </c>
      <c r="AL1224">
        <v>0</v>
      </c>
      <c r="AM1224">
        <v>0</v>
      </c>
      <c r="AN1224">
        <v>0</v>
      </c>
      <c r="AO1224">
        <v>0</v>
      </c>
      <c r="AP1224">
        <v>0.835</v>
      </c>
      <c r="AQ1224">
        <v>0.053</v>
      </c>
      <c r="AR1224">
        <v>0.0289999999999999</v>
      </c>
      <c r="AS1224" s="3">
        <v>46107.7791087963</v>
      </c>
    </row>
    <row r="1225" ht="25.5" customHeight="1">
      <c r="A1225" t="inlineStr">
        <is>
          <t>566ab7989eb5785dff369e6a</t>
        </is>
      </c>
      <c r="B1225" s="2" t="str">
        <f>=HYPERLINK("https://www.xiaohongshu.com/user/profile/566ab7989eb5785dff369e6a", "https://www.xiaohongshu.com/user/profile/566ab7989eb5785dff369e6a")</f>
        <v>https://www.xiaohongshu.com/user/profile/566ab7989eb5785dff369e6a</v>
      </c>
      <c r="C1225" s="2" t="str">
        <f>=HYPERLINK("https://pgy.xiaohongshu.com/solar/pre-trade/blogger-detail/566ab7989eb5785dff369e6a", "https://pgy.xiaohongshu.com/solar/pre-trade/blogger-detail/566ab7989eb5785dff369e6a")</f>
        <v>https://pgy.xiaohongshu.com/solar/pre-trade/blogger-detail/566ab7989eb5785dff369e6a</v>
      </c>
      <c r="D1225" t="inlineStr">
        <is>
          <t>男</t>
        </is>
      </c>
      <c r="E1225" t="inlineStr">
        <is>
          <t>606756574</t>
        </is>
      </c>
      <c r="F1225" t="inlineStr">
        <is>
          <t>每天认识一个即插即用模块</t>
        </is>
      </c>
      <c r="G1225" t="inlineStr">
        <is>
          <t>山西 晋中 榆次区</t>
        </is>
      </c>
      <c r="H1225" t="inlineStr">
        <is>
          <t>程序员</t>
        </is>
      </c>
      <c r="I1225" t="inlineStr">
        <is>
          <t>教育</t>
        </is>
      </c>
      <c r="J1225">
        <v>1853</v>
      </c>
      <c r="K1225" t="inlineStr">
        <is>
          <t>0.2</t>
        </is>
      </c>
      <c r="L1225">
        <v>5095</v>
      </c>
      <c r="M1225">
        <v>862</v>
      </c>
      <c r="N1225">
        <v>135</v>
      </c>
      <c r="O1225">
        <v>200</v>
      </c>
      <c r="P1225">
        <v>0</v>
      </c>
      <c r="Q1225">
        <v>0.048</v>
      </c>
      <c r="R1225">
        <v>5095</v>
      </c>
      <c r="S1225">
        <v>862</v>
      </c>
      <c r="T1225">
        <v>102</v>
      </c>
      <c r="U1225">
        <v>0.53</v>
      </c>
      <c r="V1225">
        <v>200</v>
      </c>
      <c r="W1225">
        <v>0.048</v>
      </c>
      <c r="X1225">
        <v>0</v>
      </c>
      <c r="Y1225">
        <v>39.25</v>
      </c>
      <c r="Z1225">
        <v>1.48</v>
      </c>
      <c r="AA1225">
        <v>0</v>
      </c>
      <c r="AB1225">
        <v>0</v>
      </c>
      <c r="AC1225">
        <v>0</v>
      </c>
      <c r="AD1225">
        <v>0</v>
      </c>
      <c r="AE1225">
        <v>200</v>
      </c>
      <c r="AF1225">
        <v>0</v>
      </c>
      <c r="AG1225">
        <v>0</v>
      </c>
      <c r="AH1225">
        <v>0</v>
      </c>
      <c r="AI1225">
        <v>0</v>
      </c>
      <c r="AJ1225">
        <v>0</v>
      </c>
      <c r="AK1225">
        <v>0</v>
      </c>
      <c r="AL1225">
        <v>0</v>
      </c>
      <c r="AM1225">
        <v>0</v>
      </c>
      <c r="AN1225">
        <v>0</v>
      </c>
      <c r="AO1225">
        <v>0</v>
      </c>
      <c r="AP1225">
        <v>0.977</v>
      </c>
      <c r="AQ1225">
        <v>0.183</v>
      </c>
      <c r="AR1225">
        <v>0.204</v>
      </c>
      <c r="AS1225" s="3">
        <v>46107.7791087963</v>
      </c>
    </row>
    <row r="1226" ht="25.5" customHeight="1">
      <c r="A1226" t="inlineStr">
        <is>
          <t>5702a0146a6a693820d1cd03</t>
        </is>
      </c>
      <c r="B1226" s="2" t="str">
        <f>=HYPERLINK("https://www.xiaohongshu.com/user/profile/5702a0146a6a693820d1cd03", "https://www.xiaohongshu.com/user/profile/5702a0146a6a693820d1cd03")</f>
        <v>https://www.xiaohongshu.com/user/profile/5702a0146a6a693820d1cd03</v>
      </c>
      <c r="C1226" s="2" t="str">
        <f>=HYPERLINK("https://pgy.xiaohongshu.com/solar/pre-trade/blogger-detail/5702a0146a6a693820d1cd03", "https://pgy.xiaohongshu.com/solar/pre-trade/blogger-detail/5702a0146a6a693820d1cd03")</f>
        <v>https://pgy.xiaohongshu.com/solar/pre-trade/blogger-detail/5702a0146a6a693820d1cd03</v>
      </c>
      <c r="D1226" t="inlineStr">
        <is>
          <t>女</t>
        </is>
      </c>
      <c r="E1226" t="inlineStr">
        <is>
          <t>916977097</t>
        </is>
      </c>
      <c r="F1226" t="inlineStr">
        <is>
          <t>婕咪小姐</t>
        </is>
      </c>
      <c r="G1226" t="inlineStr">
        <is>
          <t>北京</t>
        </is>
      </c>
      <c r="H1226"/>
      <c r="I1226" t="inlineStr">
        <is>
          <t>教育</t>
        </is>
      </c>
      <c r="J1226">
        <v>5043</v>
      </c>
      <c r="K1226" t="inlineStr">
        <is>
          <t>0.5</t>
        </is>
      </c>
      <c r="L1226">
        <v>4351</v>
      </c>
      <c r="M1226">
        <v>883</v>
      </c>
      <c r="N1226">
        <v>129</v>
      </c>
      <c r="O1226">
        <v>300</v>
      </c>
      <c r="P1226">
        <v>0</v>
      </c>
      <c r="Q1226">
        <v>0</v>
      </c>
      <c r="R1226">
        <v>0</v>
      </c>
      <c r="S1226">
        <v>0</v>
      </c>
      <c r="T1226">
        <v>0</v>
      </c>
      <c r="U1226">
        <v>0</v>
      </c>
      <c r="V1226">
        <v>300</v>
      </c>
      <c r="W1226">
        <v>0</v>
      </c>
      <c r="X1226">
        <v>0</v>
      </c>
      <c r="Y1226">
        <v>0</v>
      </c>
      <c r="Z1226">
        <v>0</v>
      </c>
      <c r="AA1226">
        <v>4351</v>
      </c>
      <c r="AB1226">
        <v>883</v>
      </c>
      <c r="AC1226">
        <v>89</v>
      </c>
      <c r="AD1226">
        <v>2.07</v>
      </c>
      <c r="AE1226">
        <v>500</v>
      </c>
      <c r="AF1226">
        <v>0</v>
      </c>
      <c r="AG1226">
        <v>0</v>
      </c>
      <c r="AH1226">
        <v>0.04</v>
      </c>
      <c r="AI1226">
        <v>114.92</v>
      </c>
      <c r="AJ1226">
        <v>3.88</v>
      </c>
      <c r="AK1226">
        <v>0</v>
      </c>
      <c r="AL1226">
        <v>0</v>
      </c>
      <c r="AM1226">
        <v>0</v>
      </c>
      <c r="AN1226">
        <v>0</v>
      </c>
      <c r="AO1226">
        <v>0</v>
      </c>
      <c r="AP1226">
        <v>0.942</v>
      </c>
      <c r="AQ1226">
        <v>0.017</v>
      </c>
      <c r="AR1226">
        <v>0.016</v>
      </c>
      <c r="AS1226" s="3">
        <v>46107.7791087963</v>
      </c>
    </row>
    <row r="1227" ht="25.5" customHeight="1">
      <c r="A1227" t="inlineStr">
        <is>
          <t>65f07eaa000000000b033d42</t>
        </is>
      </c>
      <c r="B1227" s="2" t="str">
        <f>=HYPERLINK("https://www.xiaohongshu.com/user/profile/65f07eaa000000000b033d42", "https://www.xiaohongshu.com/user/profile/65f07eaa000000000b033d42")</f>
        <v>https://www.xiaohongshu.com/user/profile/65f07eaa000000000b033d42</v>
      </c>
      <c r="C1227" s="2" t="str">
        <f>=HYPERLINK("https://pgy.xiaohongshu.com/solar/pre-trade/blogger-detail/65f07eaa000000000b033d42", "https://pgy.xiaohongshu.com/solar/pre-trade/blogger-detail/65f07eaa000000000b033d42")</f>
        <v>https://pgy.xiaohongshu.com/solar/pre-trade/blogger-detail/65f07eaa000000000b033d42</v>
      </c>
      <c r="D1227" t="inlineStr">
        <is>
          <t>女</t>
        </is>
      </c>
      <c r="E1227" t="inlineStr">
        <is>
          <t>49447366862</t>
        </is>
      </c>
      <c r="F1227" t="inlineStr">
        <is>
          <t>🍉西瓜啵啵</t>
        </is>
      </c>
      <c r="G1227" t="inlineStr">
        <is>
          <t>江苏 苏州 昆山市</t>
        </is>
      </c>
      <c r="H1227"/>
      <c r="I1227" t="inlineStr">
        <is>
          <t>教育</t>
        </is>
      </c>
      <c r="J1227">
        <v>1248</v>
      </c>
      <c r="K1227" t="inlineStr">
        <is>
          <t>0.1</t>
        </is>
      </c>
      <c r="L1227">
        <v>3668</v>
      </c>
      <c r="M1227">
        <v>469</v>
      </c>
      <c r="N1227">
        <v>123</v>
      </c>
      <c r="O1227">
        <v>165</v>
      </c>
      <c r="P1227">
        <v>0</v>
      </c>
      <c r="Q1227">
        <v>0.2</v>
      </c>
      <c r="R1227">
        <v>3668</v>
      </c>
      <c r="S1227">
        <v>469</v>
      </c>
      <c r="T1227">
        <v>95</v>
      </c>
      <c r="U1227">
        <v>0.65</v>
      </c>
      <c r="V1227">
        <v>165</v>
      </c>
      <c r="W1227">
        <v>0.2</v>
      </c>
      <c r="X1227">
        <v>0</v>
      </c>
      <c r="Y1227">
        <v>44.98</v>
      </c>
      <c r="Z1227">
        <v>1.34</v>
      </c>
      <c r="AA1227">
        <v>0</v>
      </c>
      <c r="AB1227">
        <v>0</v>
      </c>
      <c r="AC1227">
        <v>0</v>
      </c>
      <c r="AD1227">
        <v>0</v>
      </c>
      <c r="AE1227">
        <v>219</v>
      </c>
      <c r="AF1227">
        <v>0</v>
      </c>
      <c r="AG1227">
        <v>0</v>
      </c>
      <c r="AH1227">
        <v>0</v>
      </c>
      <c r="AI1227">
        <v>0</v>
      </c>
      <c r="AJ1227">
        <v>0</v>
      </c>
      <c r="AK1227">
        <v>0</v>
      </c>
      <c r="AL1227">
        <v>0</v>
      </c>
      <c r="AM1227">
        <v>0</v>
      </c>
      <c r="AN1227">
        <v>0</v>
      </c>
      <c r="AO1227">
        <v>0</v>
      </c>
      <c r="AP1227">
        <v>0.897</v>
      </c>
      <c r="AQ1227">
        <v>0.072</v>
      </c>
      <c r="AR1227">
        <v>0.076</v>
      </c>
      <c r="AS1227" s="3">
        <v>46107.7791087963</v>
      </c>
    </row>
    <row r="1228" ht="25.5" customHeight="1">
      <c r="A1228" t="inlineStr">
        <is>
          <t>67319d17000000001d02d9fb</t>
        </is>
      </c>
      <c r="B1228" s="2" t="str">
        <f>=HYPERLINK("https://www.xiaohongshu.com/user/profile/67319d17000000001d02d9fb", "https://www.xiaohongshu.com/user/profile/67319d17000000001d02d9fb")</f>
        <v>https://www.xiaohongshu.com/user/profile/67319d17000000001d02d9fb</v>
      </c>
      <c r="C1228" s="2" t="str">
        <f>=HYPERLINK("https://pgy.xiaohongshu.com/solar/pre-trade/blogger-detail/67319d17000000001d02d9fb", "https://pgy.xiaohongshu.com/solar/pre-trade/blogger-detail/67319d17000000001d02d9fb")</f>
        <v>https://pgy.xiaohongshu.com/solar/pre-trade/blogger-detail/67319d17000000001d02d9fb</v>
      </c>
      <c r="D1228" t="inlineStr">
        <is>
          <t>女</t>
        </is>
      </c>
      <c r="E1228" t="inlineStr">
        <is>
          <t>95478429801</t>
        </is>
      </c>
      <c r="F1228" t="inlineStr">
        <is>
          <t>Diana Mandarin corner</t>
        </is>
      </c>
      <c r="G1228" t="inlineStr">
        <is>
          <t>四川 成都 双流区</t>
        </is>
      </c>
      <c r="H1228"/>
      <c r="I1228" t="inlineStr">
        <is>
          <t>教育</t>
        </is>
      </c>
      <c r="J1228">
        <v>8562</v>
      </c>
      <c r="K1228" t="inlineStr">
        <is>
          <t>0.9</t>
        </is>
      </c>
      <c r="L1228">
        <v>3445</v>
      </c>
      <c r="M1228">
        <v>576</v>
      </c>
      <c r="N1228">
        <v>115</v>
      </c>
      <c r="O1228">
        <v>300</v>
      </c>
      <c r="P1228">
        <v>0</v>
      </c>
      <c r="Q1228">
        <v>0.273</v>
      </c>
      <c r="R1228">
        <v>0</v>
      </c>
      <c r="S1228">
        <v>0</v>
      </c>
      <c r="T1228">
        <v>0</v>
      </c>
      <c r="U1228">
        <v>0</v>
      </c>
      <c r="V1228">
        <v>0</v>
      </c>
      <c r="W1228">
        <v>0</v>
      </c>
      <c r="X1228">
        <v>0</v>
      </c>
      <c r="Y1228">
        <v>0</v>
      </c>
      <c r="Z1228">
        <v>0</v>
      </c>
      <c r="AA1228">
        <v>3445</v>
      </c>
      <c r="AB1228">
        <v>576</v>
      </c>
      <c r="AC1228">
        <v>100</v>
      </c>
      <c r="AD1228">
        <v>2.02</v>
      </c>
      <c r="AE1228">
        <v>300</v>
      </c>
      <c r="AF1228">
        <v>0.273</v>
      </c>
      <c r="AG1228">
        <v>0</v>
      </c>
      <c r="AH1228">
        <v>0.063</v>
      </c>
      <c r="AI1228">
        <v>87.08</v>
      </c>
      <c r="AJ1228">
        <v>2.61</v>
      </c>
      <c r="AK1228">
        <v>0</v>
      </c>
      <c r="AL1228">
        <v>0</v>
      </c>
      <c r="AM1228">
        <v>0</v>
      </c>
      <c r="AN1228">
        <v>0</v>
      </c>
      <c r="AO1228">
        <v>0</v>
      </c>
      <c r="AP1228">
        <v>0.753</v>
      </c>
      <c r="AQ1228">
        <v>0.072</v>
      </c>
      <c r="AR1228">
        <v>0.084</v>
      </c>
      <c r="AS1228" s="3">
        <v>46107.7791087963</v>
      </c>
    </row>
    <row r="1229" ht="25.5" customHeight="1">
      <c r="A1229" t="inlineStr">
        <is>
          <t>67e89a5e000000000a03c972</t>
        </is>
      </c>
      <c r="B1229" s="2" t="str">
        <f>=HYPERLINK("https://www.xiaohongshu.com/user/profile/67e89a5e000000000a03c972", "https://www.xiaohongshu.com/user/profile/67e89a5e000000000a03c972")</f>
        <v>https://www.xiaohongshu.com/user/profile/67e89a5e000000000a03c972</v>
      </c>
      <c r="C1229" s="2" t="str">
        <f>=HYPERLINK("https://pgy.xiaohongshu.com/solar/pre-trade/blogger-detail/67e89a5e000000000a03c972", "https://pgy.xiaohongshu.com/solar/pre-trade/blogger-detail/67e89a5e000000000a03c972")</f>
        <v>https://pgy.xiaohongshu.com/solar/pre-trade/blogger-detail/67e89a5e000000000a03c972</v>
      </c>
      <c r="D1229" t="inlineStr">
        <is>
          <t>女</t>
        </is>
      </c>
      <c r="E1229" t="inlineStr">
        <is>
          <t>26717931822</t>
        </is>
      </c>
      <c r="F1229" t="inlineStr">
        <is>
          <t>country万</t>
        </is>
      </c>
      <c r="G1229" t="inlineStr">
        <is>
          <t>上海</t>
        </is>
      </c>
      <c r="H1229"/>
      <c r="I1229" t="inlineStr">
        <is>
          <t>教育</t>
        </is>
      </c>
      <c r="J1229">
        <v>1483</v>
      </c>
      <c r="K1229" t="inlineStr">
        <is>
          <t>0.1</t>
        </is>
      </c>
      <c r="L1229">
        <v>185278</v>
      </c>
      <c r="M1229">
        <v>99014</v>
      </c>
      <c r="N1229">
        <v>15674</v>
      </c>
      <c r="O1229">
        <v>500</v>
      </c>
      <c r="P1229">
        <v>1</v>
      </c>
      <c r="Q1229">
        <v>1</v>
      </c>
      <c r="R1229">
        <v>0</v>
      </c>
      <c r="S1229">
        <v>0</v>
      </c>
      <c r="T1229">
        <v>0</v>
      </c>
      <c r="U1229">
        <v>0</v>
      </c>
      <c r="V1229">
        <v>500</v>
      </c>
      <c r="W1229">
        <v>0</v>
      </c>
      <c r="X1229">
        <v>0</v>
      </c>
      <c r="Y1229">
        <v>0</v>
      </c>
      <c r="Z1229">
        <v>0</v>
      </c>
      <c r="AA1229">
        <v>185278</v>
      </c>
      <c r="AB1229">
        <v>99014</v>
      </c>
      <c r="AC1229">
        <v>14787</v>
      </c>
      <c r="AD1229">
        <v>1.51</v>
      </c>
      <c r="AE1229">
        <v>800</v>
      </c>
      <c r="AF1229">
        <v>1</v>
      </c>
      <c r="AG1229">
        <v>1</v>
      </c>
      <c r="AH1229">
        <v>0.066</v>
      </c>
      <c r="AI1229">
        <v>4.32</v>
      </c>
      <c r="AJ1229">
        <v>0.05</v>
      </c>
      <c r="AK1229">
        <v>0</v>
      </c>
      <c r="AL1229">
        <v>0</v>
      </c>
      <c r="AM1229">
        <v>0</v>
      </c>
      <c r="AN1229">
        <v>0</v>
      </c>
      <c r="AO1229">
        <v>0</v>
      </c>
      <c r="AP1229">
        <v>0.98</v>
      </c>
      <c r="AQ1229">
        <v>0.475</v>
      </c>
      <c r="AR1229">
        <v>0</v>
      </c>
      <c r="AS1229" s="3">
        <v>46107.7791087963</v>
      </c>
    </row>
    <row r="1230" ht="25.5" customHeight="1">
      <c r="A1230" t="inlineStr">
        <is>
          <t>5a5dea5fe8ac2b26a3ed1a36</t>
        </is>
      </c>
      <c r="B1230" s="2" t="str">
        <f>=HYPERLINK("https://www.xiaohongshu.com/user/profile/5a5dea5fe8ac2b26a3ed1a36", "https://www.xiaohongshu.com/user/profile/5a5dea5fe8ac2b26a3ed1a36")</f>
        <v>https://www.xiaohongshu.com/user/profile/5a5dea5fe8ac2b26a3ed1a36</v>
      </c>
      <c r="C1230" s="2" t="str">
        <f>=HYPERLINK("https://pgy.xiaohongshu.com/solar/pre-trade/blogger-detail/5a5dea5fe8ac2b26a3ed1a36", "https://pgy.xiaohongshu.com/solar/pre-trade/blogger-detail/5a5dea5fe8ac2b26a3ed1a36")</f>
        <v>https://pgy.xiaohongshu.com/solar/pre-trade/blogger-detail/5a5dea5fe8ac2b26a3ed1a36</v>
      </c>
      <c r="D1230" t="inlineStr">
        <is>
          <t>女</t>
        </is>
      </c>
      <c r="E1230" t="inlineStr">
        <is>
          <t>cubes_wu</t>
        </is>
      </c>
      <c r="F1230" t="inlineStr">
        <is>
          <t>Cubes吴</t>
        </is>
      </c>
      <c r="G1230" t="inlineStr">
        <is>
          <t>德国</t>
        </is>
      </c>
      <c r="H1230" t="inlineStr">
        <is>
          <t>学生, 海外华人, 留学背景, 铲屎官</t>
        </is>
      </c>
      <c r="I1230" t="inlineStr">
        <is>
          <t>职场, 教育</t>
        </is>
      </c>
      <c r="J1230">
        <v>11785</v>
      </c>
      <c r="K1230" t="inlineStr">
        <is>
          <t>1.2</t>
        </is>
      </c>
      <c r="L1230">
        <v>19595</v>
      </c>
      <c r="M1230">
        <v>3233</v>
      </c>
      <c r="N1230">
        <v>168</v>
      </c>
      <c r="O1230">
        <v>1747</v>
      </c>
      <c r="P1230">
        <v>0</v>
      </c>
      <c r="Q1230">
        <v>0.429</v>
      </c>
      <c r="R1230">
        <v>7758</v>
      </c>
      <c r="S1230">
        <v>1119</v>
      </c>
      <c r="T1230">
        <v>73</v>
      </c>
      <c r="U1230">
        <v>1.86</v>
      </c>
      <c r="V1230">
        <v>1747</v>
      </c>
      <c r="W1230">
        <v>0.25</v>
      </c>
      <c r="X1230">
        <v>0</v>
      </c>
      <c r="Y1230">
        <v>225.19</v>
      </c>
      <c r="Z1230">
        <v>18.78</v>
      </c>
      <c r="AA1230">
        <v>21018</v>
      </c>
      <c r="AB1230">
        <v>6860</v>
      </c>
      <c r="AC1230">
        <v>205</v>
      </c>
      <c r="AD1230">
        <v>1.92</v>
      </c>
      <c r="AE1230">
        <v>2870</v>
      </c>
      <c r="AF1230">
        <v>0.667</v>
      </c>
      <c r="AG1230">
        <v>0</v>
      </c>
      <c r="AH1230">
        <v>0.207</v>
      </c>
      <c r="AI1230">
        <v>136.55</v>
      </c>
      <c r="AJ1230">
        <v>10.83</v>
      </c>
      <c r="AK1230">
        <v>0</v>
      </c>
      <c r="AL1230">
        <v>0</v>
      </c>
      <c r="AM1230">
        <v>0</v>
      </c>
      <c r="AN1230">
        <v>0</v>
      </c>
      <c r="AO1230">
        <v>0</v>
      </c>
      <c r="AP1230">
        <v>0.878</v>
      </c>
      <c r="AQ1230">
        <v>0.03</v>
      </c>
      <c r="AR1230">
        <v>0.022</v>
      </c>
      <c r="AS1230" s="3">
        <v>46107.7791087963</v>
      </c>
    </row>
    <row r="1231" ht="25.5" customHeight="1">
      <c r="A1231" t="inlineStr">
        <is>
          <t>673c495d000000001d02d3d6</t>
        </is>
      </c>
      <c r="B1231" s="2" t="str">
        <f>=HYPERLINK("https://www.xiaohongshu.com/user/profile/673c495d000000001d02d3d6", "https://www.xiaohongshu.com/user/profile/673c495d000000001d02d3d6")</f>
        <v>https://www.xiaohongshu.com/user/profile/673c495d000000001d02d3d6</v>
      </c>
      <c r="C1231" s="2" t="str">
        <f>=HYPERLINK("https://pgy.xiaohongshu.com/solar/pre-trade/blogger-detail/673c495d000000001d02d3d6", "https://pgy.xiaohongshu.com/solar/pre-trade/blogger-detail/673c495d000000001d02d3d6")</f>
        <v>https://pgy.xiaohongshu.com/solar/pre-trade/blogger-detail/673c495d000000001d02d3d6</v>
      </c>
      <c r="D1231" t="inlineStr">
        <is>
          <t>女</t>
        </is>
      </c>
      <c r="E1231" t="inlineStr">
        <is>
          <t>95626814489</t>
        </is>
      </c>
      <c r="F1231" t="inlineStr">
        <is>
          <t>Joy桌椅酱</t>
        </is>
      </c>
      <c r="G1231" t="inlineStr">
        <is>
          <t>上海</t>
        </is>
      </c>
      <c r="H1231"/>
      <c r="I1231" t="inlineStr">
        <is>
          <t>教育</t>
        </is>
      </c>
      <c r="J1231">
        <v>11321</v>
      </c>
      <c r="K1231" t="inlineStr">
        <is>
          <t>1.1</t>
        </is>
      </c>
      <c r="L1231">
        <v>11391</v>
      </c>
      <c r="M1231">
        <v>1753</v>
      </c>
      <c r="N1231">
        <v>334</v>
      </c>
      <c r="O1231">
        <v>203</v>
      </c>
      <c r="P1231">
        <v>0</v>
      </c>
      <c r="Q1231">
        <v>0.5</v>
      </c>
      <c r="R1231">
        <v>0</v>
      </c>
      <c r="S1231">
        <v>0</v>
      </c>
      <c r="T1231">
        <v>0</v>
      </c>
      <c r="U1231">
        <v>0</v>
      </c>
      <c r="V1231">
        <v>203</v>
      </c>
      <c r="W1231">
        <v>0</v>
      </c>
      <c r="X1231">
        <v>0</v>
      </c>
      <c r="Y1231">
        <v>0</v>
      </c>
      <c r="Z1231">
        <v>0</v>
      </c>
      <c r="AA1231">
        <v>11391</v>
      </c>
      <c r="AB1231">
        <v>1753</v>
      </c>
      <c r="AC1231">
        <v>261</v>
      </c>
      <c r="AD1231">
        <v>2.52</v>
      </c>
      <c r="AE1231">
        <v>1793</v>
      </c>
      <c r="AF1231">
        <v>0.5</v>
      </c>
      <c r="AG1231">
        <v>0</v>
      </c>
      <c r="AH1231">
        <v>0.01</v>
      </c>
      <c r="AI1231">
        <v>157.4</v>
      </c>
      <c r="AJ1231">
        <v>5.37</v>
      </c>
      <c r="AK1231">
        <v>0</v>
      </c>
      <c r="AL1231">
        <v>0</v>
      </c>
      <c r="AM1231">
        <v>0</v>
      </c>
      <c r="AN1231">
        <v>0</v>
      </c>
      <c r="AO1231">
        <v>0</v>
      </c>
      <c r="AP1231">
        <v>0.912</v>
      </c>
      <c r="AQ1231">
        <v>0.034</v>
      </c>
      <c r="AR1231">
        <v>0.049</v>
      </c>
      <c r="AS1231" s="3">
        <v>46107.7791087963</v>
      </c>
    </row>
    <row r="1232" ht="25.5" customHeight="1">
      <c r="A1232" t="inlineStr">
        <is>
          <t>66ebbd09000000001d033601</t>
        </is>
      </c>
      <c r="B1232" s="2" t="str">
        <f>=HYPERLINK("https://www.xiaohongshu.com/user/profile/66ebbd09000000001d033601", "https://www.xiaohongshu.com/user/profile/66ebbd09000000001d033601")</f>
        <v>https://www.xiaohongshu.com/user/profile/66ebbd09000000001d033601</v>
      </c>
      <c r="C1232" s="2" t="str">
        <f>=HYPERLINK("https://pgy.xiaohongshu.com/solar/pre-trade/blogger-detail/66ebbd09000000001d033601", "https://pgy.xiaohongshu.com/solar/pre-trade/blogger-detail/66ebbd09000000001d033601")</f>
        <v>https://pgy.xiaohongshu.com/solar/pre-trade/blogger-detail/66ebbd09000000001d033601</v>
      </c>
      <c r="D1232" t="inlineStr">
        <is>
          <t>女</t>
        </is>
      </c>
      <c r="E1232" t="inlineStr">
        <is>
          <t>95632919286</t>
        </is>
      </c>
      <c r="F1232" t="inlineStr">
        <is>
          <t>psychology</t>
        </is>
      </c>
      <c r="G1232" t="inlineStr">
        <is>
          <t>湖北 武汉 蔡甸区</t>
        </is>
      </c>
      <c r="H1232"/>
      <c r="I1232" t="inlineStr">
        <is>
          <t>教育</t>
        </is>
      </c>
      <c r="J1232">
        <v>5045</v>
      </c>
      <c r="K1232" t="inlineStr">
        <is>
          <t>0.5</t>
        </is>
      </c>
      <c r="L1232">
        <v>1515</v>
      </c>
      <c r="M1232">
        <v>984</v>
      </c>
      <c r="N1232">
        <v>125</v>
      </c>
      <c r="O1232">
        <v>170</v>
      </c>
      <c r="P1232">
        <v>0.25</v>
      </c>
      <c r="Q1232">
        <v>0.25</v>
      </c>
      <c r="R1232">
        <v>0</v>
      </c>
      <c r="S1232">
        <v>0</v>
      </c>
      <c r="T1232">
        <v>0</v>
      </c>
      <c r="U1232">
        <v>0</v>
      </c>
      <c r="V1232">
        <v>170</v>
      </c>
      <c r="W1232">
        <v>0</v>
      </c>
      <c r="X1232">
        <v>0</v>
      </c>
      <c r="Y1232">
        <v>0</v>
      </c>
      <c r="Z1232">
        <v>0</v>
      </c>
      <c r="AA1232">
        <v>1515</v>
      </c>
      <c r="AB1232">
        <v>984</v>
      </c>
      <c r="AC1232">
        <v>103</v>
      </c>
      <c r="AD1232">
        <v>1.77</v>
      </c>
      <c r="AE1232">
        <v>270</v>
      </c>
      <c r="AF1232">
        <v>0.25</v>
      </c>
      <c r="AG1232">
        <v>0.25</v>
      </c>
      <c r="AH1232">
        <v>0.136999999999999</v>
      </c>
      <c r="AI1232">
        <v>178.16</v>
      </c>
      <c r="AJ1232">
        <v>2.16</v>
      </c>
      <c r="AK1232">
        <v>0</v>
      </c>
      <c r="AL1232">
        <v>0</v>
      </c>
      <c r="AM1232">
        <v>0</v>
      </c>
      <c r="AN1232">
        <v>0</v>
      </c>
      <c r="AO1232">
        <v>0</v>
      </c>
      <c r="AP1232">
        <v>0.894</v>
      </c>
      <c r="AQ1232">
        <v>0.047</v>
      </c>
      <c r="AR1232">
        <v>0.100999999999999</v>
      </c>
      <c r="AS1232" s="3">
        <v>46107.7791087963</v>
      </c>
    </row>
    <row r="1233" ht="25.5" customHeight="1">
      <c r="A1233" t="inlineStr">
        <is>
          <t>62976ebd000000002102a77b</t>
        </is>
      </c>
      <c r="B1233" s="2" t="str">
        <f>=HYPERLINK("https://www.xiaohongshu.com/user/profile/62976ebd000000002102a77b", "https://www.xiaohongshu.com/user/profile/62976ebd000000002102a77b")</f>
        <v>https://www.xiaohongshu.com/user/profile/62976ebd000000002102a77b</v>
      </c>
      <c r="C1233" s="2" t="str">
        <f>=HYPERLINK("https://pgy.xiaohongshu.com/solar/pre-trade/blogger-detail/62976ebd000000002102a77b", "https://pgy.xiaohongshu.com/solar/pre-trade/blogger-detail/62976ebd000000002102a77b")</f>
        <v>https://pgy.xiaohongshu.com/solar/pre-trade/blogger-detail/62976ebd000000002102a77b</v>
      </c>
      <c r="D1233" t="inlineStr">
        <is>
          <t>女</t>
        </is>
      </c>
      <c r="E1233" t="inlineStr">
        <is>
          <t>4134053553</t>
        </is>
      </c>
      <c r="F1233" t="inlineStr">
        <is>
          <t>Butterdream</t>
        </is>
      </c>
      <c r="G1233" t="inlineStr">
        <is>
          <t>黑龙江 哈尔滨 香坊区</t>
        </is>
      </c>
      <c r="H1233" t="inlineStr">
        <is>
          <t>学生</t>
        </is>
      </c>
      <c r="I1233" t="inlineStr">
        <is>
          <t>教育</t>
        </is>
      </c>
      <c r="J1233">
        <v>1172</v>
      </c>
      <c r="K1233" t="inlineStr">
        <is>
          <t>0.1</t>
        </is>
      </c>
      <c r="L1233">
        <v>3070</v>
      </c>
      <c r="M1233">
        <v>411</v>
      </c>
      <c r="N1233">
        <v>177</v>
      </c>
      <c r="O1233">
        <v>209</v>
      </c>
      <c r="P1233">
        <v>0</v>
      </c>
      <c r="Q1233">
        <v>0</v>
      </c>
      <c r="R1233">
        <v>3070</v>
      </c>
      <c r="S1233">
        <v>411</v>
      </c>
      <c r="T1233">
        <v>155</v>
      </c>
      <c r="U1233">
        <v>0.81</v>
      </c>
      <c r="V1233">
        <v>209</v>
      </c>
      <c r="W1233">
        <v>0</v>
      </c>
      <c r="X1233">
        <v>0</v>
      </c>
      <c r="Y1233">
        <v>68.07</v>
      </c>
      <c r="Z1233">
        <v>1.18</v>
      </c>
      <c r="AA1233">
        <v>0</v>
      </c>
      <c r="AB1233">
        <v>0</v>
      </c>
      <c r="AC1233">
        <v>0</v>
      </c>
      <c r="AD1233">
        <v>0</v>
      </c>
      <c r="AE1233">
        <v>352</v>
      </c>
      <c r="AF1233">
        <v>0</v>
      </c>
      <c r="AG1233">
        <v>0</v>
      </c>
      <c r="AH1233">
        <v>0</v>
      </c>
      <c r="AI1233">
        <v>0</v>
      </c>
      <c r="AJ1233">
        <v>0</v>
      </c>
      <c r="AK1233">
        <v>0</v>
      </c>
      <c r="AL1233">
        <v>0</v>
      </c>
      <c r="AM1233">
        <v>0</v>
      </c>
      <c r="AN1233">
        <v>0</v>
      </c>
      <c r="AO1233">
        <v>0</v>
      </c>
      <c r="AP1233">
        <v>0.703</v>
      </c>
      <c r="AQ1233">
        <v>0.102</v>
      </c>
      <c r="AR1233">
        <v>0.106</v>
      </c>
      <c r="AS1233" s="3">
        <v>46107.7791087963</v>
      </c>
    </row>
    <row r="1234" ht="25.5" customHeight="1">
      <c r="A1234" t="inlineStr">
        <is>
          <t>6487e1b9000000000f00731c</t>
        </is>
      </c>
      <c r="B1234" s="2" t="str">
        <f>=HYPERLINK("https://www.xiaohongshu.com/user/profile/6487e1b9000000000f00731c", "https://www.xiaohongshu.com/user/profile/6487e1b9000000000f00731c")</f>
        <v>https://www.xiaohongshu.com/user/profile/6487e1b9000000000f00731c</v>
      </c>
      <c r="C1234" s="2" t="str">
        <f>=HYPERLINK("https://pgy.xiaohongshu.com/solar/pre-trade/blogger-detail/6487e1b9000000000f00731c", "https://pgy.xiaohongshu.com/solar/pre-trade/blogger-detail/6487e1b9000000000f00731c")</f>
        <v>https://pgy.xiaohongshu.com/solar/pre-trade/blogger-detail/6487e1b9000000000f00731c</v>
      </c>
      <c r="D1234" t="inlineStr">
        <is>
          <t>男</t>
        </is>
      </c>
      <c r="E1234" t="inlineStr">
        <is>
          <t>mujin202308</t>
        </is>
      </c>
      <c r="F1234" t="inlineStr">
        <is>
          <t>发疯木槿（考研版）</t>
        </is>
      </c>
      <c r="G1234" t="inlineStr">
        <is>
          <t>江西 新余 渝水区</t>
        </is>
      </c>
      <c r="H1234" t="inlineStr">
        <is>
          <t>学生</t>
        </is>
      </c>
      <c r="I1234" t="inlineStr">
        <is>
          <t>教育</t>
        </is>
      </c>
      <c r="J1234">
        <v>11284</v>
      </c>
      <c r="K1234" t="inlineStr">
        <is>
          <t>1.1</t>
        </is>
      </c>
      <c r="L1234">
        <v>16133</v>
      </c>
      <c r="M1234">
        <v>3381</v>
      </c>
      <c r="N1234">
        <v>135</v>
      </c>
      <c r="O1234">
        <v>1100</v>
      </c>
      <c r="P1234">
        <v>0</v>
      </c>
      <c r="Q1234">
        <v>0.5</v>
      </c>
      <c r="R1234">
        <v>16133</v>
      </c>
      <c r="S1234">
        <v>3381</v>
      </c>
      <c r="T1234">
        <v>119</v>
      </c>
      <c r="U1234">
        <v>0.57</v>
      </c>
      <c r="V1234">
        <v>1100</v>
      </c>
      <c r="W1234">
        <v>0</v>
      </c>
      <c r="X1234">
        <v>0</v>
      </c>
      <c r="Y1234">
        <v>71.89</v>
      </c>
      <c r="Z1234">
        <v>6.27</v>
      </c>
      <c r="AA1234">
        <v>17539</v>
      </c>
      <c r="AB1234">
        <v>3734</v>
      </c>
      <c r="AC1234">
        <v>177</v>
      </c>
      <c r="AD1234">
        <v>1.9</v>
      </c>
      <c r="AE1234">
        <v>1800</v>
      </c>
      <c r="AF1234">
        <v>1</v>
      </c>
      <c r="AG1234">
        <v>0</v>
      </c>
      <c r="AH1234">
        <v>0.075</v>
      </c>
      <c r="AI1234">
        <v>73.62</v>
      </c>
      <c r="AJ1234">
        <v>10.06</v>
      </c>
      <c r="AK1234">
        <v>28859</v>
      </c>
      <c r="AL1234">
        <v>5048</v>
      </c>
      <c r="AM1234">
        <v>168</v>
      </c>
      <c r="AN1234">
        <v>0</v>
      </c>
      <c r="AO1234">
        <v>0</v>
      </c>
      <c r="AP1234">
        <v>0.866</v>
      </c>
      <c r="AQ1234">
        <v>0.039</v>
      </c>
      <c r="AR1234">
        <v>-0.008</v>
      </c>
      <c r="AS1234" s="3">
        <v>46107.7791087963</v>
      </c>
    </row>
    <row r="1235" ht="25.5" customHeight="1">
      <c r="A1235" t="inlineStr">
        <is>
          <t>5cfcedf200000000110063e5</t>
        </is>
      </c>
      <c r="B1235" s="2" t="str">
        <f>=HYPERLINK("https://www.xiaohongshu.com/user/profile/5cfcedf200000000110063e5", "https://www.xiaohongshu.com/user/profile/5cfcedf200000000110063e5")</f>
        <v>https://www.xiaohongshu.com/user/profile/5cfcedf200000000110063e5</v>
      </c>
      <c r="C1235" s="2" t="str">
        <f>=HYPERLINK("https://pgy.xiaohongshu.com/solar/pre-trade/blogger-detail/5cfcedf200000000110063e5", "https://pgy.xiaohongshu.com/solar/pre-trade/blogger-detail/5cfcedf200000000110063e5")</f>
        <v>https://pgy.xiaohongshu.com/solar/pre-trade/blogger-detail/5cfcedf200000000110063e5</v>
      </c>
      <c r="D1235" t="inlineStr">
        <is>
          <t>女</t>
        </is>
      </c>
      <c r="E1235" t="inlineStr">
        <is>
          <t>935945963</t>
        </is>
      </c>
      <c r="F1235" t="inlineStr">
        <is>
          <t>葵葵✨（社会学干货分享版）</t>
        </is>
      </c>
      <c r="G1235" t="inlineStr">
        <is>
          <t>上海</t>
        </is>
      </c>
      <c r="H1235" t="inlineStr">
        <is>
          <t>学生</t>
        </is>
      </c>
      <c r="I1235" t="inlineStr">
        <is>
          <t>教育</t>
        </is>
      </c>
      <c r="J1235">
        <v>4329</v>
      </c>
      <c r="K1235" t="inlineStr">
        <is>
          <t>0.4</t>
        </is>
      </c>
      <c r="L1235">
        <v>3217</v>
      </c>
      <c r="M1235">
        <v>609</v>
      </c>
      <c r="N1235">
        <v>134</v>
      </c>
      <c r="O1235">
        <v>200</v>
      </c>
      <c r="P1235">
        <v>0</v>
      </c>
      <c r="Q1235">
        <v>0</v>
      </c>
      <c r="R1235">
        <v>3217</v>
      </c>
      <c r="S1235">
        <v>609</v>
      </c>
      <c r="T1235">
        <v>105</v>
      </c>
      <c r="U1235">
        <v>0.63</v>
      </c>
      <c r="V1235">
        <v>200</v>
      </c>
      <c r="W1235">
        <v>0</v>
      </c>
      <c r="X1235">
        <v>0</v>
      </c>
      <c r="Y1235">
        <v>62.17</v>
      </c>
      <c r="Z1235">
        <v>1.49</v>
      </c>
      <c r="AA1235">
        <v>0</v>
      </c>
      <c r="AB1235">
        <v>0</v>
      </c>
      <c r="AC1235">
        <v>0</v>
      </c>
      <c r="AD1235">
        <v>0</v>
      </c>
      <c r="AE1235">
        <v>350</v>
      </c>
      <c r="AF1235">
        <v>0</v>
      </c>
      <c r="AG1235">
        <v>0</v>
      </c>
      <c r="AH1235">
        <v>0</v>
      </c>
      <c r="AI1235">
        <v>0</v>
      </c>
      <c r="AJ1235">
        <v>0</v>
      </c>
      <c r="AK1235">
        <v>0</v>
      </c>
      <c r="AL1235">
        <v>0</v>
      </c>
      <c r="AM1235">
        <v>0</v>
      </c>
      <c r="AN1235">
        <v>0</v>
      </c>
      <c r="AO1235">
        <v>0</v>
      </c>
      <c r="AP1235">
        <v>0.8</v>
      </c>
      <c r="AQ1235">
        <v>0.048</v>
      </c>
      <c r="AR1235">
        <v>0.0139999999999999</v>
      </c>
      <c r="AS1235" s="3">
        <v>46107.7791087963</v>
      </c>
    </row>
    <row r="1236" ht="25.5" customHeight="1">
      <c r="A1236" t="inlineStr">
        <is>
          <t>678978e2000000000a03f1c0</t>
        </is>
      </c>
      <c r="B1236" s="2" t="str">
        <f>=HYPERLINK("https://www.xiaohongshu.com/user/profile/678978e2000000000a03f1c0", "https://www.xiaohongshu.com/user/profile/678978e2000000000a03f1c0")</f>
        <v>https://www.xiaohongshu.com/user/profile/678978e2000000000a03f1c0</v>
      </c>
      <c r="C1236" s="2" t="str">
        <f>=HYPERLINK("https://pgy.xiaohongshu.com/solar/pre-trade/blogger-detail/678978e2000000000a03f1c0", "https://pgy.xiaohongshu.com/solar/pre-trade/blogger-detail/678978e2000000000a03f1c0")</f>
        <v>https://pgy.xiaohongshu.com/solar/pre-trade/blogger-detail/678978e2000000000a03f1c0</v>
      </c>
      <c r="D1236" t="inlineStr">
        <is>
          <t>男</t>
        </is>
      </c>
      <c r="E1236" t="inlineStr">
        <is>
          <t>11580578591</t>
        </is>
      </c>
      <c r="F1236" t="inlineStr">
        <is>
          <t>Constantiel(乔纳斯)</t>
        </is>
      </c>
      <c r="G1236" t="inlineStr">
        <is>
          <t>挪威</t>
        </is>
      </c>
      <c r="H1236"/>
      <c r="I1236" t="inlineStr">
        <is>
          <t>教育, 生活记录</t>
        </is>
      </c>
      <c r="J1236">
        <v>3293</v>
      </c>
      <c r="K1236" t="inlineStr">
        <is>
          <t>0.3</t>
        </is>
      </c>
      <c r="L1236">
        <v>974</v>
      </c>
      <c r="M1236">
        <v>442</v>
      </c>
      <c r="N1236">
        <v>128</v>
      </c>
      <c r="O1236">
        <v>150</v>
      </c>
      <c r="P1236">
        <v>0</v>
      </c>
      <c r="Q1236">
        <v>0.437999999999999</v>
      </c>
      <c r="R1236">
        <v>0</v>
      </c>
      <c r="S1236">
        <v>0</v>
      </c>
      <c r="T1236">
        <v>0</v>
      </c>
      <c r="U1236">
        <v>0</v>
      </c>
      <c r="V1236">
        <v>150</v>
      </c>
      <c r="W1236">
        <v>0</v>
      </c>
      <c r="X1236">
        <v>0</v>
      </c>
      <c r="Y1236">
        <v>0</v>
      </c>
      <c r="Z1236">
        <v>0</v>
      </c>
      <c r="AA1236">
        <v>974</v>
      </c>
      <c r="AB1236">
        <v>442</v>
      </c>
      <c r="AC1236">
        <v>111</v>
      </c>
      <c r="AD1236">
        <v>2.29</v>
      </c>
      <c r="AE1236">
        <v>350</v>
      </c>
      <c r="AF1236">
        <v>0.437999999999999</v>
      </c>
      <c r="AG1236">
        <v>0</v>
      </c>
      <c r="AH1236">
        <v>0.068</v>
      </c>
      <c r="AI1236">
        <v>359.16</v>
      </c>
      <c r="AJ1236">
        <v>2.73</v>
      </c>
      <c r="AK1236">
        <v>0</v>
      </c>
      <c r="AL1236">
        <v>0</v>
      </c>
      <c r="AM1236">
        <v>0</v>
      </c>
      <c r="AN1236">
        <v>0</v>
      </c>
      <c r="AO1236">
        <v>0</v>
      </c>
      <c r="AP1236">
        <v>0.905</v>
      </c>
      <c r="AQ1236">
        <v>0.063</v>
      </c>
      <c r="AR1236">
        <v>0.065</v>
      </c>
      <c r="AS1236" s="3">
        <v>46107.7791087963</v>
      </c>
    </row>
    <row r="1237" ht="25.5" customHeight="1">
      <c r="A1237" t="inlineStr">
        <is>
          <t>60f9252d0000000001008465</t>
        </is>
      </c>
      <c r="B1237" s="2" t="str">
        <f>=HYPERLINK("https://www.xiaohongshu.com/user/profile/60f9252d0000000001008465", "https://www.xiaohongshu.com/user/profile/60f9252d0000000001008465")</f>
        <v>https://www.xiaohongshu.com/user/profile/60f9252d0000000001008465</v>
      </c>
      <c r="C1237" s="2" t="str">
        <f>=HYPERLINK("https://pgy.xiaohongshu.com/solar/pre-trade/blogger-detail/60f9252d0000000001008465", "https://pgy.xiaohongshu.com/solar/pre-trade/blogger-detail/60f9252d0000000001008465")</f>
        <v>https://pgy.xiaohongshu.com/solar/pre-trade/blogger-detail/60f9252d0000000001008465</v>
      </c>
      <c r="D1237" t="inlineStr">
        <is>
          <t>男</t>
        </is>
      </c>
      <c r="E1237" t="inlineStr">
        <is>
          <t>Raresty1e</t>
        </is>
      </c>
      <c r="F1237" t="inlineStr">
        <is>
          <t>书包仔（研0版</t>
        </is>
      </c>
      <c r="G1237" t="inlineStr">
        <is>
          <t>湖南 湘西土家族苗族自治州 龙山县</t>
        </is>
      </c>
      <c r="H1237"/>
      <c r="I1237"/>
      <c r="J1237">
        <v>1690</v>
      </c>
      <c r="K1237" t="inlineStr">
        <is>
          <t>0.2</t>
        </is>
      </c>
      <c r="L1237">
        <v>60772</v>
      </c>
      <c r="M1237">
        <v>17419</v>
      </c>
      <c r="N1237">
        <v>932</v>
      </c>
      <c r="O1237">
        <v>188</v>
      </c>
      <c r="P1237">
        <v>0</v>
      </c>
      <c r="Q1237">
        <v>1</v>
      </c>
      <c r="R1237">
        <v>60772</v>
      </c>
      <c r="S1237">
        <v>17419</v>
      </c>
      <c r="T1237">
        <v>737</v>
      </c>
      <c r="U1237">
        <v>0.31</v>
      </c>
      <c r="V1237">
        <v>188</v>
      </c>
      <c r="W1237">
        <v>1</v>
      </c>
      <c r="X1237">
        <v>0</v>
      </c>
      <c r="Y1237">
        <v>3.09</v>
      </c>
      <c r="Z1237">
        <v>0.2</v>
      </c>
      <c r="AA1237">
        <v>0</v>
      </c>
      <c r="AB1237">
        <v>0</v>
      </c>
      <c r="AC1237">
        <v>0</v>
      </c>
      <c r="AD1237">
        <v>0</v>
      </c>
      <c r="AE1237">
        <v>388</v>
      </c>
      <c r="AF1237">
        <v>0</v>
      </c>
      <c r="AG1237">
        <v>0</v>
      </c>
      <c r="AH1237">
        <v>0</v>
      </c>
      <c r="AI1237">
        <v>0</v>
      </c>
      <c r="AJ1237">
        <v>0</v>
      </c>
      <c r="AK1237">
        <v>0</v>
      </c>
      <c r="AL1237">
        <v>0</v>
      </c>
      <c r="AM1237">
        <v>0</v>
      </c>
      <c r="AN1237">
        <v>0</v>
      </c>
      <c r="AO1237">
        <v>0</v>
      </c>
      <c r="AP1237">
        <v>0.662</v>
      </c>
      <c r="AQ1237">
        <v>0.0289999999999999</v>
      </c>
      <c r="AR1237">
        <v>0.103</v>
      </c>
      <c r="AS1237" s="3">
        <v>46107.7791087963</v>
      </c>
    </row>
    <row r="1238" ht="25.5" customHeight="1">
      <c r="A1238" t="inlineStr">
        <is>
          <t>5b4ff9de11be102d43ef567f</t>
        </is>
      </c>
      <c r="B1238" s="2" t="str">
        <f>=HYPERLINK("https://www.xiaohongshu.com/user/profile/5b4ff9de11be102d43ef567f", "https://www.xiaohongshu.com/user/profile/5b4ff9de11be102d43ef567f")</f>
        <v>https://www.xiaohongshu.com/user/profile/5b4ff9de11be102d43ef567f</v>
      </c>
      <c r="C1238" s="2" t="str">
        <f>=HYPERLINK("https://pgy.xiaohongshu.com/solar/pre-trade/blogger-detail/5b4ff9de11be102d43ef567f", "https://pgy.xiaohongshu.com/solar/pre-trade/blogger-detail/5b4ff9de11be102d43ef567f")</f>
        <v>https://pgy.xiaohongshu.com/solar/pre-trade/blogger-detail/5b4ff9de11be102d43ef567f</v>
      </c>
      <c r="D1238" t="inlineStr">
        <is>
          <t>女</t>
        </is>
      </c>
      <c r="E1238" t="inlineStr">
        <is>
          <t>7298806240841374707</t>
        </is>
      </c>
      <c r="F1238" t="inlineStr">
        <is>
          <t>天才韩语小站</t>
        </is>
      </c>
      <c r="G1238" t="inlineStr">
        <is>
          <t>韩国</t>
        </is>
      </c>
      <c r="H1238" t="inlineStr">
        <is>
          <t>海外华人, 留学背景</t>
        </is>
      </c>
      <c r="I1238" t="inlineStr">
        <is>
          <t>教育</t>
        </is>
      </c>
      <c r="J1238">
        <v>9121</v>
      </c>
      <c r="K1238" t="inlineStr">
        <is>
          <t>0.9</t>
        </is>
      </c>
      <c r="L1238">
        <v>6726</v>
      </c>
      <c r="M1238">
        <v>694</v>
      </c>
      <c r="N1238">
        <v>113</v>
      </c>
      <c r="O1238">
        <v>253</v>
      </c>
      <c r="P1238">
        <v>0.048</v>
      </c>
      <c r="Q1238">
        <v>0.286</v>
      </c>
      <c r="R1238">
        <v>6726</v>
      </c>
      <c r="S1238">
        <v>694</v>
      </c>
      <c r="T1238">
        <v>94</v>
      </c>
      <c r="U1238">
        <v>0.66</v>
      </c>
      <c r="V1238">
        <v>253</v>
      </c>
      <c r="W1238">
        <v>0.286</v>
      </c>
      <c r="X1238">
        <v>0.048</v>
      </c>
      <c r="Y1238">
        <v>37.62</v>
      </c>
      <c r="Z1238">
        <v>2.24</v>
      </c>
      <c r="AA1238">
        <v>0</v>
      </c>
      <c r="AB1238">
        <v>0</v>
      </c>
      <c r="AC1238">
        <v>0</v>
      </c>
      <c r="AD1238">
        <v>0</v>
      </c>
      <c r="AE1238">
        <v>736</v>
      </c>
      <c r="AF1238">
        <v>0</v>
      </c>
      <c r="AG1238">
        <v>0</v>
      </c>
      <c r="AH1238">
        <v>0</v>
      </c>
      <c r="AI1238">
        <v>0</v>
      </c>
      <c r="AJ1238">
        <v>0</v>
      </c>
      <c r="AK1238">
        <v>0</v>
      </c>
      <c r="AL1238">
        <v>0</v>
      </c>
      <c r="AM1238">
        <v>0</v>
      </c>
      <c r="AN1238">
        <v>0</v>
      </c>
      <c r="AO1238">
        <v>0</v>
      </c>
      <c r="AP1238">
        <v>0.829</v>
      </c>
      <c r="AQ1238">
        <v>0.054</v>
      </c>
      <c r="AR1238">
        <v>0.018</v>
      </c>
      <c r="AS1238" s="3">
        <v>46107.7791087963</v>
      </c>
    </row>
    <row r="1239" ht="25.5" customHeight="1">
      <c r="A1239" t="inlineStr">
        <is>
          <t>5904058e82ec3948c586b430</t>
        </is>
      </c>
      <c r="B1239" s="2" t="str">
        <f>=HYPERLINK("https://www.xiaohongshu.com/user/profile/5904058e82ec3948c586b430", "https://www.xiaohongshu.com/user/profile/5904058e82ec3948c586b430")</f>
        <v>https://www.xiaohongshu.com/user/profile/5904058e82ec3948c586b430</v>
      </c>
      <c r="C1239" s="2" t="str">
        <f>=HYPERLINK("https://pgy.xiaohongshu.com/solar/pre-trade/blogger-detail/5904058e82ec3948c586b430", "https://pgy.xiaohongshu.com/solar/pre-trade/blogger-detail/5904058e82ec3948c586b430")</f>
        <v>https://pgy.xiaohongshu.com/solar/pre-trade/blogger-detail/5904058e82ec3948c586b430</v>
      </c>
      <c r="D1239" t="inlineStr">
        <is>
          <t>女</t>
        </is>
      </c>
      <c r="E1239" t="inlineStr">
        <is>
          <t>952618776</t>
        </is>
      </c>
      <c r="F1239" t="inlineStr">
        <is>
          <t>Blackni</t>
        </is>
      </c>
      <c r="G1239" t="inlineStr">
        <is>
          <t>上海</t>
        </is>
      </c>
      <c r="H1239"/>
      <c r="I1239" t="inlineStr">
        <is>
          <t>教育</t>
        </is>
      </c>
      <c r="J1239">
        <v>4668</v>
      </c>
      <c r="K1239" t="inlineStr">
        <is>
          <t>0.5</t>
        </is>
      </c>
      <c r="L1239">
        <v>14528</v>
      </c>
      <c r="M1239">
        <v>2071</v>
      </c>
      <c r="N1239">
        <v>369</v>
      </c>
      <c r="O1239">
        <v>200</v>
      </c>
      <c r="P1239">
        <v>0</v>
      </c>
      <c r="Q1239">
        <v>1</v>
      </c>
      <c r="R1239">
        <v>16624</v>
      </c>
      <c r="S1239">
        <v>2409</v>
      </c>
      <c r="T1239">
        <v>315</v>
      </c>
      <c r="U1239">
        <v>0.38</v>
      </c>
      <c r="V1239">
        <v>200</v>
      </c>
      <c r="W1239">
        <v>1</v>
      </c>
      <c r="X1239">
        <v>0</v>
      </c>
      <c r="Y1239">
        <v>12.03</v>
      </c>
      <c r="Z1239">
        <v>0.46</v>
      </c>
      <c r="AA1239">
        <v>0</v>
      </c>
      <c r="AB1239">
        <v>0</v>
      </c>
      <c r="AC1239">
        <v>0</v>
      </c>
      <c r="AD1239">
        <v>0</v>
      </c>
      <c r="AE1239">
        <v>300</v>
      </c>
      <c r="AF1239">
        <v>0</v>
      </c>
      <c r="AG1239">
        <v>0</v>
      </c>
      <c r="AH1239">
        <v>0</v>
      </c>
      <c r="AI1239">
        <v>0</v>
      </c>
      <c r="AJ1239">
        <v>0</v>
      </c>
      <c r="AK1239">
        <v>0</v>
      </c>
      <c r="AL1239">
        <v>0</v>
      </c>
      <c r="AM1239">
        <v>0</v>
      </c>
      <c r="AN1239">
        <v>0</v>
      </c>
      <c r="AO1239">
        <v>0</v>
      </c>
      <c r="AP1239">
        <v>0.962</v>
      </c>
      <c r="AQ1239">
        <v>0.081</v>
      </c>
      <c r="AR1239">
        <v>0.06</v>
      </c>
      <c r="AS1239" s="3">
        <v>46107.7791087963</v>
      </c>
    </row>
    <row r="1240" ht="25.5" customHeight="1">
      <c r="A1240" t="inlineStr">
        <is>
          <t>56777d049eb578796380e4a0</t>
        </is>
      </c>
      <c r="B1240" s="2" t="str">
        <f>=HYPERLINK("https://www.xiaohongshu.com/user/profile/56777d049eb578796380e4a0", "https://www.xiaohongshu.com/user/profile/56777d049eb578796380e4a0")</f>
        <v>https://www.xiaohongshu.com/user/profile/56777d049eb578796380e4a0</v>
      </c>
      <c r="C1240" s="2" t="str">
        <f>=HYPERLINK("https://pgy.xiaohongshu.com/solar/pre-trade/blogger-detail/56777d049eb578796380e4a0", "https://pgy.xiaohongshu.com/solar/pre-trade/blogger-detail/56777d049eb578796380e4a0")</f>
        <v>https://pgy.xiaohongshu.com/solar/pre-trade/blogger-detail/56777d049eb578796380e4a0</v>
      </c>
      <c r="D1240" t="inlineStr">
        <is>
          <t>女</t>
        </is>
      </c>
      <c r="E1240" t="inlineStr">
        <is>
          <t>phosphate</t>
        </is>
      </c>
      <c r="F1240" t="inlineStr">
        <is>
          <t>磷酸盐</t>
        </is>
      </c>
      <c r="G1240" t="inlineStr">
        <is>
          <t>法国</t>
        </is>
      </c>
      <c r="H1240" t="inlineStr">
        <is>
          <t>户外爱好者, 学生, 海外华人, 留学背景</t>
        </is>
      </c>
      <c r="I1240" t="inlineStr">
        <is>
          <t>美食</t>
        </is>
      </c>
      <c r="J1240">
        <v>3700</v>
      </c>
      <c r="K1240" t="inlineStr">
        <is>
          <t>0.4</t>
        </is>
      </c>
      <c r="L1240">
        <v>3445</v>
      </c>
      <c r="M1240">
        <v>520</v>
      </c>
      <c r="N1240">
        <v>121</v>
      </c>
      <c r="O1240">
        <v>340</v>
      </c>
      <c r="P1240">
        <v>0</v>
      </c>
      <c r="Q1240">
        <v>0.051</v>
      </c>
      <c r="R1240">
        <v>3682</v>
      </c>
      <c r="S1240">
        <v>520</v>
      </c>
      <c r="T1240">
        <v>106</v>
      </c>
      <c r="U1240">
        <v>0.95</v>
      </c>
      <c r="V1240">
        <v>340</v>
      </c>
      <c r="W1240">
        <v>0.0559999999999999</v>
      </c>
      <c r="X1240">
        <v>0</v>
      </c>
      <c r="Y1240">
        <v>92.34</v>
      </c>
      <c r="Z1240">
        <v>2.76</v>
      </c>
      <c r="AA1240">
        <v>2856</v>
      </c>
      <c r="AB1240">
        <v>702</v>
      </c>
      <c r="AC1240">
        <v>86</v>
      </c>
      <c r="AD1240">
        <v>2.47</v>
      </c>
      <c r="AE1240">
        <v>682</v>
      </c>
      <c r="AF1240">
        <v>0</v>
      </c>
      <c r="AG1240">
        <v>0</v>
      </c>
      <c r="AH1240">
        <v>0.545</v>
      </c>
      <c r="AI1240">
        <v>238.8</v>
      </c>
      <c r="AJ1240">
        <v>7.18</v>
      </c>
      <c r="AK1240">
        <v>0</v>
      </c>
      <c r="AL1240">
        <v>0</v>
      </c>
      <c r="AM1240">
        <v>0</v>
      </c>
      <c r="AN1240">
        <v>0</v>
      </c>
      <c r="AO1240">
        <v>0</v>
      </c>
      <c r="AP1240">
        <v>0.834</v>
      </c>
      <c r="AQ1240">
        <v>0.071</v>
      </c>
      <c r="AR1240">
        <v>0.016</v>
      </c>
      <c r="AS1240" s="3">
        <v>46107.7791087963</v>
      </c>
    </row>
    <row r="1241" ht="25.5" customHeight="1">
      <c r="A1241" t="inlineStr">
        <is>
          <t>678594c7000000000801ff18</t>
        </is>
      </c>
      <c r="B1241" s="2" t="str">
        <f>=HYPERLINK("https://www.xiaohongshu.com/user/profile/678594c7000000000801ff18", "https://www.xiaohongshu.com/user/profile/678594c7000000000801ff18")</f>
        <v>https://www.xiaohongshu.com/user/profile/678594c7000000000801ff18</v>
      </c>
      <c r="C1241" s="2" t="str">
        <f>=HYPERLINK("https://pgy.xiaohongshu.com/solar/pre-trade/blogger-detail/678594c7000000000801ff18", "https://pgy.xiaohongshu.com/solar/pre-trade/blogger-detail/678594c7000000000801ff18")</f>
        <v>https://pgy.xiaohongshu.com/solar/pre-trade/blogger-detail/678594c7000000000801ff18</v>
      </c>
      <c r="D1241" t="inlineStr">
        <is>
          <t>女</t>
        </is>
      </c>
      <c r="E1241" t="inlineStr">
        <is>
          <t>95436829369</t>
        </is>
      </c>
      <c r="F1241" t="inlineStr">
        <is>
          <t>Löwe 洛薇</t>
        </is>
      </c>
      <c r="G1241" t="inlineStr">
        <is>
          <t>日本</t>
        </is>
      </c>
      <c r="H1241"/>
      <c r="I1241" t="inlineStr">
        <is>
          <t>教育</t>
        </is>
      </c>
      <c r="J1241">
        <v>8080</v>
      </c>
      <c r="K1241" t="inlineStr">
        <is>
          <t>0.8</t>
        </is>
      </c>
      <c r="L1241">
        <v>1154</v>
      </c>
      <c r="M1241">
        <v>409</v>
      </c>
      <c r="N1241">
        <v>125</v>
      </c>
      <c r="O1241">
        <v>350</v>
      </c>
      <c r="P1241">
        <v>0</v>
      </c>
      <c r="Q1241">
        <v>0.5</v>
      </c>
      <c r="R1241">
        <v>0</v>
      </c>
      <c r="S1241">
        <v>0</v>
      </c>
      <c r="T1241">
        <v>0</v>
      </c>
      <c r="U1241">
        <v>0</v>
      </c>
      <c r="V1241">
        <v>350</v>
      </c>
      <c r="W1241">
        <v>0</v>
      </c>
      <c r="X1241">
        <v>0</v>
      </c>
      <c r="Y1241">
        <v>0</v>
      </c>
      <c r="Z1241">
        <v>0</v>
      </c>
      <c r="AA1241">
        <v>1154</v>
      </c>
      <c r="AB1241">
        <v>409</v>
      </c>
      <c r="AC1241">
        <v>109</v>
      </c>
      <c r="AD1241">
        <v>3.33</v>
      </c>
      <c r="AE1241">
        <v>750</v>
      </c>
      <c r="AF1241">
        <v>0.5</v>
      </c>
      <c r="AG1241">
        <v>0</v>
      </c>
      <c r="AH1241">
        <v>0.061</v>
      </c>
      <c r="AI1241">
        <v>649.91</v>
      </c>
      <c r="AJ1241">
        <v>6</v>
      </c>
      <c r="AK1241">
        <v>0</v>
      </c>
      <c r="AL1241">
        <v>0</v>
      </c>
      <c r="AM1241">
        <v>0</v>
      </c>
      <c r="AN1241">
        <v>0</v>
      </c>
      <c r="AO1241">
        <v>0</v>
      </c>
      <c r="AP1241">
        <v>0.859</v>
      </c>
      <c r="AQ1241">
        <v>0.031</v>
      </c>
      <c r="AR1241">
        <v>0.026</v>
      </c>
      <c r="AS1241" s="3">
        <v>46107.77930555555</v>
      </c>
    </row>
    <row r="1242" ht="25.5" customHeight="1">
      <c r="A1242" t="inlineStr">
        <is>
          <t>639f13fa0000000026010691</t>
        </is>
      </c>
      <c r="B1242" s="2" t="str">
        <f>=HYPERLINK("https://www.xiaohongshu.com/user/profile/639f13fa0000000026010691", "https://www.xiaohongshu.com/user/profile/639f13fa0000000026010691")</f>
        <v>https://www.xiaohongshu.com/user/profile/639f13fa0000000026010691</v>
      </c>
      <c r="C1242" s="2" t="str">
        <f>=HYPERLINK("https://pgy.xiaohongshu.com/solar/pre-trade/blogger-detail/639f13fa0000000026010691", "https://pgy.xiaohongshu.com/solar/pre-trade/blogger-detail/639f13fa0000000026010691")</f>
        <v>https://pgy.xiaohongshu.com/solar/pre-trade/blogger-detail/639f13fa0000000026010691</v>
      </c>
      <c r="D1242" t="inlineStr">
        <is>
          <t>男</t>
        </is>
      </c>
      <c r="E1242" t="inlineStr">
        <is>
          <t>3851181783</t>
        </is>
      </c>
      <c r="F1242" t="inlineStr">
        <is>
          <t>奥利给</t>
        </is>
      </c>
      <c r="G1242" t="inlineStr">
        <is>
          <t>湖北 襄阳 樊城区</t>
        </is>
      </c>
      <c r="H1242" t="inlineStr">
        <is>
          <t>学生</t>
        </is>
      </c>
      <c r="I1242" t="inlineStr">
        <is>
          <t>教育</t>
        </is>
      </c>
      <c r="J1242">
        <v>1609</v>
      </c>
      <c r="K1242" t="inlineStr">
        <is>
          <t>0.2</t>
        </is>
      </c>
      <c r="L1242">
        <v>5119</v>
      </c>
      <c r="M1242">
        <v>872</v>
      </c>
      <c r="N1242">
        <v>113</v>
      </c>
      <c r="O1242">
        <v>150</v>
      </c>
      <c r="P1242">
        <v>0</v>
      </c>
      <c r="Q1242">
        <v>0.182</v>
      </c>
      <c r="R1242">
        <v>5504</v>
      </c>
      <c r="S1242">
        <v>947</v>
      </c>
      <c r="T1242">
        <v>104</v>
      </c>
      <c r="U1242">
        <v>0.46</v>
      </c>
      <c r="V1242">
        <v>150</v>
      </c>
      <c r="W1242">
        <v>0.2</v>
      </c>
      <c r="X1242">
        <v>0</v>
      </c>
      <c r="Y1242">
        <v>27.25</v>
      </c>
      <c r="Z1242">
        <v>1.22</v>
      </c>
      <c r="AA1242">
        <v>183</v>
      </c>
      <c r="AB1242">
        <v>39</v>
      </c>
      <c r="AC1242">
        <v>1</v>
      </c>
      <c r="AD1242">
        <v>6.63</v>
      </c>
      <c r="AE1242">
        <v>200</v>
      </c>
      <c r="AF1242">
        <v>0</v>
      </c>
      <c r="AG1242">
        <v>0</v>
      </c>
      <c r="AH1242">
        <v>0.283</v>
      </c>
      <c r="AI1242">
        <v>1092.9</v>
      </c>
      <c r="AJ1242">
        <v>200</v>
      </c>
      <c r="AK1242">
        <v>0</v>
      </c>
      <c r="AL1242">
        <v>0</v>
      </c>
      <c r="AM1242">
        <v>0</v>
      </c>
      <c r="AN1242">
        <v>0</v>
      </c>
      <c r="AO1242">
        <v>0</v>
      </c>
      <c r="AP1242">
        <v>0.884</v>
      </c>
      <c r="AQ1242">
        <v>0.142</v>
      </c>
      <c r="AR1242">
        <v>0.206</v>
      </c>
      <c r="AS1242" s="3">
        <v>46107.77930555555</v>
      </c>
    </row>
    <row r="1243" ht="25.5" customHeight="1">
      <c r="A1243" t="inlineStr">
        <is>
          <t>5b6709d9e8ac2b68e759f6dc</t>
        </is>
      </c>
      <c r="B1243" s="2" t="str">
        <f>=HYPERLINK("https://www.xiaohongshu.com/user/profile/5b6709d9e8ac2b68e759f6dc", "https://www.xiaohongshu.com/user/profile/5b6709d9e8ac2b68e759f6dc")</f>
        <v>https://www.xiaohongshu.com/user/profile/5b6709d9e8ac2b68e759f6dc</v>
      </c>
      <c r="C1243" s="2" t="str">
        <f>=HYPERLINK("https://pgy.xiaohongshu.com/solar/pre-trade/blogger-detail/5b6709d9e8ac2b68e759f6dc", "https://pgy.xiaohongshu.com/solar/pre-trade/blogger-detail/5b6709d9e8ac2b68e759f6dc")</f>
        <v>https://pgy.xiaohongshu.com/solar/pre-trade/blogger-detail/5b6709d9e8ac2b68e759f6dc</v>
      </c>
      <c r="D1243" t="inlineStr">
        <is>
          <t>女</t>
        </is>
      </c>
      <c r="E1243" t="inlineStr">
        <is>
          <t>Y71114744031</t>
        </is>
      </c>
      <c r="F1243" t="inlineStr">
        <is>
          <t>刚刚（考研版）</t>
        </is>
      </c>
      <c r="G1243" t="inlineStr">
        <is>
          <t>河南 洛阳 洛龙区</t>
        </is>
      </c>
      <c r="H1243"/>
      <c r="I1243" t="inlineStr">
        <is>
          <t>教育</t>
        </is>
      </c>
      <c r="J1243">
        <v>43411</v>
      </c>
      <c r="K1243" t="inlineStr">
        <is>
          <t>4.3</t>
        </is>
      </c>
      <c r="L1243">
        <v>81780</v>
      </c>
      <c r="M1243">
        <v>13360</v>
      </c>
      <c r="N1243">
        <v>229</v>
      </c>
      <c r="O1243">
        <v>399</v>
      </c>
      <c r="P1243">
        <v>0.013</v>
      </c>
      <c r="Q1243">
        <v>0.401</v>
      </c>
      <c r="R1243">
        <v>81780</v>
      </c>
      <c r="S1243">
        <v>13360</v>
      </c>
      <c r="T1243">
        <v>103</v>
      </c>
      <c r="U1243">
        <v>0.33</v>
      </c>
      <c r="V1243">
        <v>399</v>
      </c>
      <c r="W1243">
        <v>0.401</v>
      </c>
      <c r="X1243">
        <v>0.013</v>
      </c>
      <c r="Y1243">
        <v>4.88</v>
      </c>
      <c r="Z1243">
        <v>1.74</v>
      </c>
      <c r="AA1243">
        <v>0</v>
      </c>
      <c r="AB1243">
        <v>0</v>
      </c>
      <c r="AC1243">
        <v>0</v>
      </c>
      <c r="AD1243">
        <v>0</v>
      </c>
      <c r="AE1243">
        <v>900</v>
      </c>
      <c r="AF1243">
        <v>0</v>
      </c>
      <c r="AG1243">
        <v>0</v>
      </c>
      <c r="AH1243">
        <v>0</v>
      </c>
      <c r="AI1243">
        <v>0</v>
      </c>
      <c r="AJ1243">
        <v>0</v>
      </c>
      <c r="AK1243">
        <v>0</v>
      </c>
      <c r="AL1243">
        <v>0</v>
      </c>
      <c r="AM1243">
        <v>0</v>
      </c>
      <c r="AN1243">
        <v>0</v>
      </c>
      <c r="AO1243">
        <v>0</v>
      </c>
      <c r="AP1243">
        <v>0.967</v>
      </c>
      <c r="AQ1243">
        <v>0.098</v>
      </c>
      <c r="AR1243">
        <v>0.634</v>
      </c>
      <c r="AS1243" s="3">
        <v>46107.77930555555</v>
      </c>
    </row>
    <row r="1244" ht="25.5" customHeight="1">
      <c r="A1244" t="inlineStr">
        <is>
          <t>5dfdfed90000000001003351</t>
        </is>
      </c>
      <c r="B1244" s="2" t="str">
        <f>=HYPERLINK("https://www.xiaohongshu.com/user/profile/5dfdfed90000000001003351", "https://www.xiaohongshu.com/user/profile/5dfdfed90000000001003351")</f>
        <v>https://www.xiaohongshu.com/user/profile/5dfdfed90000000001003351</v>
      </c>
      <c r="C1244" s="2" t="str">
        <f>=HYPERLINK("https://pgy.xiaohongshu.com/solar/pre-trade/blogger-detail/5dfdfed90000000001003351", "https://pgy.xiaohongshu.com/solar/pre-trade/blogger-detail/5dfdfed90000000001003351")</f>
        <v>https://pgy.xiaohongshu.com/solar/pre-trade/blogger-detail/5dfdfed90000000001003351</v>
      </c>
      <c r="D1244" t="inlineStr">
        <is>
          <t>男</t>
        </is>
      </c>
      <c r="E1244" t="inlineStr">
        <is>
          <t>S200006</t>
        </is>
      </c>
      <c r="F1244" t="inlineStr">
        <is>
          <t>秋冬</t>
        </is>
      </c>
      <c r="G1244" t="inlineStr">
        <is>
          <t>韩国</t>
        </is>
      </c>
      <c r="H1244" t="inlineStr">
        <is>
          <t>留学背景, 学生</t>
        </is>
      </c>
      <c r="I1244" t="inlineStr">
        <is>
          <t>教育, 运动健身</t>
        </is>
      </c>
      <c r="J1244">
        <v>1774</v>
      </c>
      <c r="K1244" t="inlineStr">
        <is>
          <t>0.2</t>
        </is>
      </c>
      <c r="L1244">
        <v>6568</v>
      </c>
      <c r="M1244">
        <v>1254</v>
      </c>
      <c r="N1244">
        <v>177</v>
      </c>
      <c r="O1244">
        <v>500</v>
      </c>
      <c r="P1244">
        <v>0</v>
      </c>
      <c r="Q1244">
        <v>0.6</v>
      </c>
      <c r="R1244">
        <v>0</v>
      </c>
      <c r="S1244">
        <v>0</v>
      </c>
      <c r="T1244">
        <v>0</v>
      </c>
      <c r="U1244">
        <v>0</v>
      </c>
      <c r="V1244">
        <v>500</v>
      </c>
      <c r="W1244">
        <v>0</v>
      </c>
      <c r="X1244">
        <v>0</v>
      </c>
      <c r="Y1244">
        <v>0</v>
      </c>
      <c r="Z1244">
        <v>0</v>
      </c>
      <c r="AA1244">
        <v>6568</v>
      </c>
      <c r="AB1244">
        <v>1254</v>
      </c>
      <c r="AC1244">
        <v>157</v>
      </c>
      <c r="AD1244">
        <v>1.9</v>
      </c>
      <c r="AE1244">
        <v>500</v>
      </c>
      <c r="AF1244">
        <v>0.6</v>
      </c>
      <c r="AG1244">
        <v>0</v>
      </c>
      <c r="AH1244">
        <v>0.272</v>
      </c>
      <c r="AI1244">
        <v>76.12</v>
      </c>
      <c r="AJ1244">
        <v>2.82</v>
      </c>
      <c r="AK1244">
        <v>0</v>
      </c>
      <c r="AL1244">
        <v>0</v>
      </c>
      <c r="AM1244">
        <v>0</v>
      </c>
      <c r="AN1244">
        <v>0</v>
      </c>
      <c r="AO1244">
        <v>0</v>
      </c>
      <c r="AP1244">
        <v>0.971</v>
      </c>
      <c r="AQ1244">
        <v>0.231</v>
      </c>
      <c r="AR1244">
        <v>0</v>
      </c>
      <c r="AS1244" s="3">
        <v>46107.77930555555</v>
      </c>
    </row>
    <row r="1245" ht="25.5" customHeight="1">
      <c r="A1245" t="inlineStr">
        <is>
          <t>63b28918000000002601068a</t>
        </is>
      </c>
      <c r="B1245" s="2" t="str">
        <f>=HYPERLINK("https://www.xiaohongshu.com/user/profile/63b28918000000002601068a", "https://www.xiaohongshu.com/user/profile/63b28918000000002601068a")</f>
        <v>https://www.xiaohongshu.com/user/profile/63b28918000000002601068a</v>
      </c>
      <c r="C1245" s="2" t="str">
        <f>=HYPERLINK("https://pgy.xiaohongshu.com/solar/pre-trade/blogger-detail/63b28918000000002601068a", "https://pgy.xiaohongshu.com/solar/pre-trade/blogger-detail/63b28918000000002601068a")</f>
        <v>https://pgy.xiaohongshu.com/solar/pre-trade/blogger-detail/63b28918000000002601068a</v>
      </c>
      <c r="D1245" t="inlineStr">
        <is>
          <t>女</t>
        </is>
      </c>
      <c r="E1245" t="inlineStr">
        <is>
          <t>5370476339</t>
        </is>
      </c>
      <c r="F1245" t="inlineStr">
        <is>
          <t>Letsspeak法语</t>
        </is>
      </c>
      <c r="G1245" t="inlineStr">
        <is>
          <t>上海</t>
        </is>
      </c>
      <c r="H1245" t="inlineStr">
        <is>
          <t>留学背景, 翻译</t>
        </is>
      </c>
      <c r="I1245" t="inlineStr">
        <is>
          <t>教育</t>
        </is>
      </c>
      <c r="J1245">
        <v>3623</v>
      </c>
      <c r="K1245" t="inlineStr">
        <is>
          <t>0.4</t>
        </is>
      </c>
      <c r="L1245">
        <v>15468</v>
      </c>
      <c r="M1245">
        <v>3231</v>
      </c>
      <c r="N1245">
        <v>480</v>
      </c>
      <c r="O1245">
        <v>170</v>
      </c>
      <c r="P1245">
        <v>0</v>
      </c>
      <c r="Q1245">
        <v>1</v>
      </c>
      <c r="R1245">
        <v>0</v>
      </c>
      <c r="S1245">
        <v>0</v>
      </c>
      <c r="T1245">
        <v>0</v>
      </c>
      <c r="U1245">
        <v>0</v>
      </c>
      <c r="V1245">
        <v>170</v>
      </c>
      <c r="W1245">
        <v>0</v>
      </c>
      <c r="X1245">
        <v>0</v>
      </c>
      <c r="Y1245">
        <v>0</v>
      </c>
      <c r="Z1245">
        <v>0</v>
      </c>
      <c r="AA1245">
        <v>15468</v>
      </c>
      <c r="AB1245">
        <v>3231</v>
      </c>
      <c r="AC1245">
        <v>237</v>
      </c>
      <c r="AD1245">
        <v>1.58</v>
      </c>
      <c r="AE1245">
        <v>270</v>
      </c>
      <c r="AF1245">
        <v>1</v>
      </c>
      <c r="AG1245">
        <v>0</v>
      </c>
      <c r="AH1245">
        <v>0.01</v>
      </c>
      <c r="AI1245">
        <v>17.46</v>
      </c>
      <c r="AJ1245">
        <v>0.56</v>
      </c>
      <c r="AK1245">
        <v>0</v>
      </c>
      <c r="AL1245">
        <v>0</v>
      </c>
      <c r="AM1245">
        <v>0</v>
      </c>
      <c r="AN1245">
        <v>0</v>
      </c>
      <c r="AO1245">
        <v>0</v>
      </c>
      <c r="AP1245">
        <v>0.929</v>
      </c>
      <c r="AQ1245">
        <v>0.0279999999999999</v>
      </c>
      <c r="AR1245">
        <v>0.08</v>
      </c>
      <c r="AS1245" s="3">
        <v>46107.77930555555</v>
      </c>
    </row>
    <row r="1246" ht="25.5" customHeight="1">
      <c r="A1246" t="inlineStr">
        <is>
          <t>5d3823bf00000000110291a6</t>
        </is>
      </c>
      <c r="B1246" s="2" t="str">
        <f>=HYPERLINK("https://www.xiaohongshu.com/user/profile/5d3823bf00000000110291a6", "https://www.xiaohongshu.com/user/profile/5d3823bf00000000110291a6")</f>
        <v>https://www.xiaohongshu.com/user/profile/5d3823bf00000000110291a6</v>
      </c>
      <c r="C1246" s="2" t="str">
        <f>=HYPERLINK("https://pgy.xiaohongshu.com/solar/pre-trade/blogger-detail/5d3823bf00000000110291a6", "https://pgy.xiaohongshu.com/solar/pre-trade/blogger-detail/5d3823bf00000000110291a6")</f>
        <v>https://pgy.xiaohongshu.com/solar/pre-trade/blogger-detail/5d3823bf00000000110291a6</v>
      </c>
      <c r="D1246" t="inlineStr">
        <is>
          <t>男</t>
        </is>
      </c>
      <c r="E1246" t="inlineStr">
        <is>
          <t>847957564</t>
        </is>
      </c>
      <c r="F1246" t="inlineStr">
        <is>
          <t>巴沙发</t>
        </is>
      </c>
      <c r="G1246" t="inlineStr">
        <is>
          <t>江苏 南京 江宁区</t>
        </is>
      </c>
      <c r="H1246" t="inlineStr">
        <is>
          <t>学生</t>
        </is>
      </c>
      <c r="I1246" t="inlineStr">
        <is>
          <t>教育, 生活记录</t>
        </is>
      </c>
      <c r="J1246">
        <v>10988</v>
      </c>
      <c r="K1246" t="inlineStr">
        <is>
          <t>1.1</t>
        </is>
      </c>
      <c r="L1246">
        <v>36137</v>
      </c>
      <c r="M1246">
        <v>3858</v>
      </c>
      <c r="N1246">
        <v>345</v>
      </c>
      <c r="O1246">
        <v>500</v>
      </c>
      <c r="P1246">
        <v>0.2</v>
      </c>
      <c r="Q1246">
        <v>1</v>
      </c>
      <c r="R1246">
        <v>29337</v>
      </c>
      <c r="S1246">
        <v>2973</v>
      </c>
      <c r="T1246">
        <v>266</v>
      </c>
      <c r="U1246">
        <v>0.47</v>
      </c>
      <c r="V1246">
        <v>500</v>
      </c>
      <c r="W1246">
        <v>1</v>
      </c>
      <c r="X1246">
        <v>0.25</v>
      </c>
      <c r="Y1246">
        <v>17.04</v>
      </c>
      <c r="Z1246">
        <v>1.8</v>
      </c>
      <c r="AA1246">
        <v>36137</v>
      </c>
      <c r="AB1246">
        <v>4481</v>
      </c>
      <c r="AC1246">
        <v>482</v>
      </c>
      <c r="AD1246">
        <v>1.72</v>
      </c>
      <c r="AE1246">
        <v>1000</v>
      </c>
      <c r="AF1246">
        <v>1</v>
      </c>
      <c r="AG1246">
        <v>0</v>
      </c>
      <c r="AH1246">
        <v>0.003</v>
      </c>
      <c r="AI1246">
        <v>0</v>
      </c>
      <c r="AJ1246">
        <v>0</v>
      </c>
      <c r="AK1246">
        <v>0</v>
      </c>
      <c r="AL1246">
        <v>0</v>
      </c>
      <c r="AM1246">
        <v>0</v>
      </c>
      <c r="AN1246">
        <v>0</v>
      </c>
      <c r="AO1246">
        <v>0</v>
      </c>
      <c r="AP1246">
        <v>0.890999999999999</v>
      </c>
      <c r="AQ1246">
        <v>0.122</v>
      </c>
      <c r="AR1246">
        <v>0.161</v>
      </c>
      <c r="AS1246" s="3">
        <v>46107.77930555555</v>
      </c>
    </row>
    <row r="1247" ht="25.5" customHeight="1">
      <c r="A1247" t="inlineStr">
        <is>
          <t>63a5200a0000000026007a78</t>
        </is>
      </c>
      <c r="B1247" s="2" t="str">
        <f>=HYPERLINK("https://www.xiaohongshu.com/user/profile/63a5200a0000000026007a78", "https://www.xiaohongshu.com/user/profile/63a5200a0000000026007a78")</f>
        <v>https://www.xiaohongshu.com/user/profile/63a5200a0000000026007a78</v>
      </c>
      <c r="C1247" s="2" t="str">
        <f>=HYPERLINK("https://pgy.xiaohongshu.com/solar/pre-trade/blogger-detail/63a5200a0000000026007a78", "https://pgy.xiaohongshu.com/solar/pre-trade/blogger-detail/63a5200a0000000026007a78")</f>
        <v>https://pgy.xiaohongshu.com/solar/pre-trade/blogger-detail/63a5200a0000000026007a78</v>
      </c>
      <c r="D1247" t="inlineStr">
        <is>
          <t>女</t>
        </is>
      </c>
      <c r="E1247" t="inlineStr">
        <is>
          <t>3851261693</t>
        </is>
      </c>
      <c r="F1247" t="inlineStr">
        <is>
          <t>Study Chinese with Helen</t>
        </is>
      </c>
      <c r="G1247" t="inlineStr">
        <is>
          <t>北京</t>
        </is>
      </c>
      <c r="H1247"/>
      <c r="I1247" t="inlineStr">
        <is>
          <t>教育</t>
        </is>
      </c>
      <c r="J1247">
        <v>11243</v>
      </c>
      <c r="K1247" t="inlineStr">
        <is>
          <t>1.1</t>
        </is>
      </c>
      <c r="L1247">
        <v>2458</v>
      </c>
      <c r="M1247">
        <v>845</v>
      </c>
      <c r="N1247">
        <v>114</v>
      </c>
      <c r="O1247">
        <v>500</v>
      </c>
      <c r="P1247">
        <v>0</v>
      </c>
      <c r="Q1247">
        <v>0.25</v>
      </c>
      <c r="R1247">
        <v>0</v>
      </c>
      <c r="S1247">
        <v>0</v>
      </c>
      <c r="T1247">
        <v>0</v>
      </c>
      <c r="U1247">
        <v>0</v>
      </c>
      <c r="V1247">
        <v>500</v>
      </c>
      <c r="W1247">
        <v>0</v>
      </c>
      <c r="X1247">
        <v>0</v>
      </c>
      <c r="Y1247">
        <v>0</v>
      </c>
      <c r="Z1247">
        <v>0</v>
      </c>
      <c r="AA1247">
        <v>2458</v>
      </c>
      <c r="AB1247">
        <v>845</v>
      </c>
      <c r="AC1247">
        <v>105</v>
      </c>
      <c r="AD1247">
        <v>0</v>
      </c>
      <c r="AE1247">
        <v>0</v>
      </c>
      <c r="AF1247">
        <v>0.25</v>
      </c>
      <c r="AG1247">
        <v>0</v>
      </c>
      <c r="AH1247">
        <v>0.143</v>
      </c>
      <c r="AI1247">
        <v>0</v>
      </c>
      <c r="AJ1247">
        <v>0</v>
      </c>
      <c r="AK1247">
        <v>0</v>
      </c>
      <c r="AL1247">
        <v>0</v>
      </c>
      <c r="AM1247">
        <v>0</v>
      </c>
      <c r="AN1247">
        <v>0</v>
      </c>
      <c r="AO1247">
        <v>0</v>
      </c>
      <c r="AP1247">
        <v>0.79</v>
      </c>
      <c r="AQ1247">
        <v>0.037</v>
      </c>
      <c r="AR1247">
        <v>0.024</v>
      </c>
      <c r="AS1247" s="3">
        <v>46107.77930555555</v>
      </c>
    </row>
    <row r="1248" ht="25.5" customHeight="1">
      <c r="A1248" t="inlineStr">
        <is>
          <t>6777a45c000000001803dc01</t>
        </is>
      </c>
      <c r="B1248" s="2" t="str">
        <f>=HYPERLINK("https://www.xiaohongshu.com/user/profile/6777a45c000000001803dc01", "https://www.xiaohongshu.com/user/profile/6777a45c000000001803dc01")</f>
        <v>https://www.xiaohongshu.com/user/profile/6777a45c000000001803dc01</v>
      </c>
      <c r="C1248" s="2" t="str">
        <f>=HYPERLINK("https://pgy.xiaohongshu.com/solar/pre-trade/blogger-detail/6777a45c000000001803dc01", "https://pgy.xiaohongshu.com/solar/pre-trade/blogger-detail/6777a45c000000001803dc01")</f>
        <v>https://pgy.xiaohongshu.com/solar/pre-trade/blogger-detail/6777a45c000000001803dc01</v>
      </c>
      <c r="D1248" t="inlineStr">
        <is>
          <t>女</t>
        </is>
      </c>
      <c r="E1248" t="inlineStr">
        <is>
          <t>95575677129</t>
        </is>
      </c>
      <c r="F1248" t="inlineStr">
        <is>
          <t>小明爱英语</t>
        </is>
      </c>
      <c r="G1248" t="inlineStr">
        <is>
          <t>重庆</t>
        </is>
      </c>
      <c r="H1248"/>
      <c r="I1248" t="inlineStr">
        <is>
          <t>教育</t>
        </is>
      </c>
      <c r="J1248">
        <v>3268</v>
      </c>
      <c r="K1248" t="inlineStr">
        <is>
          <t>0.3</t>
        </is>
      </c>
      <c r="L1248">
        <v>1283</v>
      </c>
      <c r="M1248">
        <v>580</v>
      </c>
      <c r="N1248">
        <v>133</v>
      </c>
      <c r="O1248">
        <v>170</v>
      </c>
      <c r="P1248">
        <v>0</v>
      </c>
      <c r="Q1248">
        <v>0.045</v>
      </c>
      <c r="R1248">
        <v>0</v>
      </c>
      <c r="S1248">
        <v>0</v>
      </c>
      <c r="T1248">
        <v>0</v>
      </c>
      <c r="U1248">
        <v>0</v>
      </c>
      <c r="V1248">
        <v>170</v>
      </c>
      <c r="W1248">
        <v>0</v>
      </c>
      <c r="X1248">
        <v>0</v>
      </c>
      <c r="Y1248">
        <v>0</v>
      </c>
      <c r="Z1248">
        <v>0</v>
      </c>
      <c r="AA1248">
        <v>1283</v>
      </c>
      <c r="AB1248">
        <v>580</v>
      </c>
      <c r="AC1248">
        <v>117</v>
      </c>
      <c r="AD1248">
        <v>1.94</v>
      </c>
      <c r="AE1248">
        <v>255</v>
      </c>
      <c r="AF1248">
        <v>0.045</v>
      </c>
      <c r="AG1248">
        <v>0</v>
      </c>
      <c r="AH1248">
        <v>0.278</v>
      </c>
      <c r="AI1248">
        <v>198.75</v>
      </c>
      <c r="AJ1248">
        <v>1.91</v>
      </c>
      <c r="AK1248">
        <v>0</v>
      </c>
      <c r="AL1248">
        <v>0</v>
      </c>
      <c r="AM1248">
        <v>0</v>
      </c>
      <c r="AN1248">
        <v>0</v>
      </c>
      <c r="AO1248">
        <v>0</v>
      </c>
      <c r="AP1248">
        <v>0.969</v>
      </c>
      <c r="AQ1248">
        <v>0.072</v>
      </c>
      <c r="AR1248">
        <v>0.102</v>
      </c>
      <c r="AS1248" s="3">
        <v>46107.77930555555</v>
      </c>
    </row>
    <row r="1249" ht="25.5" customHeight="1">
      <c r="A1249" t="inlineStr">
        <is>
          <t>634e0334000000001802e375</t>
        </is>
      </c>
      <c r="B1249" s="2" t="str">
        <f>=HYPERLINK("https://www.xiaohongshu.com/user/profile/634e0334000000001802e375", "https://www.xiaohongshu.com/user/profile/634e0334000000001802e375")</f>
        <v>https://www.xiaohongshu.com/user/profile/634e0334000000001802e375</v>
      </c>
      <c r="C1249" s="2" t="str">
        <f>=HYPERLINK("https://pgy.xiaohongshu.com/solar/pre-trade/blogger-detail/634e0334000000001802e375", "https://pgy.xiaohongshu.com/solar/pre-trade/blogger-detail/634e0334000000001802e375")</f>
        <v>https://pgy.xiaohongshu.com/solar/pre-trade/blogger-detail/634e0334000000001802e375</v>
      </c>
      <c r="D1249" t="inlineStr">
        <is>
          <t>男</t>
        </is>
      </c>
      <c r="E1249" t="inlineStr">
        <is>
          <t>5338865747</t>
        </is>
      </c>
      <c r="F1249" t="inlineStr">
        <is>
          <t>英语口语天天练</t>
        </is>
      </c>
      <c r="G1249" t="inlineStr">
        <is>
          <t>河南 郑州 中原区</t>
        </is>
      </c>
      <c r="H1249"/>
      <c r="I1249" t="inlineStr">
        <is>
          <t>教育</t>
        </is>
      </c>
      <c r="J1249">
        <v>10372</v>
      </c>
      <c r="K1249" t="inlineStr">
        <is>
          <t>1.0</t>
        </is>
      </c>
      <c r="L1249">
        <v>1170</v>
      </c>
      <c r="M1249">
        <v>775</v>
      </c>
      <c r="N1249">
        <v>117</v>
      </c>
      <c r="O1249">
        <v>150</v>
      </c>
      <c r="P1249">
        <v>0</v>
      </c>
      <c r="Q1249">
        <v>0.118</v>
      </c>
      <c r="R1249">
        <v>0</v>
      </c>
      <c r="S1249">
        <v>0</v>
      </c>
      <c r="T1249">
        <v>0</v>
      </c>
      <c r="U1249">
        <v>0</v>
      </c>
      <c r="V1249">
        <v>150</v>
      </c>
      <c r="W1249">
        <v>0</v>
      </c>
      <c r="X1249">
        <v>0</v>
      </c>
      <c r="Y1249">
        <v>0</v>
      </c>
      <c r="Z1249">
        <v>0</v>
      </c>
      <c r="AA1249">
        <v>1170</v>
      </c>
      <c r="AB1249">
        <v>775</v>
      </c>
      <c r="AC1249">
        <v>67</v>
      </c>
      <c r="AD1249">
        <v>2.15</v>
      </c>
      <c r="AE1249">
        <v>500</v>
      </c>
      <c r="AF1249">
        <v>0.118</v>
      </c>
      <c r="AG1249">
        <v>0</v>
      </c>
      <c r="AH1249">
        <v>0.407</v>
      </c>
      <c r="AI1249">
        <v>427.35</v>
      </c>
      <c r="AJ1249">
        <v>4.27</v>
      </c>
      <c r="AK1249">
        <v>0</v>
      </c>
      <c r="AL1249">
        <v>0</v>
      </c>
      <c r="AM1249">
        <v>0</v>
      </c>
      <c r="AN1249">
        <v>0</v>
      </c>
      <c r="AO1249">
        <v>0</v>
      </c>
      <c r="AP1249">
        <v>0.88</v>
      </c>
      <c r="AQ1249">
        <v>0.039</v>
      </c>
      <c r="AR1249">
        <v>0.086</v>
      </c>
      <c r="AS1249" s="3">
        <v>46107.77930555555</v>
      </c>
    </row>
    <row r="1250" ht="25.5" customHeight="1">
      <c r="A1250" t="inlineStr">
        <is>
          <t>5ccc0c00000000001201ba6b</t>
        </is>
      </c>
      <c r="B1250" s="2" t="str">
        <f>=HYPERLINK("https://www.xiaohongshu.com/user/profile/5ccc0c00000000001201ba6b", "https://www.xiaohongshu.com/user/profile/5ccc0c00000000001201ba6b")</f>
        <v>https://www.xiaohongshu.com/user/profile/5ccc0c00000000001201ba6b</v>
      </c>
      <c r="C1250" s="2" t="str">
        <f>=HYPERLINK("https://pgy.xiaohongshu.com/solar/pre-trade/blogger-detail/5ccc0c00000000001201ba6b", "https://pgy.xiaohongshu.com/solar/pre-trade/blogger-detail/5ccc0c00000000001201ba6b")</f>
        <v>https://pgy.xiaohongshu.com/solar/pre-trade/blogger-detail/5ccc0c00000000001201ba6b</v>
      </c>
      <c r="D1250" t="inlineStr">
        <is>
          <t>男</t>
        </is>
      </c>
      <c r="E1250" t="inlineStr">
        <is>
          <t>994583177</t>
        </is>
      </c>
      <c r="F1250" t="inlineStr">
        <is>
          <t>霍西33</t>
        </is>
      </c>
      <c r="G1250" t="inlineStr">
        <is>
          <t>北京</t>
        </is>
      </c>
      <c r="H1250"/>
      <c r="I1250" t="inlineStr">
        <is>
          <t>教育, 生活记录</t>
        </is>
      </c>
      <c r="J1250">
        <v>1587</v>
      </c>
      <c r="K1250" t="inlineStr">
        <is>
          <t>0.2</t>
        </is>
      </c>
      <c r="L1250">
        <v>10898</v>
      </c>
      <c r="M1250">
        <v>2297</v>
      </c>
      <c r="N1250">
        <v>141</v>
      </c>
      <c r="O1250">
        <v>200</v>
      </c>
      <c r="P1250">
        <v>0</v>
      </c>
      <c r="Q1250">
        <v>0</v>
      </c>
      <c r="R1250">
        <v>15273</v>
      </c>
      <c r="S1250">
        <v>3015</v>
      </c>
      <c r="T1250">
        <v>116</v>
      </c>
      <c r="U1250">
        <v>0.37</v>
      </c>
      <c r="V1250">
        <v>200</v>
      </c>
      <c r="W1250">
        <v>0</v>
      </c>
      <c r="X1250">
        <v>0</v>
      </c>
      <c r="Y1250">
        <v>13.09</v>
      </c>
      <c r="Z1250">
        <v>1.36</v>
      </c>
      <c r="AA1250">
        <v>0</v>
      </c>
      <c r="AB1250">
        <v>0</v>
      </c>
      <c r="AC1250">
        <v>0</v>
      </c>
      <c r="AD1250">
        <v>0</v>
      </c>
      <c r="AE1250">
        <v>200</v>
      </c>
      <c r="AF1250">
        <v>0</v>
      </c>
      <c r="AG1250">
        <v>0</v>
      </c>
      <c r="AH1250">
        <v>0</v>
      </c>
      <c r="AI1250">
        <v>0</v>
      </c>
      <c r="AJ1250">
        <v>0</v>
      </c>
      <c r="AK1250">
        <v>0</v>
      </c>
      <c r="AL1250">
        <v>0</v>
      </c>
      <c r="AM1250">
        <v>0</v>
      </c>
      <c r="AN1250">
        <v>0</v>
      </c>
      <c r="AO1250">
        <v>0</v>
      </c>
      <c r="AP1250">
        <v>0.843</v>
      </c>
      <c r="AQ1250">
        <v>0.03</v>
      </c>
      <c r="AR1250">
        <v>0.01</v>
      </c>
      <c r="AS1250" s="3">
        <v>46107.77930555555</v>
      </c>
    </row>
    <row r="1251" ht="25.5" customHeight="1">
      <c r="A1251" t="inlineStr">
        <is>
          <t>65139f680000000023026183</t>
        </is>
      </c>
      <c r="B1251" s="2" t="str">
        <f>=HYPERLINK("https://www.xiaohongshu.com/user/profile/65139f680000000023026183", "https://www.xiaohongshu.com/user/profile/65139f680000000023026183")</f>
        <v>https://www.xiaohongshu.com/user/profile/65139f680000000023026183</v>
      </c>
      <c r="C1251" s="2" t="str">
        <f>=HYPERLINK("https://pgy.xiaohongshu.com/solar/pre-trade/blogger-detail/65139f680000000023026183", "https://pgy.xiaohongshu.com/solar/pre-trade/blogger-detail/65139f680000000023026183")</f>
        <v>https://pgy.xiaohongshu.com/solar/pre-trade/blogger-detail/65139f680000000023026183</v>
      </c>
      <c r="D1251" t="inlineStr">
        <is>
          <t>女</t>
        </is>
      </c>
      <c r="E1251" t="inlineStr">
        <is>
          <t>5887758643</t>
        </is>
      </c>
      <c r="F1251" t="inlineStr">
        <is>
          <t>倪倪倪倪好啊💋</t>
        </is>
      </c>
      <c r="G1251" t="inlineStr">
        <is>
          <t>上海</t>
        </is>
      </c>
      <c r="H1251" t="inlineStr">
        <is>
          <t>学生</t>
        </is>
      </c>
      <c r="I1251" t="inlineStr">
        <is>
          <t>时尚, 生活记录</t>
        </is>
      </c>
      <c r="J1251">
        <v>4637</v>
      </c>
      <c r="K1251" t="inlineStr">
        <is>
          <t>0.5</t>
        </is>
      </c>
      <c r="L1251">
        <v>4890</v>
      </c>
      <c r="M1251">
        <v>846</v>
      </c>
      <c r="N1251">
        <v>161</v>
      </c>
      <c r="O1251">
        <v>500</v>
      </c>
      <c r="P1251">
        <v>0</v>
      </c>
      <c r="Q1251">
        <v>0.417</v>
      </c>
      <c r="R1251">
        <v>4890</v>
      </c>
      <c r="S1251">
        <v>846</v>
      </c>
      <c r="T1251">
        <v>147</v>
      </c>
      <c r="U1251">
        <v>0.89</v>
      </c>
      <c r="V1251">
        <v>500</v>
      </c>
      <c r="W1251">
        <v>0.417</v>
      </c>
      <c r="X1251">
        <v>0</v>
      </c>
      <c r="Y1251">
        <v>102.24</v>
      </c>
      <c r="Z1251">
        <v>3.11</v>
      </c>
      <c r="AA1251">
        <v>0</v>
      </c>
      <c r="AB1251">
        <v>0</v>
      </c>
      <c r="AC1251">
        <v>0</v>
      </c>
      <c r="AD1251">
        <v>0</v>
      </c>
      <c r="AE1251">
        <v>0</v>
      </c>
      <c r="AF1251">
        <v>0</v>
      </c>
      <c r="AG1251">
        <v>0</v>
      </c>
      <c r="AH1251">
        <v>0</v>
      </c>
      <c r="AI1251">
        <v>0</v>
      </c>
      <c r="AJ1251">
        <v>0</v>
      </c>
      <c r="AK1251">
        <v>0</v>
      </c>
      <c r="AL1251">
        <v>0</v>
      </c>
      <c r="AM1251">
        <v>0</v>
      </c>
      <c r="AN1251">
        <v>0</v>
      </c>
      <c r="AO1251">
        <v>0</v>
      </c>
      <c r="AP1251">
        <v>0.942</v>
      </c>
      <c r="AQ1251">
        <v>0.068</v>
      </c>
      <c r="AR1251">
        <v>0.016</v>
      </c>
      <c r="AS1251" s="3">
        <v>46107.77930555555</v>
      </c>
    </row>
    <row r="1252" ht="25.5" customHeight="1">
      <c r="A1252" t="inlineStr">
        <is>
          <t>5a1828bd11be1040378378a9</t>
        </is>
      </c>
      <c r="B1252" s="2" t="str">
        <f>=HYPERLINK("https://www.xiaohongshu.com/user/profile/5a1828bd11be1040378378a9", "https://www.xiaohongshu.com/user/profile/5a1828bd11be1040378378a9")</f>
        <v>https://www.xiaohongshu.com/user/profile/5a1828bd11be1040378378a9</v>
      </c>
      <c r="C1252" s="2" t="str">
        <f>=HYPERLINK("https://pgy.xiaohongshu.com/solar/pre-trade/blogger-detail/5a1828bd11be1040378378a9", "https://pgy.xiaohongshu.com/solar/pre-trade/blogger-detail/5a1828bd11be1040378378a9")</f>
        <v>https://pgy.xiaohongshu.com/solar/pre-trade/blogger-detail/5a1828bd11be1040378378a9</v>
      </c>
      <c r="D1252" t="inlineStr">
        <is>
          <t>女</t>
        </is>
      </c>
      <c r="E1252" t="inlineStr">
        <is>
          <t>423176614</t>
        </is>
      </c>
      <c r="F1252" t="inlineStr">
        <is>
          <t>Fiona雅托阅写提分</t>
        </is>
      </c>
      <c r="G1252" t="inlineStr">
        <is>
          <t>河南 郑州 金水区</t>
        </is>
      </c>
      <c r="H1252"/>
      <c r="I1252" t="inlineStr">
        <is>
          <t>教育</t>
        </is>
      </c>
      <c r="J1252">
        <v>1319</v>
      </c>
      <c r="K1252" t="inlineStr">
        <is>
          <t>0.1</t>
        </is>
      </c>
      <c r="L1252">
        <v>8461</v>
      </c>
      <c r="M1252">
        <v>1743</v>
      </c>
      <c r="N1252">
        <v>187</v>
      </c>
      <c r="O1252">
        <v>160</v>
      </c>
      <c r="P1252">
        <v>0</v>
      </c>
      <c r="Q1252">
        <v>0.25</v>
      </c>
      <c r="R1252">
        <v>8461</v>
      </c>
      <c r="S1252">
        <v>1743</v>
      </c>
      <c r="T1252">
        <v>158</v>
      </c>
      <c r="U1252">
        <v>0.39</v>
      </c>
      <c r="V1252">
        <v>160</v>
      </c>
      <c r="W1252">
        <v>0.25</v>
      </c>
      <c r="X1252">
        <v>0</v>
      </c>
      <c r="Y1252">
        <v>18.91</v>
      </c>
      <c r="Z1252">
        <v>0.85</v>
      </c>
      <c r="AA1252">
        <v>0</v>
      </c>
      <c r="AB1252">
        <v>0</v>
      </c>
      <c r="AC1252">
        <v>0</v>
      </c>
      <c r="AD1252">
        <v>0</v>
      </c>
      <c r="AE1252">
        <v>260</v>
      </c>
      <c r="AF1252">
        <v>0</v>
      </c>
      <c r="AG1252">
        <v>0</v>
      </c>
      <c r="AH1252">
        <v>0</v>
      </c>
      <c r="AI1252">
        <v>0</v>
      </c>
      <c r="AJ1252">
        <v>0</v>
      </c>
      <c r="AK1252">
        <v>0</v>
      </c>
      <c r="AL1252">
        <v>0</v>
      </c>
      <c r="AM1252">
        <v>0</v>
      </c>
      <c r="AN1252">
        <v>0</v>
      </c>
      <c r="AO1252">
        <v>0</v>
      </c>
      <c r="AP1252">
        <v>0.879</v>
      </c>
      <c r="AQ1252">
        <v>0.042</v>
      </c>
      <c r="AR1252">
        <v>0.055</v>
      </c>
      <c r="AS1252" s="3">
        <v>46107.77930555555</v>
      </c>
    </row>
    <row r="1253" ht="25.5" customHeight="1">
      <c r="A1253" t="inlineStr">
        <is>
          <t>61207c640000000001009174</t>
        </is>
      </c>
      <c r="B1253" s="2" t="str">
        <f>=HYPERLINK("https://www.xiaohongshu.com/user/profile/61207c640000000001009174", "https://www.xiaohongshu.com/user/profile/61207c640000000001009174")</f>
        <v>https://www.xiaohongshu.com/user/profile/61207c640000000001009174</v>
      </c>
      <c r="C1253" s="2" t="str">
        <f>=HYPERLINK("https://pgy.xiaohongshu.com/solar/pre-trade/blogger-detail/61207c640000000001009174", "https://pgy.xiaohongshu.com/solar/pre-trade/blogger-detail/61207c640000000001009174")</f>
        <v>https://pgy.xiaohongshu.com/solar/pre-trade/blogger-detail/61207c640000000001009174</v>
      </c>
      <c r="D1253" t="inlineStr">
        <is>
          <t>女</t>
        </is>
      </c>
      <c r="E1253" t="inlineStr">
        <is>
          <t>Mynancy327</t>
        </is>
      </c>
      <c r="F1253" t="inlineStr">
        <is>
          <t>小M豆er</t>
        </is>
      </c>
      <c r="G1253" t="inlineStr">
        <is>
          <t>日本</t>
        </is>
      </c>
      <c r="H1253" t="inlineStr">
        <is>
          <t>留学背景, 海外华人, 学生</t>
        </is>
      </c>
      <c r="I1253" t="inlineStr">
        <is>
          <t>时尚, 生活记录</t>
        </is>
      </c>
      <c r="J1253">
        <v>9013</v>
      </c>
      <c r="K1253" t="inlineStr">
        <is>
          <t>0.9</t>
        </is>
      </c>
      <c r="L1253">
        <v>12527</v>
      </c>
      <c r="M1253">
        <v>1980</v>
      </c>
      <c r="N1253">
        <v>117</v>
      </c>
      <c r="O1253">
        <v>300</v>
      </c>
      <c r="P1253">
        <v>0</v>
      </c>
      <c r="Q1253">
        <v>0.444</v>
      </c>
      <c r="R1253">
        <v>12527</v>
      </c>
      <c r="S1253">
        <v>1980</v>
      </c>
      <c r="T1253">
        <v>103</v>
      </c>
      <c r="U1253">
        <v>0.43</v>
      </c>
      <c r="V1253">
        <v>300</v>
      </c>
      <c r="W1253">
        <v>0.429</v>
      </c>
      <c r="X1253">
        <v>0</v>
      </c>
      <c r="Y1253">
        <v>24.78</v>
      </c>
      <c r="Z1253">
        <v>2.04</v>
      </c>
      <c r="AA1253">
        <v>11875</v>
      </c>
      <c r="AB1253">
        <v>1673</v>
      </c>
      <c r="AC1253">
        <v>109</v>
      </c>
      <c r="AD1253">
        <v>1.89</v>
      </c>
      <c r="AE1253">
        <v>650</v>
      </c>
      <c r="AF1253">
        <v>0.5</v>
      </c>
      <c r="AG1253">
        <v>0</v>
      </c>
      <c r="AH1253">
        <v>0.203</v>
      </c>
      <c r="AI1253">
        <v>54.74</v>
      </c>
      <c r="AJ1253">
        <v>4.87</v>
      </c>
      <c r="AK1253">
        <v>14754</v>
      </c>
      <c r="AL1253">
        <v>2524</v>
      </c>
      <c r="AM1253">
        <v>231</v>
      </c>
      <c r="AN1253">
        <v>0</v>
      </c>
      <c r="AO1253">
        <v>0</v>
      </c>
      <c r="AP1253">
        <v>0.815</v>
      </c>
      <c r="AQ1253">
        <v>0.036</v>
      </c>
      <c r="AR1253">
        <v>0.019</v>
      </c>
      <c r="AS1253" s="3">
        <v>46107.77930555555</v>
      </c>
    </row>
    <row r="1254" ht="25.5" customHeight="1">
      <c r="A1254" t="inlineStr">
        <is>
          <t>5d6bd7e90000000001003404</t>
        </is>
      </c>
      <c r="B1254" s="2" t="str">
        <f>=HYPERLINK("https://www.xiaohongshu.com/user/profile/5d6bd7e90000000001003404", "https://www.xiaohongshu.com/user/profile/5d6bd7e90000000001003404")</f>
        <v>https://www.xiaohongshu.com/user/profile/5d6bd7e90000000001003404</v>
      </c>
      <c r="C1254" s="2" t="str">
        <f>=HYPERLINK("https://pgy.xiaohongshu.com/solar/pre-trade/blogger-detail/5d6bd7e90000000001003404", "https://pgy.xiaohongshu.com/solar/pre-trade/blogger-detail/5d6bd7e90000000001003404")</f>
        <v>https://pgy.xiaohongshu.com/solar/pre-trade/blogger-detail/5d6bd7e90000000001003404</v>
      </c>
      <c r="D1254" t="inlineStr">
        <is>
          <t>男</t>
        </is>
      </c>
      <c r="E1254" t="inlineStr">
        <is>
          <t>872796620</t>
        </is>
      </c>
      <c r="F1254" t="inlineStr">
        <is>
          <t>李德钢🎹</t>
        </is>
      </c>
      <c r="G1254" t="inlineStr">
        <is>
          <t>德国</t>
        </is>
      </c>
      <c r="H1254"/>
      <c r="I1254" t="inlineStr">
        <is>
          <t>教育, 生活记录</t>
        </is>
      </c>
      <c r="J1254">
        <v>20782</v>
      </c>
      <c r="K1254" t="inlineStr">
        <is>
          <t>2.1</t>
        </is>
      </c>
      <c r="L1254">
        <v>13693</v>
      </c>
      <c r="M1254">
        <v>4517</v>
      </c>
      <c r="N1254">
        <v>360</v>
      </c>
      <c r="O1254">
        <v>880</v>
      </c>
      <c r="P1254">
        <v>0</v>
      </c>
      <c r="Q1254">
        <v>1</v>
      </c>
      <c r="R1254">
        <v>0</v>
      </c>
      <c r="S1254">
        <v>0</v>
      </c>
      <c r="T1254">
        <v>0</v>
      </c>
      <c r="U1254">
        <v>0</v>
      </c>
      <c r="V1254">
        <v>0</v>
      </c>
      <c r="W1254">
        <v>0</v>
      </c>
      <c r="X1254">
        <v>0</v>
      </c>
      <c r="Y1254">
        <v>0</v>
      </c>
      <c r="Z1254">
        <v>0</v>
      </c>
      <c r="AA1254">
        <v>13693</v>
      </c>
      <c r="AB1254">
        <v>4517</v>
      </c>
      <c r="AC1254">
        <v>335</v>
      </c>
      <c r="AD1254">
        <v>1.69</v>
      </c>
      <c r="AE1254">
        <v>880</v>
      </c>
      <c r="AF1254">
        <v>1</v>
      </c>
      <c r="AG1254">
        <v>0</v>
      </c>
      <c r="AH1254">
        <v>0.111999999999999</v>
      </c>
      <c r="AI1254">
        <v>64.27</v>
      </c>
      <c r="AJ1254">
        <v>2.44</v>
      </c>
      <c r="AK1254">
        <v>0</v>
      </c>
      <c r="AL1254">
        <v>0</v>
      </c>
      <c r="AM1254">
        <v>0</v>
      </c>
      <c r="AN1254">
        <v>0</v>
      </c>
      <c r="AO1254">
        <v>0</v>
      </c>
      <c r="AP1254">
        <v>0.932999999999999</v>
      </c>
      <c r="AQ1254">
        <v>0.043</v>
      </c>
      <c r="AR1254">
        <v>0.002</v>
      </c>
      <c r="AS1254" s="3">
        <v>46107.77930555555</v>
      </c>
    </row>
    <row r="1255" ht="25.5" customHeight="1">
      <c r="A1255" t="inlineStr">
        <is>
          <t>5f9d75d9000000000100a9ec</t>
        </is>
      </c>
      <c r="B1255" s="2" t="str">
        <f>=HYPERLINK("https://www.xiaohongshu.com/user/profile/5f9d75d9000000000100a9ec", "https://www.xiaohongshu.com/user/profile/5f9d75d9000000000100a9ec")</f>
        <v>https://www.xiaohongshu.com/user/profile/5f9d75d9000000000100a9ec</v>
      </c>
      <c r="C1255" s="2" t="str">
        <f>=HYPERLINK("https://pgy.xiaohongshu.com/solar/pre-trade/blogger-detail/5f9d75d9000000000100a9ec", "https://pgy.xiaohongshu.com/solar/pre-trade/blogger-detail/5f9d75d9000000000100a9ec")</f>
        <v>https://pgy.xiaohongshu.com/solar/pre-trade/blogger-detail/5f9d75d9000000000100a9ec</v>
      </c>
      <c r="D1255" t="inlineStr">
        <is>
          <t>男</t>
        </is>
      </c>
      <c r="E1255" t="inlineStr">
        <is>
          <t>1062970931</t>
        </is>
      </c>
      <c r="F1255" t="inlineStr">
        <is>
          <t>张扬聊泰国</t>
        </is>
      </c>
      <c r="G1255" t="inlineStr">
        <is>
          <t>广西 桂林 恭城瑶族自治县</t>
        </is>
      </c>
      <c r="H1255"/>
      <c r="I1255" t="inlineStr">
        <is>
          <t>教育</t>
        </is>
      </c>
      <c r="J1255">
        <v>8547</v>
      </c>
      <c r="K1255" t="inlineStr">
        <is>
          <t>0.9</t>
        </is>
      </c>
      <c r="L1255">
        <v>4021</v>
      </c>
      <c r="M1255">
        <v>2256</v>
      </c>
      <c r="N1255">
        <v>101</v>
      </c>
      <c r="O1255">
        <v>188</v>
      </c>
      <c r="P1255">
        <v>0</v>
      </c>
      <c r="Q1255">
        <v>0.332999999999999</v>
      </c>
      <c r="R1255">
        <v>0</v>
      </c>
      <c r="S1255">
        <v>0</v>
      </c>
      <c r="T1255">
        <v>0</v>
      </c>
      <c r="U1255">
        <v>0</v>
      </c>
      <c r="V1255">
        <v>188</v>
      </c>
      <c r="W1255">
        <v>0</v>
      </c>
      <c r="X1255">
        <v>0</v>
      </c>
      <c r="Y1255">
        <v>0</v>
      </c>
      <c r="Z1255">
        <v>0</v>
      </c>
      <c r="AA1255">
        <v>4021</v>
      </c>
      <c r="AB1255">
        <v>2256</v>
      </c>
      <c r="AC1255">
        <v>73</v>
      </c>
      <c r="AD1255">
        <v>1.71</v>
      </c>
      <c r="AE1255">
        <v>480</v>
      </c>
      <c r="AF1255">
        <v>0.332999999999999</v>
      </c>
      <c r="AG1255">
        <v>0</v>
      </c>
      <c r="AH1255">
        <v>0.145</v>
      </c>
      <c r="AI1255">
        <v>119.37</v>
      </c>
      <c r="AJ1255">
        <v>4.75</v>
      </c>
      <c r="AK1255">
        <v>0</v>
      </c>
      <c r="AL1255">
        <v>0</v>
      </c>
      <c r="AM1255">
        <v>0</v>
      </c>
      <c r="AN1255">
        <v>0</v>
      </c>
      <c r="AO1255">
        <v>0</v>
      </c>
      <c r="AP1255">
        <v>0.813</v>
      </c>
      <c r="AQ1255">
        <v>0.024</v>
      </c>
      <c r="AR1255">
        <v>0.019</v>
      </c>
      <c r="AS1255" s="3">
        <v>46107.77930555555</v>
      </c>
    </row>
    <row r="1256" ht="25.5" customHeight="1">
      <c r="A1256" t="inlineStr">
        <is>
          <t>618e7a62000000001000bac0</t>
        </is>
      </c>
      <c r="B1256" s="2" t="str">
        <f>=HYPERLINK("https://www.xiaohongshu.com/user/profile/618e7a62000000001000bac0", "https://www.xiaohongshu.com/user/profile/618e7a62000000001000bac0")</f>
        <v>https://www.xiaohongshu.com/user/profile/618e7a62000000001000bac0</v>
      </c>
      <c r="C1256" s="2" t="str">
        <f>=HYPERLINK("https://pgy.xiaohongshu.com/solar/pre-trade/blogger-detail/618e7a62000000001000bac0", "https://pgy.xiaohongshu.com/solar/pre-trade/blogger-detail/618e7a62000000001000bac0")</f>
        <v>https://pgy.xiaohongshu.com/solar/pre-trade/blogger-detail/618e7a62000000001000bac0</v>
      </c>
      <c r="D1256" t="inlineStr">
        <is>
          <t>女</t>
        </is>
      </c>
      <c r="E1256" t="inlineStr">
        <is>
          <t>6340814306</t>
        </is>
      </c>
      <c r="F1256" t="inlineStr">
        <is>
          <t>问君安好曾几道</t>
        </is>
      </c>
      <c r="G1256" t="inlineStr">
        <is>
          <t>江苏 苏州 常熟市</t>
        </is>
      </c>
      <c r="H1256"/>
      <c r="I1256" t="inlineStr">
        <is>
          <t>教育</t>
        </is>
      </c>
      <c r="J1256">
        <v>2073</v>
      </c>
      <c r="K1256" t="inlineStr">
        <is>
          <t>0.2</t>
        </is>
      </c>
      <c r="L1256">
        <v>1391</v>
      </c>
      <c r="M1256">
        <v>507</v>
      </c>
      <c r="N1256">
        <v>110</v>
      </c>
      <c r="O1256">
        <v>100</v>
      </c>
      <c r="P1256">
        <v>0.05</v>
      </c>
      <c r="Q1256">
        <v>0.45</v>
      </c>
      <c r="R1256">
        <v>549</v>
      </c>
      <c r="S1256">
        <v>44</v>
      </c>
      <c r="T1256">
        <v>2</v>
      </c>
      <c r="U1256">
        <v>1.9</v>
      </c>
      <c r="V1256">
        <v>100</v>
      </c>
      <c r="W1256">
        <v>0</v>
      </c>
      <c r="X1256">
        <v>0</v>
      </c>
      <c r="Y1256">
        <v>176.52</v>
      </c>
      <c r="Z1256">
        <v>8</v>
      </c>
      <c r="AA1256">
        <v>1603</v>
      </c>
      <c r="AB1256">
        <v>524</v>
      </c>
      <c r="AC1256">
        <v>109</v>
      </c>
      <c r="AD1256">
        <v>1.69</v>
      </c>
      <c r="AE1256">
        <v>100</v>
      </c>
      <c r="AF1256">
        <v>0.474</v>
      </c>
      <c r="AG1256">
        <v>0.053</v>
      </c>
      <c r="AH1256">
        <v>0.322</v>
      </c>
      <c r="AI1256">
        <v>62.38</v>
      </c>
      <c r="AJ1256">
        <v>0.89</v>
      </c>
      <c r="AK1256">
        <v>584</v>
      </c>
      <c r="AL1256">
        <v>81</v>
      </c>
      <c r="AM1256">
        <v>18</v>
      </c>
      <c r="AN1256">
        <v>0</v>
      </c>
      <c r="AO1256">
        <v>0</v>
      </c>
      <c r="AP1256">
        <v>0.904</v>
      </c>
      <c r="AQ1256">
        <v>0.05</v>
      </c>
      <c r="AR1256">
        <v>0.053</v>
      </c>
      <c r="AS1256" s="3">
        <v>46107.77930555555</v>
      </c>
    </row>
    <row r="1257" ht="25.5" customHeight="1">
      <c r="A1257" t="inlineStr">
        <is>
          <t>624ff911000000000d0331ee</t>
        </is>
      </c>
      <c r="B1257" s="2" t="str">
        <f>=HYPERLINK("https://www.xiaohongshu.com/user/profile/624ff911000000000d0331ee", "https://www.xiaohongshu.com/user/profile/624ff911000000000d0331ee")</f>
        <v>https://www.xiaohongshu.com/user/profile/624ff911000000000d0331ee</v>
      </c>
      <c r="C1257" s="2" t="str">
        <f>=HYPERLINK("https://pgy.xiaohongshu.com/solar/pre-trade/blogger-detail/624ff911000000000d0331ee", "https://pgy.xiaohongshu.com/solar/pre-trade/blogger-detail/624ff911000000000d0331ee")</f>
        <v>https://pgy.xiaohongshu.com/solar/pre-trade/blogger-detail/624ff911000000000d0331ee</v>
      </c>
      <c r="D1257" t="inlineStr">
        <is>
          <t>女</t>
        </is>
      </c>
      <c r="E1257" t="inlineStr">
        <is>
          <t>1320781574</t>
        </is>
      </c>
      <c r="F1257" t="inlineStr">
        <is>
          <t>扑咪扑咪</t>
        </is>
      </c>
      <c r="G1257" t="inlineStr">
        <is>
          <t>四川 成都 双流区</t>
        </is>
      </c>
      <c r="H1257"/>
      <c r="I1257" t="inlineStr">
        <is>
          <t>教育</t>
        </is>
      </c>
      <c r="J1257">
        <v>2496</v>
      </c>
      <c r="K1257" t="inlineStr">
        <is>
          <t>0.2</t>
        </is>
      </c>
      <c r="L1257">
        <v>71702</v>
      </c>
      <c r="M1257">
        <v>12095</v>
      </c>
      <c r="N1257">
        <v>1107</v>
      </c>
      <c r="O1257">
        <v>174</v>
      </c>
      <c r="P1257">
        <v>0</v>
      </c>
      <c r="Q1257">
        <v>1</v>
      </c>
      <c r="R1257">
        <v>71702</v>
      </c>
      <c r="S1257">
        <v>12095</v>
      </c>
      <c r="T1257">
        <v>837</v>
      </c>
      <c r="U1257">
        <v>0.31</v>
      </c>
      <c r="V1257">
        <v>174</v>
      </c>
      <c r="W1257">
        <v>1</v>
      </c>
      <c r="X1257">
        <v>0</v>
      </c>
      <c r="Y1257">
        <v>2.43</v>
      </c>
      <c r="Z1257">
        <v>0.16</v>
      </c>
      <c r="AA1257">
        <v>0</v>
      </c>
      <c r="AB1257">
        <v>0</v>
      </c>
      <c r="AC1257">
        <v>0</v>
      </c>
      <c r="AD1257">
        <v>0</v>
      </c>
      <c r="AE1257">
        <v>233</v>
      </c>
      <c r="AF1257">
        <v>0</v>
      </c>
      <c r="AG1257">
        <v>0</v>
      </c>
      <c r="AH1257">
        <v>0</v>
      </c>
      <c r="AI1257">
        <v>0</v>
      </c>
      <c r="AJ1257">
        <v>0</v>
      </c>
      <c r="AK1257">
        <v>0</v>
      </c>
      <c r="AL1257">
        <v>0</v>
      </c>
      <c r="AM1257">
        <v>0</v>
      </c>
      <c r="AN1257">
        <v>0</v>
      </c>
      <c r="AO1257">
        <v>0</v>
      </c>
      <c r="AP1257">
        <v>0.964</v>
      </c>
      <c r="AQ1257">
        <v>0.037</v>
      </c>
      <c r="AR1257">
        <v>0.1</v>
      </c>
      <c r="AS1257" s="3">
        <v>46107.77930555555</v>
      </c>
    </row>
    <row r="1258" ht="25.5" customHeight="1">
      <c r="A1258" t="inlineStr">
        <is>
          <t>5ca0c18d00000000170190d5</t>
        </is>
      </c>
      <c r="B1258" s="2" t="str">
        <f>=HYPERLINK("https://www.xiaohongshu.com/user/profile/5ca0c18d00000000170190d5", "https://www.xiaohongshu.com/user/profile/5ca0c18d00000000170190d5")</f>
        <v>https://www.xiaohongshu.com/user/profile/5ca0c18d00000000170190d5</v>
      </c>
      <c r="C1258" s="2" t="str">
        <f>=HYPERLINK("https://pgy.xiaohongshu.com/solar/pre-trade/blogger-detail/5ca0c18d00000000170190d5", "https://pgy.xiaohongshu.com/solar/pre-trade/blogger-detail/5ca0c18d00000000170190d5")</f>
        <v>https://pgy.xiaohongshu.com/solar/pre-trade/blogger-detail/5ca0c18d00000000170190d5</v>
      </c>
      <c r="D1258" t="inlineStr">
        <is>
          <t>男</t>
        </is>
      </c>
      <c r="E1258" t="inlineStr">
        <is>
          <t>kungfu1988</t>
        </is>
      </c>
      <c r="F1258" t="inlineStr">
        <is>
          <t>大席布莱克</t>
        </is>
      </c>
      <c r="G1258" t="inlineStr">
        <is>
          <t>陕西 西安 长安区</t>
        </is>
      </c>
      <c r="H1258"/>
      <c r="I1258" t="inlineStr">
        <is>
          <t>教育</t>
        </is>
      </c>
      <c r="J1258">
        <v>5664</v>
      </c>
      <c r="K1258" t="inlineStr">
        <is>
          <t>0.6</t>
        </is>
      </c>
      <c r="L1258">
        <v>16301</v>
      </c>
      <c r="M1258">
        <v>3626</v>
      </c>
      <c r="N1258">
        <v>179</v>
      </c>
      <c r="O1258">
        <v>500</v>
      </c>
      <c r="P1258">
        <v>0</v>
      </c>
      <c r="Q1258">
        <v>0.375</v>
      </c>
      <c r="R1258">
        <v>0</v>
      </c>
      <c r="S1258">
        <v>0</v>
      </c>
      <c r="T1258">
        <v>0</v>
      </c>
      <c r="U1258">
        <v>0</v>
      </c>
      <c r="V1258">
        <v>500</v>
      </c>
      <c r="W1258">
        <v>0</v>
      </c>
      <c r="X1258">
        <v>0</v>
      </c>
      <c r="Y1258">
        <v>0</v>
      </c>
      <c r="Z1258">
        <v>0</v>
      </c>
      <c r="AA1258">
        <v>16301</v>
      </c>
      <c r="AB1258">
        <v>3626</v>
      </c>
      <c r="AC1258">
        <v>134</v>
      </c>
      <c r="AD1258">
        <v>1.72</v>
      </c>
      <c r="AE1258">
        <v>800</v>
      </c>
      <c r="AF1258">
        <v>0.375</v>
      </c>
      <c r="AG1258">
        <v>0</v>
      </c>
      <c r="AH1258">
        <v>0.159</v>
      </c>
      <c r="AI1258">
        <v>49.08</v>
      </c>
      <c r="AJ1258">
        <v>4.46</v>
      </c>
      <c r="AK1258">
        <v>0</v>
      </c>
      <c r="AL1258">
        <v>0</v>
      </c>
      <c r="AM1258">
        <v>0</v>
      </c>
      <c r="AN1258">
        <v>0</v>
      </c>
      <c r="AO1258">
        <v>0</v>
      </c>
      <c r="AP1258">
        <v>0.894</v>
      </c>
      <c r="AQ1258">
        <v>0.054</v>
      </c>
      <c r="AR1258">
        <v>0.05</v>
      </c>
      <c r="AS1258" s="3">
        <v>46107.77930555555</v>
      </c>
    </row>
    <row r="1259" ht="25.5" customHeight="1">
      <c r="A1259" t="inlineStr">
        <is>
          <t>61d7a270000000001000b143</t>
        </is>
      </c>
      <c r="B1259" s="2" t="str">
        <f>=HYPERLINK("https://www.xiaohongshu.com/user/profile/61d7a270000000001000b143", "https://www.xiaohongshu.com/user/profile/61d7a270000000001000b143")</f>
        <v>https://www.xiaohongshu.com/user/profile/61d7a270000000001000b143</v>
      </c>
      <c r="C1259" s="2" t="str">
        <f>=HYPERLINK("https://pgy.xiaohongshu.com/solar/pre-trade/blogger-detail/61d7a270000000001000b143", "https://pgy.xiaohongshu.com/solar/pre-trade/blogger-detail/61d7a270000000001000b143")</f>
        <v>https://pgy.xiaohongshu.com/solar/pre-trade/blogger-detail/61d7a270000000001000b143</v>
      </c>
      <c r="D1259" t="inlineStr">
        <is>
          <t>男</t>
        </is>
      </c>
      <c r="E1259" t="inlineStr">
        <is>
          <t>x13695507437</t>
        </is>
      </c>
      <c r="F1259" t="inlineStr">
        <is>
          <t>法学牲Evan</t>
        </is>
      </c>
      <c r="G1259" t="inlineStr">
        <is>
          <t>上海</t>
        </is>
      </c>
      <c r="H1259" t="inlineStr">
        <is>
          <t>法律从业者, 法考过来人, 考研过来人, 学生</t>
        </is>
      </c>
      <c r="I1259" t="inlineStr">
        <is>
          <t>教育</t>
        </is>
      </c>
      <c r="J1259">
        <v>29588</v>
      </c>
      <c r="K1259" t="inlineStr">
        <is>
          <t>3.0</t>
        </is>
      </c>
      <c r="L1259">
        <v>127519</v>
      </c>
      <c r="M1259">
        <v>14923</v>
      </c>
      <c r="N1259">
        <v>5625</v>
      </c>
      <c r="O1259">
        <v>2200</v>
      </c>
      <c r="P1259">
        <v>1</v>
      </c>
      <c r="Q1259">
        <v>1</v>
      </c>
      <c r="R1259">
        <v>127519</v>
      </c>
      <c r="S1259">
        <v>14923</v>
      </c>
      <c r="T1259">
        <v>5472</v>
      </c>
      <c r="U1259">
        <v>0.45</v>
      </c>
      <c r="V1259">
        <v>2200</v>
      </c>
      <c r="W1259">
        <v>1</v>
      </c>
      <c r="X1259">
        <v>1</v>
      </c>
      <c r="Y1259">
        <v>17.25</v>
      </c>
      <c r="Z1259">
        <v>0.39</v>
      </c>
      <c r="AA1259">
        <v>0</v>
      </c>
      <c r="AB1259">
        <v>0</v>
      </c>
      <c r="AC1259">
        <v>0</v>
      </c>
      <c r="AD1259">
        <v>3.16</v>
      </c>
      <c r="AE1259">
        <v>3600</v>
      </c>
      <c r="AF1259">
        <v>0</v>
      </c>
      <c r="AG1259">
        <v>0</v>
      </c>
      <c r="AH1259">
        <v>0</v>
      </c>
      <c r="AI1259">
        <v>385.48</v>
      </c>
      <c r="AJ1259">
        <v>16.51</v>
      </c>
      <c r="AK1259">
        <v>17752</v>
      </c>
      <c r="AL1259">
        <v>2166</v>
      </c>
      <c r="AM1259">
        <v>183</v>
      </c>
      <c r="AN1259">
        <v>0</v>
      </c>
      <c r="AO1259">
        <v>244.79</v>
      </c>
      <c r="AP1259">
        <v>0.845</v>
      </c>
      <c r="AQ1259">
        <v>0.039</v>
      </c>
      <c r="AR1259">
        <v>0.023</v>
      </c>
      <c r="AS1259" s="3">
        <v>46107.77930555555</v>
      </c>
    </row>
    <row r="1260" ht="25.5" customHeight="1">
      <c r="A1260" t="inlineStr">
        <is>
          <t>67b1c31f0000000006010bfc</t>
        </is>
      </c>
      <c r="B1260" s="2" t="str">
        <f>=HYPERLINK("https://www.xiaohongshu.com/user/profile/67b1c31f0000000006010bfc", "https://www.xiaohongshu.com/user/profile/67b1c31f0000000006010bfc")</f>
        <v>https://www.xiaohongshu.com/user/profile/67b1c31f0000000006010bfc</v>
      </c>
      <c r="C1260" s="2" t="str">
        <f>=HYPERLINK("https://pgy.xiaohongshu.com/solar/pre-trade/blogger-detail/67b1c31f0000000006010bfc", "https://pgy.xiaohongshu.com/solar/pre-trade/blogger-detail/67b1c31f0000000006010bfc")</f>
        <v>https://pgy.xiaohongshu.com/solar/pre-trade/blogger-detail/67b1c31f0000000006010bfc</v>
      </c>
      <c r="D1260" t="inlineStr">
        <is>
          <t>女</t>
        </is>
      </c>
      <c r="E1260" t="inlineStr">
        <is>
          <t>95459627860</t>
        </is>
      </c>
      <c r="F1260" t="inlineStr">
        <is>
          <t>瞌睡熊熊</t>
        </is>
      </c>
      <c r="G1260" t="inlineStr">
        <is>
          <t>湖南 长沙 岳麓区</t>
        </is>
      </c>
      <c r="H1260"/>
      <c r="I1260" t="inlineStr">
        <is>
          <t>教育</t>
        </is>
      </c>
      <c r="J1260">
        <v>8669</v>
      </c>
      <c r="K1260" t="inlineStr">
        <is>
          <t>0.9</t>
        </is>
      </c>
      <c r="L1260">
        <v>10971</v>
      </c>
      <c r="M1260">
        <v>2882</v>
      </c>
      <c r="N1260">
        <v>930</v>
      </c>
      <c r="O1260">
        <v>449</v>
      </c>
      <c r="P1260">
        <v>0</v>
      </c>
      <c r="Q1260">
        <v>0.5</v>
      </c>
      <c r="R1260">
        <v>5685</v>
      </c>
      <c r="S1260">
        <v>1165</v>
      </c>
      <c r="T1260">
        <v>64</v>
      </c>
      <c r="U1260">
        <v>0.69</v>
      </c>
      <c r="V1260">
        <v>449</v>
      </c>
      <c r="W1260">
        <v>0</v>
      </c>
      <c r="X1260">
        <v>0</v>
      </c>
      <c r="Y1260">
        <v>78.98</v>
      </c>
      <c r="Z1260">
        <v>6.75</v>
      </c>
      <c r="AA1260">
        <v>12437</v>
      </c>
      <c r="AB1260">
        <v>5820</v>
      </c>
      <c r="AC1260">
        <v>1731</v>
      </c>
      <c r="AD1260">
        <v>1.64</v>
      </c>
      <c r="AE1260">
        <v>829</v>
      </c>
      <c r="AF1260">
        <v>1</v>
      </c>
      <c r="AG1260">
        <v>0</v>
      </c>
      <c r="AH1260">
        <v>0.017</v>
      </c>
      <c r="AI1260">
        <v>66.66</v>
      </c>
      <c r="AJ1260">
        <v>0.46</v>
      </c>
      <c r="AK1260">
        <v>0</v>
      </c>
      <c r="AL1260">
        <v>0</v>
      </c>
      <c r="AM1260">
        <v>0</v>
      </c>
      <c r="AN1260">
        <v>0</v>
      </c>
      <c r="AO1260">
        <v>0</v>
      </c>
      <c r="AP1260">
        <v>0.927</v>
      </c>
      <c r="AQ1260">
        <v>0.026</v>
      </c>
      <c r="AR1260">
        <v>-0.005</v>
      </c>
      <c r="AS1260" s="3">
        <v>46107.77930555555</v>
      </c>
    </row>
    <row r="1261" ht="25.5" customHeight="1">
      <c r="A1261" t="inlineStr">
        <is>
          <t>60353c110000000001003658</t>
        </is>
      </c>
      <c r="B1261" s="2" t="str">
        <f>=HYPERLINK("https://www.xiaohongshu.com/user/profile/60353c110000000001003658", "https://www.xiaohongshu.com/user/profile/60353c110000000001003658")</f>
        <v>https://www.xiaohongshu.com/user/profile/60353c110000000001003658</v>
      </c>
      <c r="C1261" s="2" t="str">
        <f>=HYPERLINK("https://pgy.xiaohongshu.com/solar/pre-trade/blogger-detail/60353c110000000001003658", "https://pgy.xiaohongshu.com/solar/pre-trade/blogger-detail/60353c110000000001003658")</f>
        <v>https://pgy.xiaohongshu.com/solar/pre-trade/blogger-detail/60353c110000000001003658</v>
      </c>
      <c r="D1261" t="inlineStr">
        <is>
          <t>女</t>
        </is>
      </c>
      <c r="E1261" t="inlineStr">
        <is>
          <t>Lutie2030</t>
        </is>
      </c>
      <c r="F1261" t="inlineStr">
        <is>
          <t>Lutie无限自由</t>
        </is>
      </c>
      <c r="G1261" t="inlineStr">
        <is>
          <t>广东 佛山 顺德区</t>
        </is>
      </c>
      <c r="H1261"/>
      <c r="I1261" t="inlineStr">
        <is>
          <t>教育</t>
        </is>
      </c>
      <c r="J1261">
        <v>7141</v>
      </c>
      <c r="K1261" t="inlineStr">
        <is>
          <t>0.7</t>
        </is>
      </c>
      <c r="L1261">
        <v>5842</v>
      </c>
      <c r="M1261">
        <v>1406</v>
      </c>
      <c r="N1261">
        <v>132</v>
      </c>
      <c r="O1261">
        <v>500</v>
      </c>
      <c r="P1261">
        <v>0</v>
      </c>
      <c r="Q1261">
        <v>0</v>
      </c>
      <c r="R1261">
        <v>8166</v>
      </c>
      <c r="S1261">
        <v>1406</v>
      </c>
      <c r="T1261">
        <v>117</v>
      </c>
      <c r="U1261">
        <v>0.66</v>
      </c>
      <c r="V1261">
        <v>500</v>
      </c>
      <c r="W1261">
        <v>0</v>
      </c>
      <c r="X1261">
        <v>0</v>
      </c>
      <c r="Y1261">
        <v>61.23</v>
      </c>
      <c r="Z1261">
        <v>3.79</v>
      </c>
      <c r="AA1261">
        <v>5824</v>
      </c>
      <c r="AB1261">
        <v>1303</v>
      </c>
      <c r="AC1261">
        <v>91</v>
      </c>
      <c r="AD1261">
        <v>2.42</v>
      </c>
      <c r="AE1261">
        <v>1200</v>
      </c>
      <c r="AF1261">
        <v>0</v>
      </c>
      <c r="AG1261">
        <v>0</v>
      </c>
      <c r="AH1261">
        <v>0.135</v>
      </c>
      <c r="AI1261">
        <v>206.04</v>
      </c>
      <c r="AJ1261">
        <v>10.81</v>
      </c>
      <c r="AK1261">
        <v>0</v>
      </c>
      <c r="AL1261">
        <v>0</v>
      </c>
      <c r="AM1261">
        <v>0</v>
      </c>
      <c r="AN1261">
        <v>0</v>
      </c>
      <c r="AO1261">
        <v>0</v>
      </c>
      <c r="AP1261">
        <v>0.946</v>
      </c>
      <c r="AQ1261">
        <v>0.05</v>
      </c>
      <c r="AR1261">
        <v>0.03</v>
      </c>
      <c r="AS1261" s="3">
        <v>46107.77954861111</v>
      </c>
    </row>
    <row r="1262" ht="25.5" customHeight="1">
      <c r="A1262" t="inlineStr">
        <is>
          <t>63916831000000001f01ef48</t>
        </is>
      </c>
      <c r="B1262" s="2" t="str">
        <f>=HYPERLINK("https://www.xiaohongshu.com/user/profile/63916831000000001f01ef48", "https://www.xiaohongshu.com/user/profile/63916831000000001f01ef48")</f>
        <v>https://www.xiaohongshu.com/user/profile/63916831000000001f01ef48</v>
      </c>
      <c r="C1262" s="2" t="str">
        <f>=HYPERLINK("https://pgy.xiaohongshu.com/solar/pre-trade/blogger-detail/63916831000000001f01ef48", "https://pgy.xiaohongshu.com/solar/pre-trade/blogger-detail/63916831000000001f01ef48")</f>
        <v>https://pgy.xiaohongshu.com/solar/pre-trade/blogger-detail/63916831000000001f01ef48</v>
      </c>
      <c r="D1262" t="inlineStr">
        <is>
          <t>女</t>
        </is>
      </c>
      <c r="E1262" t="inlineStr">
        <is>
          <t>3853649694</t>
        </is>
      </c>
      <c r="F1262" t="inlineStr">
        <is>
          <t>Nabla</t>
        </is>
      </c>
      <c r="G1262" t="inlineStr">
        <is>
          <t>山东 济南 长清区</t>
        </is>
      </c>
      <c r="H1262" t="inlineStr">
        <is>
          <t>学生</t>
        </is>
      </c>
      <c r="I1262" t="inlineStr">
        <is>
          <t>教育, 生活记录</t>
        </is>
      </c>
      <c r="J1262">
        <v>13477</v>
      </c>
      <c r="K1262" t="inlineStr">
        <is>
          <t>1.3</t>
        </is>
      </c>
      <c r="L1262">
        <v>51002</v>
      </c>
      <c r="M1262">
        <v>8530</v>
      </c>
      <c r="N1262">
        <v>529</v>
      </c>
      <c r="O1262">
        <v>1200</v>
      </c>
      <c r="P1262">
        <v>0.2</v>
      </c>
      <c r="Q1262">
        <v>1</v>
      </c>
      <c r="R1262">
        <v>51002</v>
      </c>
      <c r="S1262">
        <v>8530</v>
      </c>
      <c r="T1262">
        <v>389</v>
      </c>
      <c r="U1262">
        <v>0.44</v>
      </c>
      <c r="V1262">
        <v>1200</v>
      </c>
      <c r="W1262">
        <v>1</v>
      </c>
      <c r="X1262">
        <v>0.2</v>
      </c>
      <c r="Y1262">
        <v>23.53</v>
      </c>
      <c r="Z1262">
        <v>2.27</v>
      </c>
      <c r="AA1262">
        <v>0</v>
      </c>
      <c r="AB1262">
        <v>0</v>
      </c>
      <c r="AC1262">
        <v>0</v>
      </c>
      <c r="AD1262">
        <v>0</v>
      </c>
      <c r="AE1262">
        <v>1600</v>
      </c>
      <c r="AF1262">
        <v>0</v>
      </c>
      <c r="AG1262">
        <v>0</v>
      </c>
      <c r="AH1262">
        <v>0</v>
      </c>
      <c r="AI1262">
        <v>0</v>
      </c>
      <c r="AJ1262">
        <v>0</v>
      </c>
      <c r="AK1262">
        <v>0</v>
      </c>
      <c r="AL1262">
        <v>0</v>
      </c>
      <c r="AM1262">
        <v>0</v>
      </c>
      <c r="AN1262">
        <v>0</v>
      </c>
      <c r="AO1262">
        <v>0</v>
      </c>
      <c r="AP1262">
        <v>0.865</v>
      </c>
      <c r="AQ1262">
        <v>0.057</v>
      </c>
      <c r="AR1262">
        <v>0.102</v>
      </c>
      <c r="AS1262" s="3">
        <v>46107.77954861111</v>
      </c>
    </row>
    <row r="1263" ht="25.5" customHeight="1">
      <c r="A1263" t="inlineStr">
        <is>
          <t>5653ff954476080ee31fe7b4</t>
        </is>
      </c>
      <c r="B1263" s="2" t="str">
        <f>=HYPERLINK("https://www.xiaohongshu.com/user/profile/5653ff954476080ee31fe7b4", "https://www.xiaohongshu.com/user/profile/5653ff954476080ee31fe7b4")</f>
        <v>https://www.xiaohongshu.com/user/profile/5653ff954476080ee31fe7b4</v>
      </c>
      <c r="C1263" s="2" t="str">
        <f>=HYPERLINK("https://pgy.xiaohongshu.com/solar/pre-trade/blogger-detail/5653ff954476080ee31fe7b4", "https://pgy.xiaohongshu.com/solar/pre-trade/blogger-detail/5653ff954476080ee31fe7b4")</f>
        <v>https://pgy.xiaohongshu.com/solar/pre-trade/blogger-detail/5653ff954476080ee31fe7b4</v>
      </c>
      <c r="D1263" t="inlineStr">
        <is>
          <t>女</t>
        </is>
      </c>
      <c r="E1263" t="inlineStr">
        <is>
          <t>sandrama0117</t>
        </is>
      </c>
      <c r="F1263" t="inlineStr">
        <is>
          <t>EMMA妈 sandra</t>
        </is>
      </c>
      <c r="G1263" t="inlineStr">
        <is>
          <t>上海</t>
        </is>
      </c>
      <c r="H1263" t="inlineStr">
        <is>
          <t>6-12岁, 妈妈, 留学背景</t>
        </is>
      </c>
      <c r="I1263" t="inlineStr">
        <is>
          <t>教育</t>
        </is>
      </c>
      <c r="J1263">
        <v>298555</v>
      </c>
      <c r="K1263" t="inlineStr">
        <is>
          <t>29.9</t>
        </is>
      </c>
      <c r="L1263">
        <v>39056</v>
      </c>
      <c r="M1263">
        <v>6614</v>
      </c>
      <c r="N1263">
        <v>433</v>
      </c>
      <c r="O1263">
        <v>22000</v>
      </c>
      <c r="P1263">
        <v>0.061</v>
      </c>
      <c r="Q1263">
        <v>0.727</v>
      </c>
      <c r="R1263">
        <v>0</v>
      </c>
      <c r="S1263">
        <v>0</v>
      </c>
      <c r="T1263">
        <v>0</v>
      </c>
      <c r="U1263">
        <v>0</v>
      </c>
      <c r="V1263">
        <v>22000</v>
      </c>
      <c r="W1263">
        <v>0</v>
      </c>
      <c r="X1263">
        <v>0</v>
      </c>
      <c r="Y1263">
        <v>0</v>
      </c>
      <c r="Z1263">
        <v>0</v>
      </c>
      <c r="AA1263">
        <v>39056</v>
      </c>
      <c r="AB1263">
        <v>6614</v>
      </c>
      <c r="AC1263">
        <v>367</v>
      </c>
      <c r="AD1263">
        <v>8.42</v>
      </c>
      <c r="AE1263">
        <v>45800</v>
      </c>
      <c r="AF1263">
        <v>0.727</v>
      </c>
      <c r="AG1263">
        <v>0.061</v>
      </c>
      <c r="AH1263">
        <v>0.057</v>
      </c>
      <c r="AI1263">
        <v>1172.68</v>
      </c>
      <c r="AJ1263">
        <v>109.83</v>
      </c>
      <c r="AK1263">
        <v>36697</v>
      </c>
      <c r="AL1263">
        <v>9800</v>
      </c>
      <c r="AM1263">
        <v>171</v>
      </c>
      <c r="AN1263">
        <v>0</v>
      </c>
      <c r="AO1263">
        <v>0</v>
      </c>
      <c r="AP1263">
        <v>0.88</v>
      </c>
      <c r="AQ1263">
        <v>0.043</v>
      </c>
      <c r="AR1263">
        <v>0.013</v>
      </c>
      <c r="AS1263" s="3">
        <v>46107.77954861111</v>
      </c>
    </row>
    <row r="1264" ht="25.5" customHeight="1">
      <c r="A1264" t="inlineStr">
        <is>
          <t>5d195eb5000000001101b2a6</t>
        </is>
      </c>
      <c r="B1264" s="2" t="str">
        <f>=HYPERLINK("https://www.xiaohongshu.com/user/profile/5d195eb5000000001101b2a6", "https://www.xiaohongshu.com/user/profile/5d195eb5000000001101b2a6")</f>
        <v>https://www.xiaohongshu.com/user/profile/5d195eb5000000001101b2a6</v>
      </c>
      <c r="C1264" s="2" t="str">
        <f>=HYPERLINK("https://pgy.xiaohongshu.com/solar/pre-trade/blogger-detail/5d195eb5000000001101b2a6", "https://pgy.xiaohongshu.com/solar/pre-trade/blogger-detail/5d195eb5000000001101b2a6")</f>
        <v>https://pgy.xiaohongshu.com/solar/pre-trade/blogger-detail/5d195eb5000000001101b2a6</v>
      </c>
      <c r="D1264" t="inlineStr">
        <is>
          <t>女</t>
        </is>
      </c>
      <c r="E1264" t="inlineStr">
        <is>
          <t>english5566</t>
        </is>
      </c>
      <c r="F1264" t="inlineStr">
        <is>
          <t>华哥专升本英语</t>
        </is>
      </c>
      <c r="G1264" t="inlineStr">
        <is>
          <t>宁夏 吴忠 青铜峡市</t>
        </is>
      </c>
      <c r="H1264"/>
      <c r="I1264" t="inlineStr">
        <is>
          <t>教育</t>
        </is>
      </c>
      <c r="J1264">
        <v>10811</v>
      </c>
      <c r="K1264" t="inlineStr">
        <is>
          <t>1.1</t>
        </is>
      </c>
      <c r="L1264">
        <v>151739</v>
      </c>
      <c r="M1264">
        <v>40680</v>
      </c>
      <c r="N1264">
        <v>7248</v>
      </c>
      <c r="O1264">
        <v>500</v>
      </c>
      <c r="P1264">
        <v>1</v>
      </c>
      <c r="Q1264">
        <v>1</v>
      </c>
      <c r="R1264">
        <v>151739</v>
      </c>
      <c r="S1264">
        <v>40680</v>
      </c>
      <c r="T1264">
        <v>6746</v>
      </c>
      <c r="U1264">
        <v>0.31</v>
      </c>
      <c r="V1264">
        <v>500</v>
      </c>
      <c r="W1264">
        <v>1</v>
      </c>
      <c r="X1264">
        <v>1</v>
      </c>
      <c r="Y1264">
        <v>3.3</v>
      </c>
      <c r="Z1264">
        <v>0.07</v>
      </c>
      <c r="AA1264">
        <v>0</v>
      </c>
      <c r="AB1264">
        <v>0</v>
      </c>
      <c r="AC1264">
        <v>0</v>
      </c>
      <c r="AD1264">
        <v>0</v>
      </c>
      <c r="AE1264">
        <v>1000</v>
      </c>
      <c r="AF1264">
        <v>0</v>
      </c>
      <c r="AG1264">
        <v>0</v>
      </c>
      <c r="AH1264">
        <v>0</v>
      </c>
      <c r="AI1264">
        <v>0</v>
      </c>
      <c r="AJ1264">
        <v>0</v>
      </c>
      <c r="AK1264">
        <v>0</v>
      </c>
      <c r="AL1264">
        <v>0</v>
      </c>
      <c r="AM1264">
        <v>0</v>
      </c>
      <c r="AN1264">
        <v>0</v>
      </c>
      <c r="AO1264">
        <v>0</v>
      </c>
      <c r="AP1264">
        <v>0.598</v>
      </c>
      <c r="AQ1264">
        <v>0.009</v>
      </c>
      <c r="AR1264">
        <v>0.013</v>
      </c>
      <c r="AS1264" s="3">
        <v>46107.77954861111</v>
      </c>
    </row>
    <row r="1265" ht="25.5" customHeight="1">
      <c r="A1265" t="inlineStr">
        <is>
          <t>5ac84b34e8ac2b1f9f85e172</t>
        </is>
      </c>
      <c r="B1265" s="2" t="str">
        <f>=HYPERLINK("https://www.xiaohongshu.com/user/profile/5ac84b34e8ac2b1f9f85e172", "https://www.xiaohongshu.com/user/profile/5ac84b34e8ac2b1f9f85e172")</f>
        <v>https://www.xiaohongshu.com/user/profile/5ac84b34e8ac2b1f9f85e172</v>
      </c>
      <c r="C1265" s="2" t="str">
        <f>=HYPERLINK("https://pgy.xiaohongshu.com/solar/pre-trade/blogger-detail/5ac84b34e8ac2b1f9f85e172", "https://pgy.xiaohongshu.com/solar/pre-trade/blogger-detail/5ac84b34e8ac2b1f9f85e172")</f>
        <v>https://pgy.xiaohongshu.com/solar/pre-trade/blogger-detail/5ac84b34e8ac2b1f9f85e172</v>
      </c>
      <c r="D1265" t="inlineStr">
        <is>
          <t>女</t>
        </is>
      </c>
      <c r="E1265" t="inlineStr">
        <is>
          <t>Amzhuzi</t>
        </is>
      </c>
      <c r="F1265" t="inlineStr">
        <is>
          <t>喵子学姐</t>
        </is>
      </c>
      <c r="G1265" t="inlineStr">
        <is>
          <t>韩国</t>
        </is>
      </c>
      <c r="H1265"/>
      <c r="I1265" t="inlineStr">
        <is>
          <t>教育</t>
        </is>
      </c>
      <c r="J1265">
        <v>3684</v>
      </c>
      <c r="K1265" t="inlineStr">
        <is>
          <t>0.4</t>
        </is>
      </c>
      <c r="L1265">
        <v>8013</v>
      </c>
      <c r="M1265">
        <v>1737</v>
      </c>
      <c r="N1265">
        <v>118</v>
      </c>
      <c r="O1265">
        <v>300</v>
      </c>
      <c r="P1265">
        <v>0</v>
      </c>
      <c r="Q1265">
        <v>0</v>
      </c>
      <c r="R1265">
        <v>8013</v>
      </c>
      <c r="S1265">
        <v>1737</v>
      </c>
      <c r="T1265">
        <v>57</v>
      </c>
      <c r="U1265">
        <v>0.47</v>
      </c>
      <c r="V1265">
        <v>300</v>
      </c>
      <c r="W1265">
        <v>0</v>
      </c>
      <c r="X1265">
        <v>0</v>
      </c>
      <c r="Y1265">
        <v>37.44</v>
      </c>
      <c r="Z1265">
        <v>2.53</v>
      </c>
      <c r="AA1265">
        <v>0</v>
      </c>
      <c r="AB1265">
        <v>0</v>
      </c>
      <c r="AC1265">
        <v>0</v>
      </c>
      <c r="AD1265">
        <v>0</v>
      </c>
      <c r="AE1265">
        <v>600</v>
      </c>
      <c r="AF1265">
        <v>0</v>
      </c>
      <c r="AG1265">
        <v>0</v>
      </c>
      <c r="AH1265">
        <v>0</v>
      </c>
      <c r="AI1265">
        <v>0</v>
      </c>
      <c r="AJ1265">
        <v>0</v>
      </c>
      <c r="AK1265">
        <v>0</v>
      </c>
      <c r="AL1265">
        <v>0</v>
      </c>
      <c r="AM1265">
        <v>0</v>
      </c>
      <c r="AN1265">
        <v>0</v>
      </c>
      <c r="AO1265">
        <v>0</v>
      </c>
      <c r="AP1265">
        <v>0.78</v>
      </c>
      <c r="AQ1265">
        <v>0.021</v>
      </c>
      <c r="AR1265">
        <v>0.0279999999999999</v>
      </c>
      <c r="AS1265" s="3">
        <v>46107.77954861111</v>
      </c>
    </row>
    <row r="1266" ht="25.5" customHeight="1">
      <c r="A1266" t="inlineStr">
        <is>
          <t>647585ee000000001c028a1e</t>
        </is>
      </c>
      <c r="B1266" s="2" t="str">
        <f>=HYPERLINK("https://www.xiaohongshu.com/user/profile/647585ee000000001c028a1e", "https://www.xiaohongshu.com/user/profile/647585ee000000001c028a1e")</f>
        <v>https://www.xiaohongshu.com/user/profile/647585ee000000001c028a1e</v>
      </c>
      <c r="C1266" s="2" t="str">
        <f>=HYPERLINK("https://pgy.xiaohongshu.com/solar/pre-trade/blogger-detail/647585ee000000001c028a1e", "https://pgy.xiaohongshu.com/solar/pre-trade/blogger-detail/647585ee000000001c028a1e")</f>
        <v>https://pgy.xiaohongshu.com/solar/pre-trade/blogger-detail/647585ee000000001c028a1e</v>
      </c>
      <c r="D1266" t="inlineStr">
        <is>
          <t>男</t>
        </is>
      </c>
      <c r="E1266" t="inlineStr">
        <is>
          <t>5559110703</t>
        </is>
      </c>
      <c r="F1266" t="inlineStr">
        <is>
          <t>天天英语打卡</t>
        </is>
      </c>
      <c r="G1266" t="inlineStr">
        <is>
          <t>江苏 南京 江宁区</t>
        </is>
      </c>
      <c r="H1266"/>
      <c r="I1266" t="inlineStr">
        <is>
          <t>教育</t>
        </is>
      </c>
      <c r="J1266">
        <v>19885</v>
      </c>
      <c r="K1266" t="inlineStr">
        <is>
          <t>2.0</t>
        </is>
      </c>
      <c r="L1266">
        <v>3807</v>
      </c>
      <c r="M1266">
        <v>1027</v>
      </c>
      <c r="N1266">
        <v>116</v>
      </c>
      <c r="O1266">
        <v>300</v>
      </c>
      <c r="P1266">
        <v>0</v>
      </c>
      <c r="Q1266">
        <v>0.391</v>
      </c>
      <c r="R1266">
        <v>0</v>
      </c>
      <c r="S1266">
        <v>0</v>
      </c>
      <c r="T1266">
        <v>0</v>
      </c>
      <c r="U1266">
        <v>0</v>
      </c>
      <c r="V1266">
        <v>300</v>
      </c>
      <c r="W1266">
        <v>0</v>
      </c>
      <c r="X1266">
        <v>0</v>
      </c>
      <c r="Y1266">
        <v>0</v>
      </c>
      <c r="Z1266">
        <v>0</v>
      </c>
      <c r="AA1266">
        <v>4161</v>
      </c>
      <c r="AB1266">
        <v>1383</v>
      </c>
      <c r="AC1266">
        <v>121</v>
      </c>
      <c r="AD1266">
        <v>0</v>
      </c>
      <c r="AE1266">
        <v>0</v>
      </c>
      <c r="AF1266">
        <v>0.391</v>
      </c>
      <c r="AG1266">
        <v>0</v>
      </c>
      <c r="AH1266">
        <v>0.254</v>
      </c>
      <c r="AI1266">
        <v>0</v>
      </c>
      <c r="AJ1266">
        <v>0</v>
      </c>
      <c r="AK1266">
        <v>0</v>
      </c>
      <c r="AL1266">
        <v>0</v>
      </c>
      <c r="AM1266">
        <v>0</v>
      </c>
      <c r="AN1266">
        <v>0</v>
      </c>
      <c r="AO1266">
        <v>0</v>
      </c>
      <c r="AP1266">
        <v>0.949</v>
      </c>
      <c r="AQ1266">
        <v>0.027</v>
      </c>
      <c r="AR1266">
        <v>0.016</v>
      </c>
      <c r="AS1266" s="3">
        <v>46107.77954861111</v>
      </c>
    </row>
    <row r="1267" ht="25.5" customHeight="1">
      <c r="A1267" t="inlineStr">
        <is>
          <t>5dc274120000000001000b10</t>
        </is>
      </c>
      <c r="B1267" s="2" t="str">
        <f>=HYPERLINK("https://www.xiaohongshu.com/user/profile/5dc274120000000001000b10", "https://www.xiaohongshu.com/user/profile/5dc274120000000001000b10")</f>
        <v>https://www.xiaohongshu.com/user/profile/5dc274120000000001000b10</v>
      </c>
      <c r="C1267" s="2" t="str">
        <f>=HYPERLINK("https://pgy.xiaohongshu.com/solar/pre-trade/blogger-detail/5dc274120000000001000b10", "https://pgy.xiaohongshu.com/solar/pre-trade/blogger-detail/5dc274120000000001000b10")</f>
        <v>https://pgy.xiaohongshu.com/solar/pre-trade/blogger-detail/5dc274120000000001000b10</v>
      </c>
      <c r="D1267" t="inlineStr">
        <is>
          <t>女</t>
        </is>
      </c>
      <c r="E1267" t="inlineStr">
        <is>
          <t>840523909</t>
        </is>
      </c>
      <c r="F1267" t="inlineStr">
        <is>
          <t>xi茜养成系</t>
        </is>
      </c>
      <c r="G1267" t="inlineStr">
        <is>
          <t>江苏 盐城 盐都区</t>
        </is>
      </c>
      <c r="H1267"/>
      <c r="I1267" t="inlineStr">
        <is>
          <t>教育</t>
        </is>
      </c>
      <c r="J1267">
        <v>7280</v>
      </c>
      <c r="K1267" t="inlineStr">
        <is>
          <t>0.7</t>
        </is>
      </c>
      <c r="L1267">
        <v>1273</v>
      </c>
      <c r="M1267">
        <v>704</v>
      </c>
      <c r="N1267">
        <v>115</v>
      </c>
      <c r="O1267">
        <v>141</v>
      </c>
      <c r="P1267">
        <v>0</v>
      </c>
      <c r="Q1267">
        <v>0.379</v>
      </c>
      <c r="R1267">
        <v>0</v>
      </c>
      <c r="S1267">
        <v>0</v>
      </c>
      <c r="T1267">
        <v>0</v>
      </c>
      <c r="U1267">
        <v>0</v>
      </c>
      <c r="V1267">
        <v>141</v>
      </c>
      <c r="W1267">
        <v>0</v>
      </c>
      <c r="X1267">
        <v>0</v>
      </c>
      <c r="Y1267">
        <v>0</v>
      </c>
      <c r="Z1267">
        <v>0</v>
      </c>
      <c r="AA1267">
        <v>1273</v>
      </c>
      <c r="AB1267">
        <v>704</v>
      </c>
      <c r="AC1267">
        <v>95</v>
      </c>
      <c r="AD1267">
        <v>2.37</v>
      </c>
      <c r="AE1267">
        <v>613</v>
      </c>
      <c r="AF1267">
        <v>0.379</v>
      </c>
      <c r="AG1267">
        <v>0</v>
      </c>
      <c r="AH1267">
        <v>0.15</v>
      </c>
      <c r="AI1267">
        <v>481.54</v>
      </c>
      <c r="AJ1267">
        <v>5.33</v>
      </c>
      <c r="AK1267">
        <v>0</v>
      </c>
      <c r="AL1267">
        <v>0</v>
      </c>
      <c r="AM1267">
        <v>0</v>
      </c>
      <c r="AN1267">
        <v>0</v>
      </c>
      <c r="AO1267">
        <v>0</v>
      </c>
      <c r="AP1267">
        <v>0.969</v>
      </c>
      <c r="AQ1267">
        <v>0.085</v>
      </c>
      <c r="AR1267">
        <v>0</v>
      </c>
      <c r="AS1267" s="3">
        <v>46107.77954861111</v>
      </c>
    </row>
    <row r="1268" ht="25.5" customHeight="1">
      <c r="A1268" t="inlineStr">
        <is>
          <t>5c4e0ca20000000010034817</t>
        </is>
      </c>
      <c r="B1268" s="2" t="str">
        <f>=HYPERLINK("https://www.xiaohongshu.com/user/profile/5c4e0ca20000000010034817", "https://www.xiaohongshu.com/user/profile/5c4e0ca20000000010034817")</f>
        <v>https://www.xiaohongshu.com/user/profile/5c4e0ca20000000010034817</v>
      </c>
      <c r="C1268" s="2" t="str">
        <f>=HYPERLINK("https://pgy.xiaohongshu.com/solar/pre-trade/blogger-detail/5c4e0ca20000000010034817", "https://pgy.xiaohongshu.com/solar/pre-trade/blogger-detail/5c4e0ca20000000010034817")</f>
        <v>https://pgy.xiaohongshu.com/solar/pre-trade/blogger-detail/5c4e0ca20000000010034817</v>
      </c>
      <c r="D1268" t="inlineStr">
        <is>
          <t>女</t>
        </is>
      </c>
      <c r="E1268" t="inlineStr">
        <is>
          <t>680608090</t>
        </is>
      </c>
      <c r="F1268" t="inlineStr">
        <is>
          <t>Cinderella不是公主</t>
        </is>
      </c>
      <c r="G1268" t="inlineStr">
        <is>
          <t>加拿大</t>
        </is>
      </c>
      <c r="H1268"/>
      <c r="I1268" t="inlineStr">
        <is>
          <t>教育, 生活记录</t>
        </is>
      </c>
      <c r="J1268">
        <v>42314</v>
      </c>
      <c r="K1268" t="inlineStr">
        <is>
          <t>4.2</t>
        </is>
      </c>
      <c r="L1268">
        <v>14800</v>
      </c>
      <c r="M1268">
        <v>3156</v>
      </c>
      <c r="N1268">
        <v>414</v>
      </c>
      <c r="O1268">
        <v>2000</v>
      </c>
      <c r="P1268">
        <v>0</v>
      </c>
      <c r="Q1268">
        <v>1</v>
      </c>
      <c r="R1268">
        <v>10548</v>
      </c>
      <c r="S1268">
        <v>1401</v>
      </c>
      <c r="T1268">
        <v>167</v>
      </c>
      <c r="U1268">
        <v>1.73</v>
      </c>
      <c r="V1268">
        <v>2000</v>
      </c>
      <c r="W1268">
        <v>1</v>
      </c>
      <c r="X1268">
        <v>0</v>
      </c>
      <c r="Y1268">
        <v>189.61</v>
      </c>
      <c r="Z1268">
        <v>11.83</v>
      </c>
      <c r="AA1268">
        <v>42358</v>
      </c>
      <c r="AB1268">
        <v>7291</v>
      </c>
      <c r="AC1268">
        <v>778</v>
      </c>
      <c r="AD1268">
        <v>2.52</v>
      </c>
      <c r="AE1268">
        <v>3100</v>
      </c>
      <c r="AF1268">
        <v>1</v>
      </c>
      <c r="AG1268">
        <v>0</v>
      </c>
      <c r="AH1268">
        <v>0.075</v>
      </c>
      <c r="AI1268">
        <v>209.46</v>
      </c>
      <c r="AJ1268">
        <v>7.49</v>
      </c>
      <c r="AK1268">
        <v>8900</v>
      </c>
      <c r="AL1268">
        <v>1964</v>
      </c>
      <c r="AM1268">
        <v>329</v>
      </c>
      <c r="AN1268">
        <v>0</v>
      </c>
      <c r="AO1268">
        <v>0</v>
      </c>
      <c r="AP1268">
        <v>0.609</v>
      </c>
      <c r="AQ1268">
        <v>0.021</v>
      </c>
      <c r="AR1268">
        <v>0.008</v>
      </c>
      <c r="AS1268" s="3">
        <v>46107.77954861111</v>
      </c>
    </row>
    <row r="1269" ht="25.5" customHeight="1">
      <c r="A1269" t="inlineStr">
        <is>
          <t>6208fb5a000000001000b78a</t>
        </is>
      </c>
      <c r="B1269" s="2" t="str">
        <f>=HYPERLINK("https://www.xiaohongshu.com/user/profile/6208fb5a000000001000b78a", "https://www.xiaohongshu.com/user/profile/6208fb5a000000001000b78a")</f>
        <v>https://www.xiaohongshu.com/user/profile/6208fb5a000000001000b78a</v>
      </c>
      <c r="C1269" s="2" t="str">
        <f>=HYPERLINK("https://pgy.xiaohongshu.com/solar/pre-trade/blogger-detail/6208fb5a000000001000b78a", "https://pgy.xiaohongshu.com/solar/pre-trade/blogger-detail/6208fb5a000000001000b78a")</f>
        <v>https://pgy.xiaohongshu.com/solar/pre-trade/blogger-detail/6208fb5a000000001000b78a</v>
      </c>
      <c r="D1269" t="inlineStr">
        <is>
          <t>女</t>
        </is>
      </c>
      <c r="E1269" t="inlineStr">
        <is>
          <t>5204895264</t>
        </is>
      </c>
      <c r="F1269" t="inlineStr">
        <is>
          <t>写写停停</t>
        </is>
      </c>
      <c r="G1269" t="inlineStr">
        <is>
          <t>江苏 镇江 润州区</t>
        </is>
      </c>
      <c r="H1269"/>
      <c r="I1269" t="inlineStr">
        <is>
          <t>教育</t>
        </is>
      </c>
      <c r="J1269">
        <v>1495</v>
      </c>
      <c r="K1269" t="inlineStr">
        <is>
          <t>0.1</t>
        </is>
      </c>
      <c r="L1269">
        <v>16566</v>
      </c>
      <c r="M1269">
        <v>3301</v>
      </c>
      <c r="N1269">
        <v>564</v>
      </c>
      <c r="O1269">
        <v>300</v>
      </c>
      <c r="P1269">
        <v>0</v>
      </c>
      <c r="Q1269">
        <v>0.5</v>
      </c>
      <c r="R1269">
        <v>16566</v>
      </c>
      <c r="S1269">
        <v>3301</v>
      </c>
      <c r="T1269">
        <v>421</v>
      </c>
      <c r="U1269">
        <v>0.39</v>
      </c>
      <c r="V1269">
        <v>300</v>
      </c>
      <c r="W1269">
        <v>0.5</v>
      </c>
      <c r="X1269">
        <v>0</v>
      </c>
      <c r="Y1269">
        <v>18.11</v>
      </c>
      <c r="Z1269">
        <v>0.53</v>
      </c>
      <c r="AA1269">
        <v>0</v>
      </c>
      <c r="AB1269">
        <v>0</v>
      </c>
      <c r="AC1269">
        <v>0</v>
      </c>
      <c r="AD1269">
        <v>0</v>
      </c>
      <c r="AE1269">
        <v>500</v>
      </c>
      <c r="AF1269">
        <v>0</v>
      </c>
      <c r="AG1269">
        <v>0</v>
      </c>
      <c r="AH1269">
        <v>0</v>
      </c>
      <c r="AI1269">
        <v>0</v>
      </c>
      <c r="AJ1269">
        <v>0</v>
      </c>
      <c r="AK1269">
        <v>0</v>
      </c>
      <c r="AL1269">
        <v>0</v>
      </c>
      <c r="AM1269">
        <v>0</v>
      </c>
      <c r="AN1269">
        <v>0</v>
      </c>
      <c r="AO1269">
        <v>0</v>
      </c>
      <c r="AP1269">
        <v>0.943</v>
      </c>
      <c r="AQ1269">
        <v>0.132</v>
      </c>
      <c r="AR1269">
        <v>0.211</v>
      </c>
      <c r="AS1269" s="3">
        <v>46107.77954861111</v>
      </c>
    </row>
    <row r="1270" ht="25.5" customHeight="1">
      <c r="A1270" t="inlineStr">
        <is>
          <t>64d3a46c000000001003408b</t>
        </is>
      </c>
      <c r="B1270" s="2" t="str">
        <f>=HYPERLINK("https://www.xiaohongshu.com/user/profile/64d3a46c000000001003408b", "https://www.xiaohongshu.com/user/profile/64d3a46c000000001003408b")</f>
        <v>https://www.xiaohongshu.com/user/profile/64d3a46c000000001003408b</v>
      </c>
      <c r="C1270" s="2" t="str">
        <f>=HYPERLINK("https://pgy.xiaohongshu.com/solar/pre-trade/blogger-detail/64d3a46c000000001003408b", "https://pgy.xiaohongshu.com/solar/pre-trade/blogger-detail/64d3a46c000000001003408b")</f>
        <v>https://pgy.xiaohongshu.com/solar/pre-trade/blogger-detail/64d3a46c000000001003408b</v>
      </c>
      <c r="D1270" t="inlineStr">
        <is>
          <t>女</t>
        </is>
      </c>
      <c r="E1270" t="inlineStr">
        <is>
          <t>2029267513</t>
        </is>
      </c>
      <c r="F1270" t="inlineStr">
        <is>
          <t>狮子松松（冲30w版）</t>
        </is>
      </c>
      <c r="G1270" t="inlineStr">
        <is>
          <t>陕西 西安 长安区</t>
        </is>
      </c>
      <c r="H1270" t="inlineStr">
        <is>
          <t>学生</t>
        </is>
      </c>
      <c r="I1270" t="inlineStr">
        <is>
          <t>教育, 音乐</t>
        </is>
      </c>
      <c r="J1270">
        <v>220216</v>
      </c>
      <c r="K1270" t="inlineStr">
        <is>
          <t>22.0</t>
        </is>
      </c>
      <c r="L1270">
        <v>36297</v>
      </c>
      <c r="M1270">
        <v>17186</v>
      </c>
      <c r="N1270">
        <v>1681</v>
      </c>
      <c r="O1270">
        <v>9000</v>
      </c>
      <c r="P1270">
        <v>0.611</v>
      </c>
      <c r="Q1270">
        <v>0.889</v>
      </c>
      <c r="R1270">
        <v>0</v>
      </c>
      <c r="S1270">
        <v>0</v>
      </c>
      <c r="T1270">
        <v>0</v>
      </c>
      <c r="U1270">
        <v>0</v>
      </c>
      <c r="V1270">
        <v>9000</v>
      </c>
      <c r="W1270">
        <v>0</v>
      </c>
      <c r="X1270">
        <v>0</v>
      </c>
      <c r="Y1270">
        <v>0</v>
      </c>
      <c r="Z1270">
        <v>0</v>
      </c>
      <c r="AA1270">
        <v>36297</v>
      </c>
      <c r="AB1270">
        <v>17186</v>
      </c>
      <c r="AC1270">
        <v>1529</v>
      </c>
      <c r="AD1270">
        <v>2.55</v>
      </c>
      <c r="AE1270">
        <v>18000</v>
      </c>
      <c r="AF1270">
        <v>0.889</v>
      </c>
      <c r="AG1270">
        <v>0.611</v>
      </c>
      <c r="AH1270">
        <v>0.292</v>
      </c>
      <c r="AI1270">
        <v>463.98</v>
      </c>
      <c r="AJ1270">
        <v>10.17</v>
      </c>
      <c r="AK1270">
        <v>247310</v>
      </c>
      <c r="AL1270">
        <v>45871</v>
      </c>
      <c r="AM1270">
        <v>14716</v>
      </c>
      <c r="AN1270">
        <v>0</v>
      </c>
      <c r="AO1270">
        <v>0</v>
      </c>
      <c r="AP1270">
        <v>0.87</v>
      </c>
      <c r="AQ1270">
        <v>0.124</v>
      </c>
      <c r="AR1270">
        <v>0.042</v>
      </c>
      <c r="AS1270" s="3">
        <v>46107.77954861111</v>
      </c>
    </row>
    <row r="1271" ht="25.5" customHeight="1">
      <c r="A1271" t="inlineStr">
        <is>
          <t>6188f045000000001000e34c</t>
        </is>
      </c>
      <c r="B1271" s="2" t="str">
        <f>=HYPERLINK("https://www.xiaohongshu.com/user/profile/6188f045000000001000e34c", "https://www.xiaohongshu.com/user/profile/6188f045000000001000e34c")</f>
        <v>https://www.xiaohongshu.com/user/profile/6188f045000000001000e34c</v>
      </c>
      <c r="C1271" s="2" t="str">
        <f>=HYPERLINK("https://pgy.xiaohongshu.com/solar/pre-trade/blogger-detail/6188f045000000001000e34c", "https://pgy.xiaohongshu.com/solar/pre-trade/blogger-detail/6188f045000000001000e34c")</f>
        <v>https://pgy.xiaohongshu.com/solar/pre-trade/blogger-detail/6188f045000000001000e34c</v>
      </c>
      <c r="D1271" t="inlineStr">
        <is>
          <t>女</t>
        </is>
      </c>
      <c r="E1271" t="inlineStr">
        <is>
          <t>5208346934</t>
        </is>
      </c>
      <c r="F1271" t="inlineStr">
        <is>
          <t>해변의Anna</t>
        </is>
      </c>
      <c r="G1271" t="inlineStr">
        <is>
          <t>江苏 淮安 清江浦区</t>
        </is>
      </c>
      <c r="H1271" t="inlineStr">
        <is>
          <t>翻译</t>
        </is>
      </c>
      <c r="I1271" t="inlineStr">
        <is>
          <t>教育</t>
        </is>
      </c>
      <c r="J1271">
        <v>3000</v>
      </c>
      <c r="K1271" t="inlineStr">
        <is>
          <t>0.3</t>
        </is>
      </c>
      <c r="L1271">
        <v>11538</v>
      </c>
      <c r="M1271">
        <v>1372</v>
      </c>
      <c r="N1271">
        <v>169</v>
      </c>
      <c r="O1271">
        <v>174</v>
      </c>
      <c r="P1271">
        <v>0</v>
      </c>
      <c r="Q1271">
        <v>0.332999999999999</v>
      </c>
      <c r="R1271">
        <v>11538</v>
      </c>
      <c r="S1271">
        <v>1372</v>
      </c>
      <c r="T1271">
        <v>115</v>
      </c>
      <c r="U1271">
        <v>0.43</v>
      </c>
      <c r="V1271">
        <v>174</v>
      </c>
      <c r="W1271">
        <v>0.332999999999999</v>
      </c>
      <c r="X1271">
        <v>0</v>
      </c>
      <c r="Y1271">
        <v>15.08</v>
      </c>
      <c r="Z1271">
        <v>1.03</v>
      </c>
      <c r="AA1271">
        <v>0</v>
      </c>
      <c r="AB1271">
        <v>0</v>
      </c>
      <c r="AC1271">
        <v>0</v>
      </c>
      <c r="AD1271">
        <v>0</v>
      </c>
      <c r="AE1271">
        <v>218</v>
      </c>
      <c r="AF1271">
        <v>0</v>
      </c>
      <c r="AG1271">
        <v>0</v>
      </c>
      <c r="AH1271">
        <v>0</v>
      </c>
      <c r="AI1271">
        <v>0</v>
      </c>
      <c r="AJ1271">
        <v>0</v>
      </c>
      <c r="AK1271">
        <v>0</v>
      </c>
      <c r="AL1271">
        <v>0</v>
      </c>
      <c r="AM1271">
        <v>0</v>
      </c>
      <c r="AN1271">
        <v>0</v>
      </c>
      <c r="AO1271">
        <v>0</v>
      </c>
      <c r="AP1271">
        <v>0.968</v>
      </c>
      <c r="AQ1271">
        <v>0.04</v>
      </c>
      <c r="AR1271">
        <v>0.057</v>
      </c>
      <c r="AS1271" s="3">
        <v>46107.77954861111</v>
      </c>
    </row>
    <row r="1272" ht="25.5" customHeight="1">
      <c r="A1272" t="inlineStr">
        <is>
          <t>630588f00000000015018636</t>
        </is>
      </c>
      <c r="B1272" s="2" t="str">
        <f>=HYPERLINK("https://www.xiaohongshu.com/user/profile/630588f00000000015018636", "https://www.xiaohongshu.com/user/profile/630588f00000000015018636")</f>
        <v>https://www.xiaohongshu.com/user/profile/630588f00000000015018636</v>
      </c>
      <c r="C1272" s="2" t="str">
        <f>=HYPERLINK("https://pgy.xiaohongshu.com/solar/pre-trade/blogger-detail/630588f00000000015018636", "https://pgy.xiaohongshu.com/solar/pre-trade/blogger-detail/630588f00000000015018636")</f>
        <v>https://pgy.xiaohongshu.com/solar/pre-trade/blogger-detail/630588f00000000015018636</v>
      </c>
      <c r="D1272" t="inlineStr">
        <is>
          <t>女</t>
        </is>
      </c>
      <c r="E1272" t="inlineStr">
        <is>
          <t>5369368396</t>
        </is>
      </c>
      <c r="F1272" t="inlineStr">
        <is>
          <t>今天你学英语了吗</t>
        </is>
      </c>
      <c r="G1272" t="inlineStr">
        <is>
          <t>山东 滨州 滨城区</t>
        </is>
      </c>
      <c r="H1272"/>
      <c r="I1272" t="inlineStr">
        <is>
          <t>教育</t>
        </is>
      </c>
      <c r="J1272">
        <v>2484</v>
      </c>
      <c r="K1272" t="inlineStr">
        <is>
          <t>0.2</t>
        </is>
      </c>
      <c r="L1272">
        <v>6188</v>
      </c>
      <c r="M1272">
        <v>1528</v>
      </c>
      <c r="N1272">
        <v>168</v>
      </c>
      <c r="O1272">
        <v>100</v>
      </c>
      <c r="P1272">
        <v>0</v>
      </c>
      <c r="Q1272">
        <v>0.5</v>
      </c>
      <c r="R1272">
        <v>6188</v>
      </c>
      <c r="S1272">
        <v>1528</v>
      </c>
      <c r="T1272">
        <v>128</v>
      </c>
      <c r="U1272">
        <v>0.37</v>
      </c>
      <c r="V1272">
        <v>100</v>
      </c>
      <c r="W1272">
        <v>0.5</v>
      </c>
      <c r="X1272">
        <v>0</v>
      </c>
      <c r="Y1272">
        <v>16.16</v>
      </c>
      <c r="Z1272">
        <v>0.59</v>
      </c>
      <c r="AA1272">
        <v>0</v>
      </c>
      <c r="AB1272">
        <v>0</v>
      </c>
      <c r="AC1272">
        <v>0</v>
      </c>
      <c r="AD1272">
        <v>0</v>
      </c>
      <c r="AE1272">
        <v>250</v>
      </c>
      <c r="AF1272">
        <v>0</v>
      </c>
      <c r="AG1272">
        <v>0</v>
      </c>
      <c r="AH1272">
        <v>0</v>
      </c>
      <c r="AI1272">
        <v>0</v>
      </c>
      <c r="AJ1272">
        <v>0</v>
      </c>
      <c r="AK1272">
        <v>0</v>
      </c>
      <c r="AL1272">
        <v>0</v>
      </c>
      <c r="AM1272">
        <v>0</v>
      </c>
      <c r="AN1272">
        <v>0</v>
      </c>
      <c r="AO1272">
        <v>0</v>
      </c>
      <c r="AP1272">
        <v>0.902</v>
      </c>
      <c r="AQ1272">
        <v>0.066</v>
      </c>
      <c r="AR1272">
        <v>0.095</v>
      </c>
      <c r="AS1272" s="3">
        <v>46107.77954861111</v>
      </c>
    </row>
    <row r="1273" ht="25.5" customHeight="1">
      <c r="A1273" t="inlineStr">
        <is>
          <t>59cfb8c751783a29d884775c</t>
        </is>
      </c>
      <c r="B1273" s="2" t="str">
        <f>=HYPERLINK("https://www.xiaohongshu.com/user/profile/59cfb8c751783a29d884775c", "https://www.xiaohongshu.com/user/profile/59cfb8c751783a29d884775c")</f>
        <v>https://www.xiaohongshu.com/user/profile/59cfb8c751783a29d884775c</v>
      </c>
      <c r="C1273" s="2" t="str">
        <f>=HYPERLINK("https://pgy.xiaohongshu.com/solar/pre-trade/blogger-detail/59cfb8c751783a29d884775c", "https://pgy.xiaohongshu.com/solar/pre-trade/blogger-detail/59cfb8c751783a29d884775c")</f>
        <v>https://pgy.xiaohongshu.com/solar/pre-trade/blogger-detail/59cfb8c751783a29d884775c</v>
      </c>
      <c r="D1273" t="inlineStr">
        <is>
          <t>女</t>
        </is>
      </c>
      <c r="E1273" t="inlineStr">
        <is>
          <t>xxxj2211</t>
        </is>
      </c>
      <c r="F1273" t="inlineStr">
        <is>
          <t>夏夏学姐（上岸版）</t>
        </is>
      </c>
      <c r="G1273" t="inlineStr">
        <is>
          <t>北京</t>
        </is>
      </c>
      <c r="H1273" t="inlineStr">
        <is>
          <t>考研过来人, 学生</t>
        </is>
      </c>
      <c r="I1273" t="inlineStr">
        <is>
          <t>教育</t>
        </is>
      </c>
      <c r="J1273">
        <v>8578</v>
      </c>
      <c r="K1273" t="inlineStr">
        <is>
          <t>0.9</t>
        </is>
      </c>
      <c r="L1273">
        <v>5068</v>
      </c>
      <c r="M1273">
        <v>3090</v>
      </c>
      <c r="N1273">
        <v>218</v>
      </c>
      <c r="O1273">
        <v>888</v>
      </c>
      <c r="P1273">
        <v>0.332999999999999</v>
      </c>
      <c r="Q1273">
        <v>0.5</v>
      </c>
      <c r="R1273">
        <v>1189</v>
      </c>
      <c r="S1273">
        <v>148</v>
      </c>
      <c r="T1273">
        <v>10</v>
      </c>
      <c r="U1273">
        <v>0.34</v>
      </c>
      <c r="V1273">
        <v>888</v>
      </c>
      <c r="W1273">
        <v>0</v>
      </c>
      <c r="X1273">
        <v>0</v>
      </c>
      <c r="Y1273">
        <v>18.77</v>
      </c>
      <c r="Z1273">
        <v>0.18</v>
      </c>
      <c r="AA1273">
        <v>5835</v>
      </c>
      <c r="AB1273">
        <v>4600</v>
      </c>
      <c r="AC1273">
        <v>241</v>
      </c>
      <c r="AD1273">
        <v>1.82</v>
      </c>
      <c r="AE1273">
        <v>1488</v>
      </c>
      <c r="AF1273">
        <v>0.6</v>
      </c>
      <c r="AG1273">
        <v>0.4</v>
      </c>
      <c r="AH1273">
        <v>0.027</v>
      </c>
      <c r="AI1273">
        <v>255.01</v>
      </c>
      <c r="AJ1273">
        <v>6.02</v>
      </c>
      <c r="AK1273">
        <v>286435</v>
      </c>
      <c r="AL1273">
        <v>50119</v>
      </c>
      <c r="AM1273">
        <v>9569</v>
      </c>
      <c r="AN1273">
        <v>0</v>
      </c>
      <c r="AO1273">
        <v>0</v>
      </c>
      <c r="AP1273">
        <v>0.902</v>
      </c>
      <c r="AQ1273">
        <v>0.125</v>
      </c>
      <c r="AR1273">
        <v>0.159</v>
      </c>
      <c r="AS1273" s="3">
        <v>46107.77954861111</v>
      </c>
    </row>
    <row r="1274" ht="25.5" customHeight="1">
      <c r="A1274" t="inlineStr">
        <is>
          <t>5cfbea27000000000500cb35</t>
        </is>
      </c>
      <c r="B1274" s="2" t="str">
        <f>=HYPERLINK("https://www.xiaohongshu.com/user/profile/5cfbea27000000000500cb35", "https://www.xiaohongshu.com/user/profile/5cfbea27000000000500cb35")</f>
        <v>https://www.xiaohongshu.com/user/profile/5cfbea27000000000500cb35</v>
      </c>
      <c r="C1274" s="2" t="str">
        <f>=HYPERLINK("https://pgy.xiaohongshu.com/solar/pre-trade/blogger-detail/5cfbea27000000000500cb35", "https://pgy.xiaohongshu.com/solar/pre-trade/blogger-detail/5cfbea27000000000500cb35")</f>
        <v>https://pgy.xiaohongshu.com/solar/pre-trade/blogger-detail/5cfbea27000000000500cb35</v>
      </c>
      <c r="D1274" t="inlineStr">
        <is>
          <t>女</t>
        </is>
      </c>
      <c r="E1274" t="inlineStr">
        <is>
          <t>999791285</t>
        </is>
      </c>
      <c r="F1274" t="inlineStr">
        <is>
          <t>深蓝岛与遇</t>
        </is>
      </c>
      <c r="G1274" t="inlineStr">
        <is>
          <t>上海</t>
        </is>
      </c>
      <c r="H1274"/>
      <c r="I1274" t="inlineStr">
        <is>
          <t>教育, 生活记录</t>
        </is>
      </c>
      <c r="J1274">
        <v>3764</v>
      </c>
      <c r="K1274" t="inlineStr">
        <is>
          <t>0.4</t>
        </is>
      </c>
      <c r="L1274">
        <v>5924</v>
      </c>
      <c r="M1274">
        <v>897</v>
      </c>
      <c r="N1274">
        <v>130</v>
      </c>
      <c r="O1274">
        <v>500</v>
      </c>
      <c r="P1274">
        <v>0</v>
      </c>
      <c r="Q1274">
        <v>0</v>
      </c>
      <c r="R1274">
        <v>5924</v>
      </c>
      <c r="S1274">
        <v>897</v>
      </c>
      <c r="T1274">
        <v>122</v>
      </c>
      <c r="U1274">
        <v>0.86</v>
      </c>
      <c r="V1274">
        <v>500</v>
      </c>
      <c r="W1274">
        <v>0</v>
      </c>
      <c r="X1274">
        <v>0</v>
      </c>
      <c r="Y1274">
        <v>84.4</v>
      </c>
      <c r="Z1274">
        <v>3.85</v>
      </c>
      <c r="AA1274">
        <v>0</v>
      </c>
      <c r="AB1274">
        <v>0</v>
      </c>
      <c r="AC1274">
        <v>0</v>
      </c>
      <c r="AD1274">
        <v>0</v>
      </c>
      <c r="AE1274">
        <v>0</v>
      </c>
      <c r="AF1274">
        <v>0</v>
      </c>
      <c r="AG1274">
        <v>0</v>
      </c>
      <c r="AH1274">
        <v>0</v>
      </c>
      <c r="AI1274">
        <v>0</v>
      </c>
      <c r="AJ1274">
        <v>0</v>
      </c>
      <c r="AK1274">
        <v>0</v>
      </c>
      <c r="AL1274">
        <v>0</v>
      </c>
      <c r="AM1274">
        <v>0</v>
      </c>
      <c r="AN1274">
        <v>0</v>
      </c>
      <c r="AO1274">
        <v>0</v>
      </c>
      <c r="AP1274">
        <v>0.899</v>
      </c>
      <c r="AQ1274">
        <v>0.023</v>
      </c>
      <c r="AR1274">
        <v>0.00699999999999999</v>
      </c>
      <c r="AS1274" s="3">
        <v>46107.77954861111</v>
      </c>
    </row>
    <row r="1275" ht="25.5" customHeight="1">
      <c r="A1275" t="inlineStr">
        <is>
          <t>5d03925d00000000110025d5</t>
        </is>
      </c>
      <c r="B1275" s="2" t="str">
        <f>=HYPERLINK("https://www.xiaohongshu.com/user/profile/5d03925d00000000110025d5", "https://www.xiaohongshu.com/user/profile/5d03925d00000000110025d5")</f>
        <v>https://www.xiaohongshu.com/user/profile/5d03925d00000000110025d5</v>
      </c>
      <c r="C1275" s="2" t="str">
        <f>=HYPERLINK("https://pgy.xiaohongshu.com/solar/pre-trade/blogger-detail/5d03925d00000000110025d5", "https://pgy.xiaohongshu.com/solar/pre-trade/blogger-detail/5d03925d00000000110025d5")</f>
        <v>https://pgy.xiaohongshu.com/solar/pre-trade/blogger-detail/5d03925d00000000110025d5</v>
      </c>
      <c r="D1275" t="inlineStr">
        <is>
          <t>女</t>
        </is>
      </c>
      <c r="E1275" t="inlineStr">
        <is>
          <t>cccyyyyddd</t>
        </is>
      </c>
      <c r="F1275" t="inlineStr">
        <is>
          <t>成点点</t>
        </is>
      </c>
      <c r="G1275" t="inlineStr">
        <is>
          <t>江苏 南京 玄武区</t>
        </is>
      </c>
      <c r="H1275" t="inlineStr">
        <is>
          <t>学生</t>
        </is>
      </c>
      <c r="I1275" t="inlineStr">
        <is>
          <t>出行旅游, 生活记录</t>
        </is>
      </c>
      <c r="J1275">
        <v>2198</v>
      </c>
      <c r="K1275" t="inlineStr">
        <is>
          <t>0.2</t>
        </is>
      </c>
      <c r="L1275">
        <v>16488</v>
      </c>
      <c r="M1275">
        <v>3689</v>
      </c>
      <c r="N1275">
        <v>160</v>
      </c>
      <c r="O1275">
        <v>285</v>
      </c>
      <c r="P1275">
        <v>0</v>
      </c>
      <c r="Q1275">
        <v>0.5</v>
      </c>
      <c r="R1275">
        <v>16488</v>
      </c>
      <c r="S1275">
        <v>3689</v>
      </c>
      <c r="T1275">
        <v>131</v>
      </c>
      <c r="U1275">
        <v>0.38</v>
      </c>
      <c r="V1275">
        <v>285</v>
      </c>
      <c r="W1275">
        <v>0.5</v>
      </c>
      <c r="X1275">
        <v>0</v>
      </c>
      <c r="Y1275">
        <v>17.28</v>
      </c>
      <c r="Z1275">
        <v>1.78</v>
      </c>
      <c r="AA1275">
        <v>0</v>
      </c>
      <c r="AB1275">
        <v>0</v>
      </c>
      <c r="AC1275">
        <v>0</v>
      </c>
      <c r="AD1275">
        <v>0</v>
      </c>
      <c r="AE1275">
        <v>570</v>
      </c>
      <c r="AF1275">
        <v>0</v>
      </c>
      <c r="AG1275">
        <v>0</v>
      </c>
      <c r="AH1275">
        <v>0</v>
      </c>
      <c r="AI1275">
        <v>0</v>
      </c>
      <c r="AJ1275">
        <v>0</v>
      </c>
      <c r="AK1275">
        <v>0</v>
      </c>
      <c r="AL1275">
        <v>0</v>
      </c>
      <c r="AM1275">
        <v>0</v>
      </c>
      <c r="AN1275">
        <v>0</v>
      </c>
      <c r="AO1275">
        <v>0</v>
      </c>
      <c r="AP1275">
        <v>0.597</v>
      </c>
      <c r="AQ1275">
        <v>0.031</v>
      </c>
      <c r="AR1275">
        <v>0.021</v>
      </c>
      <c r="AS1275" s="3">
        <v>46107.77954861111</v>
      </c>
    </row>
    <row r="1276" ht="25.5" customHeight="1">
      <c r="A1276" t="inlineStr">
        <is>
          <t>629b3cbd0000000015018191</t>
        </is>
      </c>
      <c r="B1276" s="2" t="str">
        <f>=HYPERLINK("https://www.xiaohongshu.com/user/profile/629b3cbd0000000015018191", "https://www.xiaohongshu.com/user/profile/629b3cbd0000000015018191")</f>
        <v>https://www.xiaohongshu.com/user/profile/629b3cbd0000000015018191</v>
      </c>
      <c r="C1276" s="2" t="str">
        <f>=HYPERLINK("https://pgy.xiaohongshu.com/solar/pre-trade/blogger-detail/629b3cbd0000000015018191", "https://pgy.xiaohongshu.com/solar/pre-trade/blogger-detail/629b3cbd0000000015018191")</f>
        <v>https://pgy.xiaohongshu.com/solar/pre-trade/blogger-detail/629b3cbd0000000015018191</v>
      </c>
      <c r="D1276" t="inlineStr">
        <is>
          <t>女</t>
        </is>
      </c>
      <c r="E1276" t="inlineStr">
        <is>
          <t>6285732613</t>
        </is>
      </c>
      <c r="F1276" t="inlineStr">
        <is>
          <t>韩酸性</t>
        </is>
      </c>
      <c r="G1276" t="inlineStr">
        <is>
          <t>辽宁 大连 金州区</t>
        </is>
      </c>
      <c r="H1276" t="inlineStr">
        <is>
          <t>二次元人群, 学生</t>
        </is>
      </c>
      <c r="I1276" t="inlineStr">
        <is>
          <t>教育, 生活记录</t>
        </is>
      </c>
      <c r="J1276">
        <v>1100</v>
      </c>
      <c r="K1276" t="inlineStr">
        <is>
          <t>0.1</t>
        </is>
      </c>
      <c r="L1276">
        <v>3060</v>
      </c>
      <c r="M1276">
        <v>723</v>
      </c>
      <c r="N1276">
        <v>114</v>
      </c>
      <c r="O1276">
        <v>150</v>
      </c>
      <c r="P1276">
        <v>0</v>
      </c>
      <c r="Q1276">
        <v>0.4</v>
      </c>
      <c r="R1276">
        <v>0</v>
      </c>
      <c r="S1276">
        <v>0</v>
      </c>
      <c r="T1276">
        <v>0</v>
      </c>
      <c r="U1276">
        <v>0</v>
      </c>
      <c r="V1276">
        <v>0</v>
      </c>
      <c r="W1276">
        <v>0</v>
      </c>
      <c r="X1276">
        <v>0</v>
      </c>
      <c r="Y1276">
        <v>0</v>
      </c>
      <c r="Z1276">
        <v>0</v>
      </c>
      <c r="AA1276">
        <v>3060</v>
      </c>
      <c r="AB1276">
        <v>723</v>
      </c>
      <c r="AC1276">
        <v>110</v>
      </c>
      <c r="AD1276">
        <v>1.71</v>
      </c>
      <c r="AE1276">
        <v>150</v>
      </c>
      <c r="AF1276">
        <v>0.4</v>
      </c>
      <c r="AG1276">
        <v>0</v>
      </c>
      <c r="AH1276">
        <v>0.123</v>
      </c>
      <c r="AI1276">
        <v>49.02</v>
      </c>
      <c r="AJ1276">
        <v>1.32</v>
      </c>
      <c r="AK1276">
        <v>0</v>
      </c>
      <c r="AL1276">
        <v>0</v>
      </c>
      <c r="AM1276">
        <v>0</v>
      </c>
      <c r="AN1276">
        <v>0</v>
      </c>
      <c r="AO1276">
        <v>0</v>
      </c>
      <c r="AP1276">
        <v>0.948</v>
      </c>
      <c r="AQ1276">
        <v>0.196</v>
      </c>
      <c r="AR1276">
        <v>0</v>
      </c>
      <c r="AS1276" s="3">
        <v>46107.77954861111</v>
      </c>
    </row>
    <row r="1277" ht="25.5" customHeight="1">
      <c r="A1277" t="inlineStr">
        <is>
          <t>6497b9bd000000002b008ae8</t>
        </is>
      </c>
      <c r="B1277" s="2" t="str">
        <f>=HYPERLINK("https://www.xiaohongshu.com/user/profile/6497b9bd000000002b008ae8", "https://www.xiaohongshu.com/user/profile/6497b9bd000000002b008ae8")</f>
        <v>https://www.xiaohongshu.com/user/profile/6497b9bd000000002b008ae8</v>
      </c>
      <c r="C1277" s="2" t="str">
        <f>=HYPERLINK("https://pgy.xiaohongshu.com/solar/pre-trade/blogger-detail/6497b9bd000000002b008ae8", "https://pgy.xiaohongshu.com/solar/pre-trade/blogger-detail/6497b9bd000000002b008ae8")</f>
        <v>https://pgy.xiaohongshu.com/solar/pre-trade/blogger-detail/6497b9bd000000002b008ae8</v>
      </c>
      <c r="D1277" t="inlineStr">
        <is>
          <t>女</t>
        </is>
      </c>
      <c r="E1277" t="inlineStr">
        <is>
          <t>5515750011</t>
        </is>
      </c>
      <c r="F1277" t="inlineStr">
        <is>
          <t>我草莓招了</t>
        </is>
      </c>
      <c r="G1277" t="inlineStr">
        <is>
          <t>浙江 杭州 临平区</t>
        </is>
      </c>
      <c r="H1277"/>
      <c r="I1277" t="inlineStr">
        <is>
          <t>教育</t>
        </is>
      </c>
      <c r="J1277">
        <v>1837</v>
      </c>
      <c r="K1277" t="inlineStr">
        <is>
          <t>0.2</t>
        </is>
      </c>
      <c r="L1277">
        <v>7279</v>
      </c>
      <c r="M1277">
        <v>1216</v>
      </c>
      <c r="N1277">
        <v>200</v>
      </c>
      <c r="O1277">
        <v>200</v>
      </c>
      <c r="P1277">
        <v>0</v>
      </c>
      <c r="Q1277">
        <v>0.332999999999999</v>
      </c>
      <c r="R1277">
        <v>7279</v>
      </c>
      <c r="S1277">
        <v>1216</v>
      </c>
      <c r="T1277">
        <v>161</v>
      </c>
      <c r="U1277">
        <v>0.46</v>
      </c>
      <c r="V1277">
        <v>200</v>
      </c>
      <c r="W1277">
        <v>0.332999999999999</v>
      </c>
      <c r="X1277">
        <v>0</v>
      </c>
      <c r="Y1277">
        <v>27.48</v>
      </c>
      <c r="Z1277">
        <v>1</v>
      </c>
      <c r="AA1277">
        <v>0</v>
      </c>
      <c r="AB1277">
        <v>0</v>
      </c>
      <c r="AC1277">
        <v>0</v>
      </c>
      <c r="AD1277">
        <v>0</v>
      </c>
      <c r="AE1277">
        <v>200</v>
      </c>
      <c r="AF1277">
        <v>0</v>
      </c>
      <c r="AG1277">
        <v>0</v>
      </c>
      <c r="AH1277">
        <v>0</v>
      </c>
      <c r="AI1277">
        <v>0</v>
      </c>
      <c r="AJ1277">
        <v>0</v>
      </c>
      <c r="AK1277">
        <v>0</v>
      </c>
      <c r="AL1277">
        <v>0</v>
      </c>
      <c r="AM1277">
        <v>0</v>
      </c>
      <c r="AN1277">
        <v>0</v>
      </c>
      <c r="AO1277">
        <v>0</v>
      </c>
      <c r="AP1277">
        <v>0.89</v>
      </c>
      <c r="AQ1277">
        <v>0.047</v>
      </c>
      <c r="AR1277">
        <v>0.006</v>
      </c>
      <c r="AS1277" s="3">
        <v>46107.77954861111</v>
      </c>
    </row>
    <row r="1278" ht="25.5" customHeight="1">
      <c r="A1278" t="inlineStr">
        <is>
          <t>60d2df5a000000000100827e</t>
        </is>
      </c>
      <c r="B1278" s="2" t="str">
        <f>=HYPERLINK("https://www.xiaohongshu.com/user/profile/60d2df5a000000000100827e", "https://www.xiaohongshu.com/user/profile/60d2df5a000000000100827e")</f>
        <v>https://www.xiaohongshu.com/user/profile/60d2df5a000000000100827e</v>
      </c>
      <c r="C1278" s="2" t="str">
        <f>=HYPERLINK("https://pgy.xiaohongshu.com/solar/pre-trade/blogger-detail/60d2df5a000000000100827e", "https://pgy.xiaohongshu.com/solar/pre-trade/blogger-detail/60d2df5a000000000100827e")</f>
        <v>https://pgy.xiaohongshu.com/solar/pre-trade/blogger-detail/60d2df5a000000000100827e</v>
      </c>
      <c r="D1278" t="inlineStr">
        <is>
          <t>女</t>
        </is>
      </c>
      <c r="E1278" t="inlineStr">
        <is>
          <t>Diane_73_</t>
        </is>
      </c>
      <c r="F1278" t="inlineStr">
        <is>
          <t>小熊不背民法典</t>
        </is>
      </c>
      <c r="G1278" t="inlineStr">
        <is>
          <t>北京</t>
        </is>
      </c>
      <c r="H1278" t="inlineStr">
        <is>
          <t>法考过来人, 考研过来人, 学生</t>
        </is>
      </c>
      <c r="I1278" t="inlineStr">
        <is>
          <t>职场, 教育</t>
        </is>
      </c>
      <c r="J1278">
        <v>5560</v>
      </c>
      <c r="K1278" t="inlineStr">
        <is>
          <t>0.6</t>
        </is>
      </c>
      <c r="L1278">
        <v>7351</v>
      </c>
      <c r="M1278">
        <v>1378</v>
      </c>
      <c r="N1278">
        <v>240</v>
      </c>
      <c r="O1278">
        <v>300</v>
      </c>
      <c r="P1278">
        <v>0</v>
      </c>
      <c r="Q1278">
        <v>0.455</v>
      </c>
      <c r="R1278">
        <v>7351</v>
      </c>
      <c r="S1278">
        <v>1378</v>
      </c>
      <c r="T1278">
        <v>168</v>
      </c>
      <c r="U1278">
        <v>0.57</v>
      </c>
      <c r="V1278">
        <v>300</v>
      </c>
      <c r="W1278">
        <v>0.455</v>
      </c>
      <c r="X1278">
        <v>0</v>
      </c>
      <c r="Y1278">
        <v>45.67</v>
      </c>
      <c r="Z1278">
        <v>2.35</v>
      </c>
      <c r="AA1278">
        <v>0</v>
      </c>
      <c r="AB1278">
        <v>0</v>
      </c>
      <c r="AC1278">
        <v>0</v>
      </c>
      <c r="AD1278">
        <v>0</v>
      </c>
      <c r="AE1278">
        <v>500</v>
      </c>
      <c r="AF1278">
        <v>0</v>
      </c>
      <c r="AG1278">
        <v>0</v>
      </c>
      <c r="AH1278">
        <v>0</v>
      </c>
      <c r="AI1278">
        <v>0</v>
      </c>
      <c r="AJ1278">
        <v>0</v>
      </c>
      <c r="AK1278">
        <v>2509</v>
      </c>
      <c r="AL1278">
        <v>322</v>
      </c>
      <c r="AM1278">
        <v>11</v>
      </c>
      <c r="AN1278">
        <v>0</v>
      </c>
      <c r="AO1278">
        <v>0</v>
      </c>
      <c r="AP1278">
        <v>0.753</v>
      </c>
      <c r="AQ1278">
        <v>0.095</v>
      </c>
      <c r="AR1278">
        <v>0.061</v>
      </c>
      <c r="AS1278" s="3">
        <v>46107.77954861111</v>
      </c>
    </row>
    <row r="1279" ht="25.5" customHeight="1">
      <c r="A1279" t="inlineStr">
        <is>
          <t>657bfa9d000000001901013f</t>
        </is>
      </c>
      <c r="B1279" s="2" t="str">
        <f>=HYPERLINK("https://www.xiaohongshu.com/user/profile/657bfa9d000000001901013f", "https://www.xiaohongshu.com/user/profile/657bfa9d000000001901013f")</f>
        <v>https://www.xiaohongshu.com/user/profile/657bfa9d000000001901013f</v>
      </c>
      <c r="C1279" s="2" t="str">
        <f>=HYPERLINK("https://pgy.xiaohongshu.com/solar/pre-trade/blogger-detail/657bfa9d000000001901013f", "https://pgy.xiaohongshu.com/solar/pre-trade/blogger-detail/657bfa9d000000001901013f")</f>
        <v>https://pgy.xiaohongshu.com/solar/pre-trade/blogger-detail/657bfa9d000000001901013f</v>
      </c>
      <c r="D1279" t="inlineStr">
        <is>
          <t>男</t>
        </is>
      </c>
      <c r="E1279" t="inlineStr">
        <is>
          <t>4840837671</t>
        </is>
      </c>
      <c r="F1279" t="inlineStr">
        <is>
          <t>爱学习的扎西</t>
        </is>
      </c>
      <c r="G1279" t="inlineStr">
        <is>
          <t>湖南 岳阳 临湘市</t>
        </is>
      </c>
      <c r="H1279" t="inlineStr">
        <is>
          <t>学生</t>
        </is>
      </c>
      <c r="I1279" t="inlineStr">
        <is>
          <t>教育</t>
        </is>
      </c>
      <c r="J1279">
        <v>1845</v>
      </c>
      <c r="K1279" t="inlineStr">
        <is>
          <t>0.2</t>
        </is>
      </c>
      <c r="L1279">
        <v>10212</v>
      </c>
      <c r="M1279">
        <v>2326</v>
      </c>
      <c r="N1279">
        <v>101</v>
      </c>
      <c r="O1279">
        <v>150</v>
      </c>
      <c r="P1279">
        <v>0</v>
      </c>
      <c r="Q1279">
        <v>0.25</v>
      </c>
      <c r="R1279">
        <v>10212</v>
      </c>
      <c r="S1279">
        <v>2326</v>
      </c>
      <c r="T1279">
        <v>89</v>
      </c>
      <c r="U1279">
        <v>0.36</v>
      </c>
      <c r="V1279">
        <v>150</v>
      </c>
      <c r="W1279">
        <v>0.25</v>
      </c>
      <c r="X1279">
        <v>0</v>
      </c>
      <c r="Y1279">
        <v>14.69</v>
      </c>
      <c r="Z1279">
        <v>1.49</v>
      </c>
      <c r="AA1279">
        <v>0</v>
      </c>
      <c r="AB1279">
        <v>0</v>
      </c>
      <c r="AC1279">
        <v>0</v>
      </c>
      <c r="AD1279">
        <v>0</v>
      </c>
      <c r="AE1279">
        <v>250</v>
      </c>
      <c r="AF1279">
        <v>0</v>
      </c>
      <c r="AG1279">
        <v>0</v>
      </c>
      <c r="AH1279">
        <v>0</v>
      </c>
      <c r="AI1279">
        <v>0</v>
      </c>
      <c r="AJ1279">
        <v>0</v>
      </c>
      <c r="AK1279">
        <v>0</v>
      </c>
      <c r="AL1279">
        <v>0</v>
      </c>
      <c r="AM1279">
        <v>0</v>
      </c>
      <c r="AN1279">
        <v>0</v>
      </c>
      <c r="AO1279">
        <v>0</v>
      </c>
      <c r="AP1279">
        <v>0.83</v>
      </c>
      <c r="AQ1279">
        <v>0.017</v>
      </c>
      <c r="AR1279">
        <v>0.012</v>
      </c>
      <c r="AS1279" s="3">
        <v>46107.77954861111</v>
      </c>
    </row>
    <row r="1280" ht="25.5" customHeight="1">
      <c r="A1280" t="inlineStr">
        <is>
          <t>688c930b000000002801c2b6</t>
        </is>
      </c>
      <c r="B1280" s="2" t="str">
        <f>=HYPERLINK("https://www.xiaohongshu.com/user/profile/688c930b000000002801c2b6", "https://www.xiaohongshu.com/user/profile/688c930b000000002801c2b6")</f>
        <v>https://www.xiaohongshu.com/user/profile/688c930b000000002801c2b6</v>
      </c>
      <c r="C1280" s="2" t="str">
        <f>=HYPERLINK("https://pgy.xiaohongshu.com/solar/pre-trade/blogger-detail/688c930b000000002801c2b6", "https://pgy.xiaohongshu.com/solar/pre-trade/blogger-detail/688c930b000000002801c2b6")</f>
        <v>https://pgy.xiaohongshu.com/solar/pre-trade/blogger-detail/688c930b000000002801c2b6</v>
      </c>
      <c r="D1280" t="inlineStr">
        <is>
          <t>男</t>
        </is>
      </c>
      <c r="E1280" t="inlineStr">
        <is>
          <t>xing95478</t>
        </is>
      </c>
      <c r="F1280" t="inlineStr">
        <is>
          <t>华桦（马理论罐头教育）</t>
        </is>
      </c>
      <c r="G1280" t="inlineStr">
        <is>
          <t>甘肃 兰州 榆中县</t>
        </is>
      </c>
      <c r="H1280"/>
      <c r="I1280" t="inlineStr">
        <is>
          <t>教育</t>
        </is>
      </c>
      <c r="J1280">
        <v>7193</v>
      </c>
      <c r="K1280" t="inlineStr">
        <is>
          <t>0.7</t>
        </is>
      </c>
      <c r="L1280">
        <v>6843</v>
      </c>
      <c r="M1280">
        <v>1881</v>
      </c>
      <c r="N1280">
        <v>165</v>
      </c>
      <c r="O1280">
        <v>100</v>
      </c>
      <c r="P1280">
        <v>0.083</v>
      </c>
      <c r="Q1280">
        <v>0.583</v>
      </c>
      <c r="R1280">
        <v>6300</v>
      </c>
      <c r="S1280">
        <v>1025</v>
      </c>
      <c r="T1280">
        <v>18</v>
      </c>
      <c r="U1280">
        <v>0.4</v>
      </c>
      <c r="V1280">
        <v>100</v>
      </c>
      <c r="W1280">
        <v>0</v>
      </c>
      <c r="X1280">
        <v>0</v>
      </c>
      <c r="Y1280">
        <v>15.87</v>
      </c>
      <c r="Z1280">
        <v>2.63</v>
      </c>
      <c r="AA1280">
        <v>22930</v>
      </c>
      <c r="AB1280">
        <v>4469</v>
      </c>
      <c r="AC1280">
        <v>632</v>
      </c>
      <c r="AD1280">
        <v>1.57</v>
      </c>
      <c r="AE1280">
        <v>300</v>
      </c>
      <c r="AF1280">
        <v>0.875</v>
      </c>
      <c r="AG1280">
        <v>0.125</v>
      </c>
      <c r="AH1280">
        <v>0.006</v>
      </c>
      <c r="AI1280">
        <v>13.08</v>
      </c>
      <c r="AJ1280">
        <v>0.4</v>
      </c>
      <c r="AK1280">
        <v>0</v>
      </c>
      <c r="AL1280">
        <v>0</v>
      </c>
      <c r="AM1280">
        <v>0</v>
      </c>
      <c r="AN1280">
        <v>0</v>
      </c>
      <c r="AO1280">
        <v>0</v>
      </c>
      <c r="AP1280">
        <v>0.994</v>
      </c>
      <c r="AQ1280">
        <v>0.341</v>
      </c>
      <c r="AR1280">
        <v>0</v>
      </c>
      <c r="AS1280" s="3">
        <v>46107.77954861111</v>
      </c>
    </row>
    <row r="1281" ht="25.5" customHeight="1">
      <c r="A1281" t="inlineStr">
        <is>
          <t>6467a5070000000025037bb9</t>
        </is>
      </c>
      <c r="B1281" s="2" t="str">
        <f>=HYPERLINK("https://www.xiaohongshu.com/user/profile/6467a5070000000025037bb9", "https://www.xiaohongshu.com/user/profile/6467a5070000000025037bb9")</f>
        <v>https://www.xiaohongshu.com/user/profile/6467a5070000000025037bb9</v>
      </c>
      <c r="C1281" s="2" t="str">
        <f>=HYPERLINK("https://pgy.xiaohongshu.com/solar/pre-trade/blogger-detail/6467a5070000000025037bb9", "https://pgy.xiaohongshu.com/solar/pre-trade/blogger-detail/6467a5070000000025037bb9")</f>
        <v>https://pgy.xiaohongshu.com/solar/pre-trade/blogger-detail/6467a5070000000025037bb9</v>
      </c>
      <c r="D1281" t="inlineStr">
        <is>
          <t>女</t>
        </is>
      </c>
      <c r="E1281" t="inlineStr">
        <is>
          <t>luhaigoing</t>
        </is>
      </c>
      <c r="F1281" t="inlineStr">
        <is>
          <t>恩倬vicky</t>
        </is>
      </c>
      <c r="G1281" t="inlineStr">
        <is>
          <t>福建 厦门 湖里区</t>
        </is>
      </c>
      <c r="H1281"/>
      <c r="I1281" t="inlineStr">
        <is>
          <t>教育</t>
        </is>
      </c>
      <c r="J1281">
        <v>2771</v>
      </c>
      <c r="K1281" t="inlineStr">
        <is>
          <t>0.3</t>
        </is>
      </c>
      <c r="L1281">
        <v>17647</v>
      </c>
      <c r="M1281">
        <v>6165</v>
      </c>
      <c r="N1281">
        <v>201</v>
      </c>
      <c r="O1281">
        <v>217</v>
      </c>
      <c r="P1281">
        <v>0</v>
      </c>
      <c r="Q1281">
        <v>0</v>
      </c>
      <c r="R1281">
        <v>17647</v>
      </c>
      <c r="S1281">
        <v>6165</v>
      </c>
      <c r="T1281">
        <v>134</v>
      </c>
      <c r="U1281">
        <v>0.34</v>
      </c>
      <c r="V1281">
        <v>217</v>
      </c>
      <c r="W1281">
        <v>0</v>
      </c>
      <c r="X1281">
        <v>0</v>
      </c>
      <c r="Y1281">
        <v>12.3</v>
      </c>
      <c r="Z1281">
        <v>1.08</v>
      </c>
      <c r="AA1281">
        <v>0</v>
      </c>
      <c r="AB1281">
        <v>0</v>
      </c>
      <c r="AC1281">
        <v>0</v>
      </c>
      <c r="AD1281">
        <v>0</v>
      </c>
      <c r="AE1281">
        <v>0</v>
      </c>
      <c r="AF1281">
        <v>0</v>
      </c>
      <c r="AG1281">
        <v>0</v>
      </c>
      <c r="AH1281">
        <v>0</v>
      </c>
      <c r="AI1281">
        <v>0</v>
      </c>
      <c r="AJ1281">
        <v>0</v>
      </c>
      <c r="AK1281">
        <v>0</v>
      </c>
      <c r="AL1281">
        <v>0</v>
      </c>
      <c r="AM1281">
        <v>0</v>
      </c>
      <c r="AN1281">
        <v>0</v>
      </c>
      <c r="AO1281">
        <v>0</v>
      </c>
      <c r="AP1281">
        <v>0.839</v>
      </c>
      <c r="AQ1281">
        <v>0.04</v>
      </c>
      <c r="AR1281">
        <v>0.021</v>
      </c>
      <c r="AS1281" s="3">
        <v>46107.7797337963</v>
      </c>
    </row>
    <row r="1282" ht="25.5" customHeight="1">
      <c r="A1282" t="inlineStr">
        <is>
          <t>5935505250c4b4579c021f99</t>
        </is>
      </c>
      <c r="B1282" s="2" t="str">
        <f>=HYPERLINK("https://www.xiaohongshu.com/user/profile/5935505250c4b4579c021f99", "https://www.xiaohongshu.com/user/profile/5935505250c4b4579c021f99")</f>
        <v>https://www.xiaohongshu.com/user/profile/5935505250c4b4579c021f99</v>
      </c>
      <c r="C1282" s="2" t="str">
        <f>=HYPERLINK("https://pgy.xiaohongshu.com/solar/pre-trade/blogger-detail/5935505250c4b4579c021f99", "https://pgy.xiaohongshu.com/solar/pre-trade/blogger-detail/5935505250c4b4579c021f99")</f>
        <v>https://pgy.xiaohongshu.com/solar/pre-trade/blogger-detail/5935505250c4b4579c021f99</v>
      </c>
      <c r="D1282" t="inlineStr">
        <is>
          <t>女</t>
        </is>
      </c>
      <c r="E1282" t="inlineStr">
        <is>
          <t>952027254</t>
        </is>
      </c>
      <c r="F1282" t="inlineStr">
        <is>
          <t>Royi学英语</t>
        </is>
      </c>
      <c r="G1282" t="inlineStr">
        <is>
          <t>江苏 苏州 虎丘区</t>
        </is>
      </c>
      <c r="H1282"/>
      <c r="I1282" t="inlineStr">
        <is>
          <t>教育</t>
        </is>
      </c>
      <c r="J1282">
        <v>12057</v>
      </c>
      <c r="K1282" t="inlineStr">
        <is>
          <t>1.2</t>
        </is>
      </c>
      <c r="L1282">
        <v>4231</v>
      </c>
      <c r="M1282">
        <v>917</v>
      </c>
      <c r="N1282">
        <v>162</v>
      </c>
      <c r="O1282">
        <v>800</v>
      </c>
      <c r="P1282">
        <v>0</v>
      </c>
      <c r="Q1282">
        <v>0.2</v>
      </c>
      <c r="R1282">
        <v>0</v>
      </c>
      <c r="S1282">
        <v>0</v>
      </c>
      <c r="T1282">
        <v>0</v>
      </c>
      <c r="U1282">
        <v>0</v>
      </c>
      <c r="V1282">
        <v>800</v>
      </c>
      <c r="W1282">
        <v>0</v>
      </c>
      <c r="X1282">
        <v>0</v>
      </c>
      <c r="Y1282">
        <v>0</v>
      </c>
      <c r="Z1282">
        <v>0</v>
      </c>
      <c r="AA1282">
        <v>4231</v>
      </c>
      <c r="AB1282">
        <v>917</v>
      </c>
      <c r="AC1282">
        <v>120</v>
      </c>
      <c r="AD1282">
        <v>2.59</v>
      </c>
      <c r="AE1282">
        <v>1000</v>
      </c>
      <c r="AF1282">
        <v>0.2</v>
      </c>
      <c r="AG1282">
        <v>0</v>
      </c>
      <c r="AH1282">
        <v>0.294</v>
      </c>
      <c r="AI1282">
        <v>236.35</v>
      </c>
      <c r="AJ1282">
        <v>6.17</v>
      </c>
      <c r="AK1282">
        <v>0</v>
      </c>
      <c r="AL1282">
        <v>0</v>
      </c>
      <c r="AM1282">
        <v>0</v>
      </c>
      <c r="AN1282">
        <v>0</v>
      </c>
      <c r="AO1282">
        <v>0</v>
      </c>
      <c r="AP1282">
        <v>0.907</v>
      </c>
      <c r="AQ1282">
        <v>0.017</v>
      </c>
      <c r="AR1282">
        <v>0.02</v>
      </c>
      <c r="AS1282" s="3">
        <v>46107.7797337963</v>
      </c>
    </row>
    <row r="1283" ht="25.5" customHeight="1">
      <c r="A1283" t="inlineStr">
        <is>
          <t>5af21f5a11be1040c0a25392</t>
        </is>
      </c>
      <c r="B1283" s="2" t="str">
        <f>=HYPERLINK("https://www.xiaohongshu.com/user/profile/5af21f5a11be1040c0a25392", "https://www.xiaohongshu.com/user/profile/5af21f5a11be1040c0a25392")</f>
        <v>https://www.xiaohongshu.com/user/profile/5af21f5a11be1040c0a25392</v>
      </c>
      <c r="C1283" s="2" t="str">
        <f>=HYPERLINK("https://pgy.xiaohongshu.com/solar/pre-trade/blogger-detail/5af21f5a11be1040c0a25392", "https://pgy.xiaohongshu.com/solar/pre-trade/blogger-detail/5af21f5a11be1040c0a25392")</f>
        <v>https://pgy.xiaohongshu.com/solar/pre-trade/blogger-detail/5af21f5a11be1040c0a25392</v>
      </c>
      <c r="D1283" t="inlineStr">
        <is>
          <t>女</t>
        </is>
      </c>
      <c r="E1283" t="inlineStr">
        <is>
          <t>2229728411</t>
        </is>
      </c>
      <c r="F1283" t="inlineStr">
        <is>
          <t>Vickyyy小畅</t>
        </is>
      </c>
      <c r="G1283" t="inlineStr">
        <is>
          <t>上海</t>
        </is>
      </c>
      <c r="H1283" t="inlineStr">
        <is>
          <t>留学背景</t>
        </is>
      </c>
      <c r="I1283" t="inlineStr">
        <is>
          <t>美食</t>
        </is>
      </c>
      <c r="J1283">
        <v>453440</v>
      </c>
      <c r="K1283" t="inlineStr">
        <is>
          <t>45.3</t>
        </is>
      </c>
      <c r="L1283">
        <v>549794</v>
      </c>
      <c r="M1283">
        <v>130978</v>
      </c>
      <c r="N1283">
        <v>12434</v>
      </c>
      <c r="O1283">
        <v>40000</v>
      </c>
      <c r="P1283">
        <v>1</v>
      </c>
      <c r="Q1283">
        <v>1</v>
      </c>
      <c r="R1283">
        <v>332491</v>
      </c>
      <c r="S1283">
        <v>63816</v>
      </c>
      <c r="T1283">
        <v>3557</v>
      </c>
      <c r="U1283">
        <v>0</v>
      </c>
      <c r="V1283">
        <v>0</v>
      </c>
      <c r="W1283">
        <v>1</v>
      </c>
      <c r="X1283">
        <v>1</v>
      </c>
      <c r="Y1283">
        <v>0</v>
      </c>
      <c r="Z1283">
        <v>0</v>
      </c>
      <c r="AA1283">
        <v>674767</v>
      </c>
      <c r="AB1283">
        <v>145958</v>
      </c>
      <c r="AC1283">
        <v>11976</v>
      </c>
      <c r="AD1283">
        <v>1.77</v>
      </c>
      <c r="AE1283">
        <v>40000</v>
      </c>
      <c r="AF1283">
        <v>1</v>
      </c>
      <c r="AG1283">
        <v>1</v>
      </c>
      <c r="AH1283">
        <v>0.076</v>
      </c>
      <c r="AI1283">
        <v>59.28</v>
      </c>
      <c r="AJ1283">
        <v>2.94</v>
      </c>
      <c r="AK1283">
        <v>0</v>
      </c>
      <c r="AL1283">
        <v>0</v>
      </c>
      <c r="AM1283">
        <v>0</v>
      </c>
      <c r="AN1283">
        <v>0</v>
      </c>
      <c r="AO1283">
        <v>0</v>
      </c>
      <c r="AP1283">
        <v>0.885999999999999</v>
      </c>
      <c r="AQ1283">
        <v>0.078</v>
      </c>
      <c r="AR1283">
        <v>0.036</v>
      </c>
      <c r="AS1283" s="3">
        <v>46107.7797337963</v>
      </c>
    </row>
    <row r="1284" ht="25.5" customHeight="1">
      <c r="A1284" t="inlineStr">
        <is>
          <t>632adc5600000000230382ce</t>
        </is>
      </c>
      <c r="B1284" s="2" t="str">
        <f>=HYPERLINK("https://www.xiaohongshu.com/user/profile/632adc5600000000230382ce", "https://www.xiaohongshu.com/user/profile/632adc5600000000230382ce")</f>
        <v>https://www.xiaohongshu.com/user/profile/632adc5600000000230382ce</v>
      </c>
      <c r="C1284" s="2" t="str">
        <f>=HYPERLINK("https://pgy.xiaohongshu.com/solar/pre-trade/blogger-detail/632adc5600000000230382ce", "https://pgy.xiaohongshu.com/solar/pre-trade/blogger-detail/632adc5600000000230382ce")</f>
        <v>https://pgy.xiaohongshu.com/solar/pre-trade/blogger-detail/632adc5600000000230382ce</v>
      </c>
      <c r="D1284" t="inlineStr">
        <is>
          <t>女</t>
        </is>
      </c>
      <c r="E1284" t="inlineStr">
        <is>
          <t>5667789124</t>
        </is>
      </c>
      <c r="F1284" t="inlineStr">
        <is>
          <t>咪一英语</t>
        </is>
      </c>
      <c r="G1284" t="inlineStr">
        <is>
          <t>山东 青岛 崂山区</t>
        </is>
      </c>
      <c r="H1284"/>
      <c r="I1284" t="inlineStr">
        <is>
          <t>教育</t>
        </is>
      </c>
      <c r="J1284">
        <v>9544</v>
      </c>
      <c r="K1284" t="inlineStr">
        <is>
          <t>1.0</t>
        </is>
      </c>
      <c r="L1284">
        <v>3554</v>
      </c>
      <c r="M1284">
        <v>893</v>
      </c>
      <c r="N1284">
        <v>118</v>
      </c>
      <c r="O1284">
        <v>200</v>
      </c>
      <c r="P1284">
        <v>0</v>
      </c>
      <c r="Q1284">
        <v>0.166999999999999</v>
      </c>
      <c r="R1284">
        <v>0</v>
      </c>
      <c r="S1284">
        <v>0</v>
      </c>
      <c r="T1284">
        <v>0</v>
      </c>
      <c r="U1284">
        <v>0</v>
      </c>
      <c r="V1284">
        <v>200</v>
      </c>
      <c r="W1284">
        <v>0</v>
      </c>
      <c r="X1284">
        <v>0</v>
      </c>
      <c r="Y1284">
        <v>0</v>
      </c>
      <c r="Z1284">
        <v>0</v>
      </c>
      <c r="AA1284">
        <v>3554</v>
      </c>
      <c r="AB1284">
        <v>893</v>
      </c>
      <c r="AC1284">
        <v>93</v>
      </c>
      <c r="AD1284">
        <v>2.4</v>
      </c>
      <c r="AE1284">
        <v>800</v>
      </c>
      <c r="AF1284">
        <v>0.166999999999999</v>
      </c>
      <c r="AG1284">
        <v>0</v>
      </c>
      <c r="AH1284">
        <v>0.0289999999999999</v>
      </c>
      <c r="AI1284">
        <v>225.1</v>
      </c>
      <c r="AJ1284">
        <v>6.78</v>
      </c>
      <c r="AK1284">
        <v>0</v>
      </c>
      <c r="AL1284">
        <v>0</v>
      </c>
      <c r="AM1284">
        <v>0</v>
      </c>
      <c r="AN1284">
        <v>0</v>
      </c>
      <c r="AO1284">
        <v>0</v>
      </c>
      <c r="AP1284">
        <v>0.955</v>
      </c>
      <c r="AQ1284">
        <v>0.0579999999999999</v>
      </c>
      <c r="AR1284">
        <v>0.081</v>
      </c>
      <c r="AS1284" s="3">
        <v>46107.7797337963</v>
      </c>
    </row>
    <row r="1285" ht="25.5" customHeight="1">
      <c r="A1285" t="inlineStr">
        <is>
          <t>5e9809140000000001007e1b</t>
        </is>
      </c>
      <c r="B1285" s="2" t="str">
        <f>=HYPERLINK("https://www.xiaohongshu.com/user/profile/5e9809140000000001007e1b", "https://www.xiaohongshu.com/user/profile/5e9809140000000001007e1b")</f>
        <v>https://www.xiaohongshu.com/user/profile/5e9809140000000001007e1b</v>
      </c>
      <c r="C1285" s="2" t="str">
        <f>=HYPERLINK("https://pgy.xiaohongshu.com/solar/pre-trade/blogger-detail/5e9809140000000001007e1b", "https://pgy.xiaohongshu.com/solar/pre-trade/blogger-detail/5e9809140000000001007e1b")</f>
        <v>https://pgy.xiaohongshu.com/solar/pre-trade/blogger-detail/5e9809140000000001007e1b</v>
      </c>
      <c r="D1285" t="inlineStr">
        <is>
          <t>女</t>
        </is>
      </c>
      <c r="E1285" t="inlineStr">
        <is>
          <t>713560412</t>
        </is>
      </c>
      <c r="F1285" t="inlineStr">
        <is>
          <t>KK医学英语</t>
        </is>
      </c>
      <c r="G1285" t="inlineStr">
        <is>
          <t>广东 深圳 坪山区</t>
        </is>
      </c>
      <c r="H1285"/>
      <c r="I1285" t="inlineStr">
        <is>
          <t>教育</t>
        </is>
      </c>
      <c r="J1285">
        <v>20607</v>
      </c>
      <c r="K1285" t="inlineStr">
        <is>
          <t>2.1</t>
        </is>
      </c>
      <c r="L1285">
        <v>7201</v>
      </c>
      <c r="M1285">
        <v>2844</v>
      </c>
      <c r="N1285">
        <v>192</v>
      </c>
      <c r="O1285">
        <v>100</v>
      </c>
      <c r="P1285">
        <v>0.111</v>
      </c>
      <c r="Q1285">
        <v>0.444</v>
      </c>
      <c r="R1285">
        <v>0</v>
      </c>
      <c r="S1285">
        <v>0</v>
      </c>
      <c r="T1285">
        <v>0</v>
      </c>
      <c r="U1285">
        <v>0</v>
      </c>
      <c r="V1285">
        <v>100</v>
      </c>
      <c r="W1285">
        <v>0</v>
      </c>
      <c r="X1285">
        <v>0</v>
      </c>
      <c r="Y1285">
        <v>0</v>
      </c>
      <c r="Z1285">
        <v>0</v>
      </c>
      <c r="AA1285">
        <v>7697</v>
      </c>
      <c r="AB1285">
        <v>2945</v>
      </c>
      <c r="AC1285">
        <v>124</v>
      </c>
      <c r="AD1285">
        <v>1.53</v>
      </c>
      <c r="AE1285">
        <v>100</v>
      </c>
      <c r="AF1285">
        <v>0.444</v>
      </c>
      <c r="AG1285">
        <v>0.111</v>
      </c>
      <c r="AH1285">
        <v>0.196999999999999</v>
      </c>
      <c r="AI1285">
        <v>12.99</v>
      </c>
      <c r="AJ1285">
        <v>0.52</v>
      </c>
      <c r="AK1285">
        <v>0</v>
      </c>
      <c r="AL1285">
        <v>0</v>
      </c>
      <c r="AM1285">
        <v>0</v>
      </c>
      <c r="AN1285">
        <v>0</v>
      </c>
      <c r="AO1285">
        <v>0</v>
      </c>
      <c r="AP1285">
        <v>1</v>
      </c>
      <c r="AQ1285">
        <v>0.273</v>
      </c>
      <c r="AR1285">
        <v>0</v>
      </c>
      <c r="AS1285" s="3">
        <v>46107.7797337963</v>
      </c>
    </row>
    <row r="1286" ht="25.5" customHeight="1">
      <c r="A1286" t="inlineStr">
        <is>
          <t>5e39911a000000000100133d</t>
        </is>
      </c>
      <c r="B1286" s="2" t="str">
        <f>=HYPERLINK("https://www.xiaohongshu.com/user/profile/5e39911a000000000100133d", "https://www.xiaohongshu.com/user/profile/5e39911a000000000100133d")</f>
        <v>https://www.xiaohongshu.com/user/profile/5e39911a000000000100133d</v>
      </c>
      <c r="C1286" s="2" t="str">
        <f>=HYPERLINK("https://pgy.xiaohongshu.com/solar/pre-trade/blogger-detail/5e39911a000000000100133d", "https://pgy.xiaohongshu.com/solar/pre-trade/blogger-detail/5e39911a000000000100133d")</f>
        <v>https://pgy.xiaohongshu.com/solar/pre-trade/blogger-detail/5e39911a000000000100133d</v>
      </c>
      <c r="D1286" t="inlineStr">
        <is>
          <t>男</t>
        </is>
      </c>
      <c r="E1286" t="inlineStr">
        <is>
          <t>123965053</t>
        </is>
      </c>
      <c r="F1286" t="inlineStr">
        <is>
          <t>滚爹教数学</t>
        </is>
      </c>
      <c r="G1286" t="inlineStr">
        <is>
          <t>四川 成都 都江堰市</t>
        </is>
      </c>
      <c r="H1286"/>
      <c r="I1286" t="inlineStr">
        <is>
          <t>教育</t>
        </is>
      </c>
      <c r="J1286">
        <v>1175</v>
      </c>
      <c r="K1286" t="inlineStr">
        <is>
          <t>0.1</t>
        </is>
      </c>
      <c r="L1286">
        <v>4929</v>
      </c>
      <c r="M1286">
        <v>631</v>
      </c>
      <c r="N1286">
        <v>100</v>
      </c>
      <c r="O1286">
        <v>100</v>
      </c>
      <c r="P1286">
        <v>0</v>
      </c>
      <c r="Q1286">
        <v>0.332999999999999</v>
      </c>
      <c r="R1286">
        <v>4929</v>
      </c>
      <c r="S1286">
        <v>631</v>
      </c>
      <c r="T1286">
        <v>88</v>
      </c>
      <c r="U1286">
        <v>0.46</v>
      </c>
      <c r="V1286">
        <v>100</v>
      </c>
      <c r="W1286">
        <v>0.332999999999999</v>
      </c>
      <c r="X1286">
        <v>0</v>
      </c>
      <c r="Y1286">
        <v>20.29</v>
      </c>
      <c r="Z1286">
        <v>1</v>
      </c>
      <c r="AA1286">
        <v>0</v>
      </c>
      <c r="AB1286">
        <v>0</v>
      </c>
      <c r="AC1286">
        <v>0</v>
      </c>
      <c r="AD1286">
        <v>0</v>
      </c>
      <c r="AE1286">
        <v>200</v>
      </c>
      <c r="AF1286">
        <v>0</v>
      </c>
      <c r="AG1286">
        <v>0</v>
      </c>
      <c r="AH1286">
        <v>0</v>
      </c>
      <c r="AI1286">
        <v>0</v>
      </c>
      <c r="AJ1286">
        <v>0</v>
      </c>
      <c r="AK1286">
        <v>0</v>
      </c>
      <c r="AL1286">
        <v>0</v>
      </c>
      <c r="AM1286">
        <v>0</v>
      </c>
      <c r="AN1286">
        <v>0</v>
      </c>
      <c r="AO1286">
        <v>0</v>
      </c>
      <c r="AP1286">
        <v>0.968</v>
      </c>
      <c r="AQ1286">
        <v>0.106</v>
      </c>
      <c r="AR1286">
        <v>0.115</v>
      </c>
      <c r="AS1286" s="3">
        <v>46107.7797337963</v>
      </c>
    </row>
    <row r="1287" ht="25.5" customHeight="1">
      <c r="A1287" t="inlineStr">
        <is>
          <t>662d9cc40000000003031930</t>
        </is>
      </c>
      <c r="B1287" s="2" t="str">
        <f>=HYPERLINK("https://www.xiaohongshu.com/user/profile/662d9cc40000000003031930", "https://www.xiaohongshu.com/user/profile/662d9cc40000000003031930")</f>
        <v>https://www.xiaohongshu.com/user/profile/662d9cc40000000003031930</v>
      </c>
      <c r="C1287" s="2" t="str">
        <f>=HYPERLINK("https://pgy.xiaohongshu.com/solar/pre-trade/blogger-detail/662d9cc40000000003031930", "https://pgy.xiaohongshu.com/solar/pre-trade/blogger-detail/662d9cc40000000003031930")</f>
        <v>https://pgy.xiaohongshu.com/solar/pre-trade/blogger-detail/662d9cc40000000003031930</v>
      </c>
      <c r="D1287" t="inlineStr">
        <is>
          <t>女</t>
        </is>
      </c>
      <c r="E1287" t="inlineStr">
        <is>
          <t>26547989312</t>
        </is>
      </c>
      <c r="F1287" t="inlineStr">
        <is>
          <t>伊啾豆嘿</t>
        </is>
      </c>
      <c r="G1287" t="inlineStr">
        <is>
          <t>上海</t>
        </is>
      </c>
      <c r="H1287" t="inlineStr">
        <is>
          <t>考研过来人, 学生, 运营</t>
        </is>
      </c>
      <c r="I1287" t="inlineStr">
        <is>
          <t>教育</t>
        </is>
      </c>
      <c r="J1287">
        <v>1731</v>
      </c>
      <c r="K1287" t="inlineStr">
        <is>
          <t>0.2</t>
        </is>
      </c>
      <c r="L1287">
        <v>54387</v>
      </c>
      <c r="M1287">
        <v>15628</v>
      </c>
      <c r="N1287">
        <v>273</v>
      </c>
      <c r="O1287">
        <v>300</v>
      </c>
      <c r="P1287">
        <v>0.332999999999999</v>
      </c>
      <c r="Q1287">
        <v>0.332999999999999</v>
      </c>
      <c r="R1287">
        <v>54387</v>
      </c>
      <c r="S1287">
        <v>15628</v>
      </c>
      <c r="T1287">
        <v>163</v>
      </c>
      <c r="U1287">
        <v>0.45</v>
      </c>
      <c r="V1287">
        <v>300</v>
      </c>
      <c r="W1287">
        <v>0.332999999999999</v>
      </c>
      <c r="X1287">
        <v>0.332999999999999</v>
      </c>
      <c r="Y1287">
        <v>36.69</v>
      </c>
      <c r="Z1287">
        <v>2.59</v>
      </c>
      <c r="AA1287">
        <v>0</v>
      </c>
      <c r="AB1287">
        <v>0</v>
      </c>
      <c r="AC1287">
        <v>0</v>
      </c>
      <c r="AD1287">
        <v>0</v>
      </c>
      <c r="AE1287">
        <v>400</v>
      </c>
      <c r="AF1287">
        <v>0</v>
      </c>
      <c r="AG1287">
        <v>0</v>
      </c>
      <c r="AH1287">
        <v>0</v>
      </c>
      <c r="AI1287">
        <v>0</v>
      </c>
      <c r="AJ1287">
        <v>0</v>
      </c>
      <c r="AK1287">
        <v>2674</v>
      </c>
      <c r="AL1287">
        <v>331</v>
      </c>
      <c r="AM1287">
        <v>54</v>
      </c>
      <c r="AN1287">
        <v>0</v>
      </c>
      <c r="AO1287">
        <v>0</v>
      </c>
      <c r="AP1287">
        <v>0.900999999999999</v>
      </c>
      <c r="AQ1287">
        <v>0.07</v>
      </c>
      <c r="AR1287">
        <v>0.061</v>
      </c>
      <c r="AS1287" s="3">
        <v>46107.7797337963</v>
      </c>
    </row>
    <row r="1288" ht="25.5" customHeight="1">
      <c r="A1288" t="inlineStr">
        <is>
          <t>5cf1bc100000000016024f2a</t>
        </is>
      </c>
      <c r="B1288" s="2" t="str">
        <f>=HYPERLINK("https://www.xiaohongshu.com/user/profile/5cf1bc100000000016024f2a", "https://www.xiaohongshu.com/user/profile/5cf1bc100000000016024f2a")</f>
        <v>https://www.xiaohongshu.com/user/profile/5cf1bc100000000016024f2a</v>
      </c>
      <c r="C1288" s="2" t="str">
        <f>=HYPERLINK("https://pgy.xiaohongshu.com/solar/pre-trade/blogger-detail/5cf1bc100000000016024f2a", "https://pgy.xiaohongshu.com/solar/pre-trade/blogger-detail/5cf1bc100000000016024f2a")</f>
        <v>https://pgy.xiaohongshu.com/solar/pre-trade/blogger-detail/5cf1bc100000000016024f2a</v>
      </c>
      <c r="D1288" t="inlineStr">
        <is>
          <t>女</t>
        </is>
      </c>
      <c r="E1288" t="inlineStr">
        <is>
          <t>996259822</t>
        </is>
      </c>
      <c r="F1288" t="inlineStr">
        <is>
          <t>医学考研蜻蜓老师</t>
        </is>
      </c>
      <c r="G1288" t="inlineStr">
        <is>
          <t>北京</t>
        </is>
      </c>
      <c r="H1288"/>
      <c r="I1288" t="inlineStr">
        <is>
          <t>教育, 出行旅游</t>
        </is>
      </c>
      <c r="J1288">
        <v>2878</v>
      </c>
      <c r="K1288" t="inlineStr">
        <is>
          <t>0.3</t>
        </is>
      </c>
      <c r="L1288">
        <v>5167</v>
      </c>
      <c r="M1288">
        <v>1069</v>
      </c>
      <c r="N1288">
        <v>397</v>
      </c>
      <c r="O1288">
        <v>170</v>
      </c>
      <c r="P1288">
        <v>0</v>
      </c>
      <c r="Q1288">
        <v>0.542</v>
      </c>
      <c r="R1288">
        <v>6131</v>
      </c>
      <c r="S1288">
        <v>1244</v>
      </c>
      <c r="T1288">
        <v>377</v>
      </c>
      <c r="U1288">
        <v>0.44</v>
      </c>
      <c r="V1288">
        <v>170</v>
      </c>
      <c r="W1288">
        <v>0.65</v>
      </c>
      <c r="X1288">
        <v>0</v>
      </c>
      <c r="Y1288">
        <v>27.73</v>
      </c>
      <c r="Z1288">
        <v>0.36</v>
      </c>
      <c r="AA1288">
        <v>739</v>
      </c>
      <c r="AB1288">
        <v>112</v>
      </c>
      <c r="AC1288">
        <v>4</v>
      </c>
      <c r="AD1288">
        <v>0</v>
      </c>
      <c r="AE1288">
        <v>0</v>
      </c>
      <c r="AF1288">
        <v>0</v>
      </c>
      <c r="AG1288">
        <v>0</v>
      </c>
      <c r="AH1288">
        <v>0.039</v>
      </c>
      <c r="AI1288">
        <v>0</v>
      </c>
      <c r="AJ1288">
        <v>0</v>
      </c>
      <c r="AK1288">
        <v>0</v>
      </c>
      <c r="AL1288">
        <v>0</v>
      </c>
      <c r="AM1288">
        <v>0</v>
      </c>
      <c r="AN1288">
        <v>0</v>
      </c>
      <c r="AO1288">
        <v>0</v>
      </c>
      <c r="AP1288">
        <v>0.682999999999999</v>
      </c>
      <c r="AQ1288">
        <v>0.083</v>
      </c>
      <c r="AR1288">
        <v>0.141</v>
      </c>
      <c r="AS1288" s="3">
        <v>46107.7797337963</v>
      </c>
    </row>
    <row r="1289" ht="25.5" customHeight="1">
      <c r="A1289" t="inlineStr">
        <is>
          <t>59fc34d4e8ac2b388c6958e6</t>
        </is>
      </c>
      <c r="B1289" s="2" t="str">
        <f>=HYPERLINK("https://www.xiaohongshu.com/user/profile/59fc34d4e8ac2b388c6958e6", "https://www.xiaohongshu.com/user/profile/59fc34d4e8ac2b388c6958e6")</f>
        <v>https://www.xiaohongshu.com/user/profile/59fc34d4e8ac2b388c6958e6</v>
      </c>
      <c r="C1289" s="2" t="str">
        <f>=HYPERLINK("https://pgy.xiaohongshu.com/solar/pre-trade/blogger-detail/59fc34d4e8ac2b388c6958e6", "https://pgy.xiaohongshu.com/solar/pre-trade/blogger-detail/59fc34d4e8ac2b388c6958e6")</f>
        <v>https://pgy.xiaohongshu.com/solar/pre-trade/blogger-detail/59fc34d4e8ac2b388c6958e6</v>
      </c>
      <c r="D1289" t="inlineStr">
        <is>
          <t>女</t>
        </is>
      </c>
      <c r="E1289" t="inlineStr">
        <is>
          <t>496119615</t>
        </is>
      </c>
      <c r="F1289" t="inlineStr">
        <is>
          <t>Dan新西兰社工</t>
        </is>
      </c>
      <c r="G1289" t="inlineStr">
        <is>
          <t>新西兰</t>
        </is>
      </c>
      <c r="H1289" t="inlineStr">
        <is>
          <t>留学背景, 海外华人</t>
        </is>
      </c>
      <c r="I1289" t="inlineStr">
        <is>
          <t>职场</t>
        </is>
      </c>
      <c r="J1289">
        <v>2958</v>
      </c>
      <c r="K1289" t="inlineStr">
        <is>
          <t>0.3</t>
        </is>
      </c>
      <c r="L1289">
        <v>10156</v>
      </c>
      <c r="M1289">
        <v>2173</v>
      </c>
      <c r="N1289">
        <v>106</v>
      </c>
      <c r="O1289">
        <v>125</v>
      </c>
      <c r="P1289">
        <v>0</v>
      </c>
      <c r="Q1289">
        <v>0.25</v>
      </c>
      <c r="R1289">
        <v>7947</v>
      </c>
      <c r="S1289">
        <v>901</v>
      </c>
      <c r="T1289">
        <v>73</v>
      </c>
      <c r="U1289">
        <v>0.44</v>
      </c>
      <c r="V1289">
        <v>125</v>
      </c>
      <c r="W1289">
        <v>0.25</v>
      </c>
      <c r="X1289">
        <v>0</v>
      </c>
      <c r="Y1289">
        <v>15.73</v>
      </c>
      <c r="Z1289">
        <v>1.49</v>
      </c>
      <c r="AA1289">
        <v>10976</v>
      </c>
      <c r="AB1289">
        <v>2479</v>
      </c>
      <c r="AC1289">
        <v>89</v>
      </c>
      <c r="AD1289">
        <v>1.72</v>
      </c>
      <c r="AE1289">
        <v>546</v>
      </c>
      <c r="AF1289">
        <v>0.25</v>
      </c>
      <c r="AG1289">
        <v>0</v>
      </c>
      <c r="AH1289">
        <v>0.377999999999999</v>
      </c>
      <c r="AI1289">
        <v>49.74</v>
      </c>
      <c r="AJ1289">
        <v>4.33</v>
      </c>
      <c r="AK1289">
        <v>0</v>
      </c>
      <c r="AL1289">
        <v>0</v>
      </c>
      <c r="AM1289">
        <v>0</v>
      </c>
      <c r="AN1289">
        <v>0</v>
      </c>
      <c r="AO1289">
        <v>0</v>
      </c>
      <c r="AP1289">
        <v>0.967</v>
      </c>
      <c r="AQ1289">
        <v>0.166999999999999</v>
      </c>
      <c r="AR1289">
        <v>0.660999999999999</v>
      </c>
      <c r="AS1289" s="3">
        <v>46107.7797337963</v>
      </c>
    </row>
    <row r="1290" ht="25.5" customHeight="1">
      <c r="A1290" t="inlineStr">
        <is>
          <t>60c0ae9e000000000101f151</t>
        </is>
      </c>
      <c r="B1290" s="2" t="str">
        <f>=HYPERLINK("https://www.xiaohongshu.com/user/profile/60c0ae9e000000000101f151", "https://www.xiaohongshu.com/user/profile/60c0ae9e000000000101f151")</f>
        <v>https://www.xiaohongshu.com/user/profile/60c0ae9e000000000101f151</v>
      </c>
      <c r="C1290" s="2" t="str">
        <f>=HYPERLINK("https://pgy.xiaohongshu.com/solar/pre-trade/blogger-detail/60c0ae9e000000000101f151", "https://pgy.xiaohongshu.com/solar/pre-trade/blogger-detail/60c0ae9e000000000101f151")</f>
        <v>https://pgy.xiaohongshu.com/solar/pre-trade/blogger-detail/60c0ae9e000000000101f151</v>
      </c>
      <c r="D1290" t="inlineStr">
        <is>
          <t>女</t>
        </is>
      </c>
      <c r="E1290" t="inlineStr">
        <is>
          <t>1156791957</t>
        </is>
      </c>
      <c r="F1290" t="inlineStr">
        <is>
          <t>贝塔</t>
        </is>
      </c>
      <c r="G1290" t="inlineStr">
        <is>
          <t>上海</t>
        </is>
      </c>
      <c r="H1290"/>
      <c r="I1290" t="inlineStr">
        <is>
          <t>教育</t>
        </is>
      </c>
      <c r="J1290">
        <v>1183</v>
      </c>
      <c r="K1290" t="inlineStr">
        <is>
          <t>0.1</t>
        </is>
      </c>
      <c r="L1290">
        <v>4062</v>
      </c>
      <c r="M1290">
        <v>875</v>
      </c>
      <c r="N1290">
        <v>101</v>
      </c>
      <c r="O1290">
        <v>200</v>
      </c>
      <c r="P1290">
        <v>0</v>
      </c>
      <c r="Q1290">
        <v>0</v>
      </c>
      <c r="R1290">
        <v>4062</v>
      </c>
      <c r="S1290">
        <v>875</v>
      </c>
      <c r="T1290">
        <v>62</v>
      </c>
      <c r="U1290">
        <v>0.53</v>
      </c>
      <c r="V1290">
        <v>200</v>
      </c>
      <c r="W1290">
        <v>0</v>
      </c>
      <c r="X1290">
        <v>0</v>
      </c>
      <c r="Y1290">
        <v>49.24</v>
      </c>
      <c r="Z1290">
        <v>1.98</v>
      </c>
      <c r="AA1290">
        <v>0</v>
      </c>
      <c r="AB1290">
        <v>0</v>
      </c>
      <c r="AC1290">
        <v>0</v>
      </c>
      <c r="AD1290">
        <v>0</v>
      </c>
      <c r="AE1290">
        <v>300</v>
      </c>
      <c r="AF1290">
        <v>0</v>
      </c>
      <c r="AG1290">
        <v>0</v>
      </c>
      <c r="AH1290">
        <v>0</v>
      </c>
      <c r="AI1290">
        <v>0</v>
      </c>
      <c r="AJ1290">
        <v>0</v>
      </c>
      <c r="AK1290">
        <v>0</v>
      </c>
      <c r="AL1290">
        <v>0</v>
      </c>
      <c r="AM1290">
        <v>0</v>
      </c>
      <c r="AN1290">
        <v>0</v>
      </c>
      <c r="AO1290">
        <v>0</v>
      </c>
      <c r="AP1290">
        <v>0.877</v>
      </c>
      <c r="AQ1290">
        <v>0.107</v>
      </c>
      <c r="AR1290">
        <v>0.115</v>
      </c>
      <c r="AS1290" s="3">
        <v>46107.7797337963</v>
      </c>
    </row>
    <row r="1291" ht="25.5" customHeight="1">
      <c r="A1291" t="inlineStr">
        <is>
          <t>59512bc850c4b42c8ccd756c</t>
        </is>
      </c>
      <c r="B1291" s="2" t="str">
        <f>=HYPERLINK("https://www.xiaohongshu.com/user/profile/59512bc850c4b42c8ccd756c", "https://www.xiaohongshu.com/user/profile/59512bc850c4b42c8ccd756c")</f>
        <v>https://www.xiaohongshu.com/user/profile/59512bc850c4b42c8ccd756c</v>
      </c>
      <c r="C1291" s="2" t="str">
        <f>=HYPERLINK("https://pgy.xiaohongshu.com/solar/pre-trade/blogger-detail/59512bc850c4b42c8ccd756c", "https://pgy.xiaohongshu.com/solar/pre-trade/blogger-detail/59512bc850c4b42c8ccd756c")</f>
        <v>https://pgy.xiaohongshu.com/solar/pre-trade/blogger-detail/59512bc850c4b42c8ccd756c</v>
      </c>
      <c r="D1291" t="inlineStr">
        <is>
          <t>女</t>
        </is>
      </c>
      <c r="E1291" t="inlineStr">
        <is>
          <t>116640381</t>
        </is>
      </c>
      <c r="F1291" t="inlineStr">
        <is>
          <t>韩语橙子老师</t>
        </is>
      </c>
      <c r="G1291" t="inlineStr">
        <is>
          <t>吉林 延边朝鲜族自治州 延吉市</t>
        </is>
      </c>
      <c r="H1291" t="inlineStr">
        <is>
          <t>留学背景</t>
        </is>
      </c>
      <c r="I1291" t="inlineStr">
        <is>
          <t>教育</t>
        </is>
      </c>
      <c r="J1291">
        <v>11226</v>
      </c>
      <c r="K1291" t="inlineStr">
        <is>
          <t>1.1</t>
        </is>
      </c>
      <c r="L1291">
        <v>4018</v>
      </c>
      <c r="M1291">
        <v>1336</v>
      </c>
      <c r="N1291">
        <v>130</v>
      </c>
      <c r="O1291">
        <v>500</v>
      </c>
      <c r="P1291">
        <v>0</v>
      </c>
      <c r="Q1291">
        <v>0.25</v>
      </c>
      <c r="R1291">
        <v>0</v>
      </c>
      <c r="S1291">
        <v>0</v>
      </c>
      <c r="T1291">
        <v>0</v>
      </c>
      <c r="U1291">
        <v>0</v>
      </c>
      <c r="V1291">
        <v>500</v>
      </c>
      <c r="W1291">
        <v>0</v>
      </c>
      <c r="X1291">
        <v>0</v>
      </c>
      <c r="Y1291">
        <v>0</v>
      </c>
      <c r="Z1291">
        <v>0</v>
      </c>
      <c r="AA1291">
        <v>4018</v>
      </c>
      <c r="AB1291">
        <v>1336</v>
      </c>
      <c r="AC1291">
        <v>98</v>
      </c>
      <c r="AD1291">
        <v>2.25</v>
      </c>
      <c r="AE1291">
        <v>1000</v>
      </c>
      <c r="AF1291">
        <v>0.25</v>
      </c>
      <c r="AG1291">
        <v>0</v>
      </c>
      <c r="AH1291">
        <v>0.0969999999999999</v>
      </c>
      <c r="AI1291">
        <v>248.88</v>
      </c>
      <c r="AJ1291">
        <v>7.66</v>
      </c>
      <c r="AK1291">
        <v>0</v>
      </c>
      <c r="AL1291">
        <v>0</v>
      </c>
      <c r="AM1291">
        <v>0</v>
      </c>
      <c r="AN1291">
        <v>0</v>
      </c>
      <c r="AO1291">
        <v>0</v>
      </c>
      <c r="AP1291">
        <v>0.785</v>
      </c>
      <c r="AQ1291">
        <v>0.022</v>
      </c>
      <c r="AR1291">
        <v>0.031</v>
      </c>
      <c r="AS1291" s="3">
        <v>46107.7797337963</v>
      </c>
    </row>
    <row r="1292" ht="25.5" customHeight="1">
      <c r="A1292" t="inlineStr">
        <is>
          <t>605ef7e300000000010078df</t>
        </is>
      </c>
      <c r="B1292" s="2" t="str">
        <f>=HYPERLINK("https://www.xiaohongshu.com/user/profile/605ef7e300000000010078df", "https://www.xiaohongshu.com/user/profile/605ef7e300000000010078df")</f>
        <v>https://www.xiaohongshu.com/user/profile/605ef7e300000000010078df</v>
      </c>
      <c r="C1292" s="2" t="str">
        <f>=HYPERLINK("https://pgy.xiaohongshu.com/solar/pre-trade/blogger-detail/605ef7e300000000010078df", "https://pgy.xiaohongshu.com/solar/pre-trade/blogger-detail/605ef7e300000000010078df")</f>
        <v>https://pgy.xiaohongshu.com/solar/pre-trade/blogger-detail/605ef7e300000000010078df</v>
      </c>
      <c r="D1292" t="inlineStr">
        <is>
          <t>女</t>
        </is>
      </c>
      <c r="E1292" t="inlineStr">
        <is>
          <t>Ceci_icy</t>
        </is>
      </c>
      <c r="F1292" t="inlineStr">
        <is>
          <t>ENERI</t>
        </is>
      </c>
      <c r="G1292" t="inlineStr">
        <is>
          <t>加拿大</t>
        </is>
      </c>
      <c r="H1292"/>
      <c r="I1292" t="inlineStr">
        <is>
          <t>教育</t>
        </is>
      </c>
      <c r="J1292">
        <v>1140</v>
      </c>
      <c r="K1292" t="inlineStr">
        <is>
          <t>0.1</t>
        </is>
      </c>
      <c r="L1292">
        <v>2246</v>
      </c>
      <c r="M1292">
        <v>664</v>
      </c>
      <c r="N1292">
        <v>106</v>
      </c>
      <c r="O1292">
        <v>100</v>
      </c>
      <c r="P1292">
        <v>0</v>
      </c>
      <c r="Q1292">
        <v>0</v>
      </c>
      <c r="R1292">
        <v>0</v>
      </c>
      <c r="S1292">
        <v>0</v>
      </c>
      <c r="T1292">
        <v>0</v>
      </c>
      <c r="U1292">
        <v>0</v>
      </c>
      <c r="V1292">
        <v>100</v>
      </c>
      <c r="W1292">
        <v>0</v>
      </c>
      <c r="X1292">
        <v>0</v>
      </c>
      <c r="Y1292">
        <v>0</v>
      </c>
      <c r="Z1292">
        <v>0</v>
      </c>
      <c r="AA1292">
        <v>2246</v>
      </c>
      <c r="AB1292">
        <v>664</v>
      </c>
      <c r="AC1292">
        <v>82</v>
      </c>
      <c r="AD1292">
        <v>1.95</v>
      </c>
      <c r="AE1292">
        <v>300</v>
      </c>
      <c r="AF1292">
        <v>0</v>
      </c>
      <c r="AG1292">
        <v>0</v>
      </c>
      <c r="AH1292">
        <v>0.05</v>
      </c>
      <c r="AI1292">
        <v>133.57</v>
      </c>
      <c r="AJ1292">
        <v>2.83</v>
      </c>
      <c r="AK1292">
        <v>0</v>
      </c>
      <c r="AL1292">
        <v>0</v>
      </c>
      <c r="AM1292">
        <v>0</v>
      </c>
      <c r="AN1292">
        <v>0</v>
      </c>
      <c r="AO1292">
        <v>0</v>
      </c>
      <c r="AP1292">
        <v>0.632</v>
      </c>
      <c r="AQ1292">
        <v>0.042</v>
      </c>
      <c r="AR1292">
        <v>0</v>
      </c>
      <c r="AS1292" s="3">
        <v>46107.7797337963</v>
      </c>
    </row>
    <row r="1293" ht="25.5" customHeight="1">
      <c r="A1293" t="inlineStr">
        <is>
          <t>6474812e0000000010036107</t>
        </is>
      </c>
      <c r="B1293" s="2" t="str">
        <f>=HYPERLINK("https://www.xiaohongshu.com/user/profile/6474812e0000000010036107", "https://www.xiaohongshu.com/user/profile/6474812e0000000010036107")</f>
        <v>https://www.xiaohongshu.com/user/profile/6474812e0000000010036107</v>
      </c>
      <c r="C1293" s="2" t="str">
        <f>=HYPERLINK("https://pgy.xiaohongshu.com/solar/pre-trade/blogger-detail/6474812e0000000010036107", "https://pgy.xiaohongshu.com/solar/pre-trade/blogger-detail/6474812e0000000010036107")</f>
        <v>https://pgy.xiaohongshu.com/solar/pre-trade/blogger-detail/6474812e0000000010036107</v>
      </c>
      <c r="D1293" t="inlineStr">
        <is>
          <t>男</t>
        </is>
      </c>
      <c r="E1293" t="inlineStr">
        <is>
          <t>6892032574</t>
        </is>
      </c>
      <c r="F1293" t="inlineStr">
        <is>
          <t>英语考试研究生</t>
        </is>
      </c>
      <c r="G1293" t="inlineStr">
        <is>
          <t>湖北 武汉 黄陂区</t>
        </is>
      </c>
      <c r="H1293"/>
      <c r="I1293" t="inlineStr">
        <is>
          <t>教育</t>
        </is>
      </c>
      <c r="J1293">
        <v>6051</v>
      </c>
      <c r="K1293" t="inlineStr">
        <is>
          <t>0.6</t>
        </is>
      </c>
      <c r="L1293">
        <v>4568</v>
      </c>
      <c r="M1293">
        <v>761</v>
      </c>
      <c r="N1293">
        <v>131</v>
      </c>
      <c r="O1293">
        <v>294</v>
      </c>
      <c r="P1293">
        <v>0</v>
      </c>
      <c r="Q1293">
        <v>0</v>
      </c>
      <c r="R1293">
        <v>4568</v>
      </c>
      <c r="S1293">
        <v>761</v>
      </c>
      <c r="T1293">
        <v>116</v>
      </c>
      <c r="U1293">
        <v>0.69</v>
      </c>
      <c r="V1293">
        <v>294</v>
      </c>
      <c r="W1293">
        <v>0</v>
      </c>
      <c r="X1293">
        <v>0</v>
      </c>
      <c r="Y1293">
        <v>64.36</v>
      </c>
      <c r="Z1293">
        <v>2.24</v>
      </c>
      <c r="AA1293">
        <v>0</v>
      </c>
      <c r="AB1293">
        <v>0</v>
      </c>
      <c r="AC1293">
        <v>0</v>
      </c>
      <c r="AD1293">
        <v>0</v>
      </c>
      <c r="AE1293">
        <v>577</v>
      </c>
      <c r="AF1293">
        <v>0</v>
      </c>
      <c r="AG1293">
        <v>0</v>
      </c>
      <c r="AH1293">
        <v>0</v>
      </c>
      <c r="AI1293">
        <v>0</v>
      </c>
      <c r="AJ1293">
        <v>0</v>
      </c>
      <c r="AK1293">
        <v>0</v>
      </c>
      <c r="AL1293">
        <v>0</v>
      </c>
      <c r="AM1293">
        <v>0</v>
      </c>
      <c r="AN1293">
        <v>0</v>
      </c>
      <c r="AO1293">
        <v>0</v>
      </c>
      <c r="AP1293">
        <v>0.779</v>
      </c>
      <c r="AQ1293">
        <v>0.011</v>
      </c>
      <c r="AR1293">
        <v>-0.001</v>
      </c>
      <c r="AS1293" s="3">
        <v>46107.7797337963</v>
      </c>
    </row>
    <row r="1294" ht="25.5" customHeight="1">
      <c r="A1294" t="inlineStr">
        <is>
          <t>5f5439750000000001004569</t>
        </is>
      </c>
      <c r="B1294" s="2" t="str">
        <f>=HYPERLINK("https://www.xiaohongshu.com/user/profile/5f5439750000000001004569", "https://www.xiaohongshu.com/user/profile/5f5439750000000001004569")</f>
        <v>https://www.xiaohongshu.com/user/profile/5f5439750000000001004569</v>
      </c>
      <c r="C1294" s="2" t="str">
        <f>=HYPERLINK("https://pgy.xiaohongshu.com/solar/pre-trade/blogger-detail/5f5439750000000001004569", "https://pgy.xiaohongshu.com/solar/pre-trade/blogger-detail/5f5439750000000001004569")</f>
        <v>https://pgy.xiaohongshu.com/solar/pre-trade/blogger-detail/5f5439750000000001004569</v>
      </c>
      <c r="D1294" t="inlineStr">
        <is>
          <t>男</t>
        </is>
      </c>
      <c r="E1294" t="inlineStr">
        <is>
          <t>884494747</t>
        </is>
      </c>
      <c r="F1294" t="inlineStr">
        <is>
          <t>Acung阿冲</t>
        </is>
      </c>
      <c r="G1294" t="inlineStr">
        <is>
          <t>广东 广州 番禺区</t>
        </is>
      </c>
      <c r="H1294" t="inlineStr">
        <is>
          <t>考研过来人, 学生</t>
        </is>
      </c>
      <c r="I1294" t="inlineStr">
        <is>
          <t>教育</t>
        </is>
      </c>
      <c r="J1294">
        <v>3238</v>
      </c>
      <c r="K1294" t="inlineStr">
        <is>
          <t>0.3</t>
        </is>
      </c>
      <c r="L1294">
        <v>2866</v>
      </c>
      <c r="M1294">
        <v>611</v>
      </c>
      <c r="N1294">
        <v>117</v>
      </c>
      <c r="O1294">
        <v>182</v>
      </c>
      <c r="P1294">
        <v>0</v>
      </c>
      <c r="Q1294">
        <v>0</v>
      </c>
      <c r="R1294">
        <v>2866</v>
      </c>
      <c r="S1294">
        <v>611</v>
      </c>
      <c r="T1294">
        <v>106</v>
      </c>
      <c r="U1294">
        <v>0.6</v>
      </c>
      <c r="V1294">
        <v>182</v>
      </c>
      <c r="W1294">
        <v>0</v>
      </c>
      <c r="X1294">
        <v>0</v>
      </c>
      <c r="Y1294">
        <v>63.5</v>
      </c>
      <c r="Z1294">
        <v>1.56</v>
      </c>
      <c r="AA1294">
        <v>0</v>
      </c>
      <c r="AB1294">
        <v>0</v>
      </c>
      <c r="AC1294">
        <v>0</v>
      </c>
      <c r="AD1294">
        <v>0</v>
      </c>
      <c r="AE1294">
        <v>319</v>
      </c>
      <c r="AF1294">
        <v>0</v>
      </c>
      <c r="AG1294">
        <v>0</v>
      </c>
      <c r="AH1294">
        <v>0</v>
      </c>
      <c r="AI1294">
        <v>0</v>
      </c>
      <c r="AJ1294">
        <v>0</v>
      </c>
      <c r="AK1294">
        <v>0</v>
      </c>
      <c r="AL1294">
        <v>0</v>
      </c>
      <c r="AM1294">
        <v>0</v>
      </c>
      <c r="AN1294">
        <v>0</v>
      </c>
      <c r="AO1294">
        <v>0</v>
      </c>
      <c r="AP1294">
        <v>0.822</v>
      </c>
      <c r="AQ1294">
        <v>0.015</v>
      </c>
      <c r="AR1294">
        <v>0.003</v>
      </c>
      <c r="AS1294" s="3">
        <v>46107.7797337963</v>
      </c>
    </row>
    <row r="1295" ht="25.5" customHeight="1">
      <c r="A1295" t="inlineStr">
        <is>
          <t>618dda5e00000000100094ae</t>
        </is>
      </c>
      <c r="B1295" s="2" t="str">
        <f>=HYPERLINK("https://www.xiaohongshu.com/user/profile/618dda5e00000000100094ae", "https://www.xiaohongshu.com/user/profile/618dda5e00000000100094ae")</f>
        <v>https://www.xiaohongshu.com/user/profile/618dda5e00000000100094ae</v>
      </c>
      <c r="C1295" s="2" t="str">
        <f>=HYPERLINK("https://pgy.xiaohongshu.com/solar/pre-trade/blogger-detail/618dda5e00000000100094ae", "https://pgy.xiaohongshu.com/solar/pre-trade/blogger-detail/618dda5e00000000100094ae")</f>
        <v>https://pgy.xiaohongshu.com/solar/pre-trade/blogger-detail/618dda5e00000000100094ae</v>
      </c>
      <c r="D1295" t="inlineStr">
        <is>
          <t>女</t>
        </is>
      </c>
      <c r="E1295" t="inlineStr">
        <is>
          <t>5316355845</t>
        </is>
      </c>
      <c r="F1295" t="inlineStr">
        <is>
          <t>花绮柿子</t>
        </is>
      </c>
      <c r="G1295" t="inlineStr">
        <is>
          <t>日本</t>
        </is>
      </c>
      <c r="H1295" t="inlineStr">
        <is>
          <t>留学背景, 学生</t>
        </is>
      </c>
      <c r="I1295" t="inlineStr">
        <is>
          <t>教育</t>
        </is>
      </c>
      <c r="J1295">
        <v>6963</v>
      </c>
      <c r="K1295" t="inlineStr">
        <is>
          <t>0.7</t>
        </is>
      </c>
      <c r="L1295">
        <v>28544</v>
      </c>
      <c r="M1295">
        <v>3419</v>
      </c>
      <c r="N1295">
        <v>666</v>
      </c>
      <c r="O1295">
        <v>220</v>
      </c>
      <c r="P1295">
        <v>0.332999999999999</v>
      </c>
      <c r="Q1295">
        <v>1</v>
      </c>
      <c r="R1295">
        <v>28544</v>
      </c>
      <c r="S1295">
        <v>3419</v>
      </c>
      <c r="T1295">
        <v>575</v>
      </c>
      <c r="U1295">
        <v>0.37</v>
      </c>
      <c r="V1295">
        <v>220</v>
      </c>
      <c r="W1295">
        <v>1</v>
      </c>
      <c r="X1295">
        <v>0.332999999999999</v>
      </c>
      <c r="Y1295">
        <v>9.84</v>
      </c>
      <c r="Z1295">
        <v>0.43</v>
      </c>
      <c r="AA1295">
        <v>0</v>
      </c>
      <c r="AB1295">
        <v>0</v>
      </c>
      <c r="AC1295">
        <v>0</v>
      </c>
      <c r="AD1295">
        <v>0</v>
      </c>
      <c r="AE1295">
        <v>450</v>
      </c>
      <c r="AF1295">
        <v>0</v>
      </c>
      <c r="AG1295">
        <v>0</v>
      </c>
      <c r="AH1295">
        <v>0</v>
      </c>
      <c r="AI1295">
        <v>0</v>
      </c>
      <c r="AJ1295">
        <v>0</v>
      </c>
      <c r="AK1295">
        <v>9169</v>
      </c>
      <c r="AL1295">
        <v>1055</v>
      </c>
      <c r="AM1295">
        <v>326</v>
      </c>
      <c r="AN1295">
        <v>0</v>
      </c>
      <c r="AO1295">
        <v>0</v>
      </c>
      <c r="AP1295">
        <v>0.949</v>
      </c>
      <c r="AQ1295">
        <v>0.073</v>
      </c>
      <c r="AR1295">
        <v>0.052</v>
      </c>
      <c r="AS1295" s="3">
        <v>46107.7797337963</v>
      </c>
    </row>
    <row r="1296" ht="25.5" customHeight="1">
      <c r="A1296" t="inlineStr">
        <is>
          <t>5c1f8f560000000005035d23</t>
        </is>
      </c>
      <c r="B1296" s="2" t="str">
        <f>=HYPERLINK("https://www.xiaohongshu.com/user/profile/5c1f8f560000000005035d23", "https://www.xiaohongshu.com/user/profile/5c1f8f560000000005035d23")</f>
        <v>https://www.xiaohongshu.com/user/profile/5c1f8f560000000005035d23</v>
      </c>
      <c r="C1296" s="2" t="str">
        <f>=HYPERLINK("https://pgy.xiaohongshu.com/solar/pre-trade/blogger-detail/5c1f8f560000000005035d23", "https://pgy.xiaohongshu.com/solar/pre-trade/blogger-detail/5c1f8f560000000005035d23")</f>
        <v>https://pgy.xiaohongshu.com/solar/pre-trade/blogger-detail/5c1f8f560000000005035d23</v>
      </c>
      <c r="D1296" t="inlineStr">
        <is>
          <t>男</t>
        </is>
      </c>
      <c r="E1296" t="inlineStr">
        <is>
          <t>540508561</t>
        </is>
      </c>
      <c r="F1296" t="inlineStr">
        <is>
          <t>小栗子</t>
        </is>
      </c>
      <c r="G1296" t="inlineStr">
        <is>
          <t>河南 郑州 金水区</t>
        </is>
      </c>
      <c r="H1296"/>
      <c r="I1296" t="inlineStr">
        <is>
          <t>影视综资讯, 教育</t>
        </is>
      </c>
      <c r="J1296">
        <v>5645</v>
      </c>
      <c r="K1296" t="inlineStr">
        <is>
          <t>0.6</t>
        </is>
      </c>
      <c r="L1296">
        <v>13257</v>
      </c>
      <c r="M1296">
        <v>8912</v>
      </c>
      <c r="N1296">
        <v>231</v>
      </c>
      <c r="O1296">
        <v>150</v>
      </c>
      <c r="P1296">
        <v>0</v>
      </c>
      <c r="Q1296">
        <v>1</v>
      </c>
      <c r="R1296">
        <v>9565</v>
      </c>
      <c r="S1296">
        <v>2106</v>
      </c>
      <c r="T1296">
        <v>238</v>
      </c>
      <c r="U1296">
        <v>0.37</v>
      </c>
      <c r="V1296">
        <v>150</v>
      </c>
      <c r="W1296">
        <v>1</v>
      </c>
      <c r="X1296">
        <v>0</v>
      </c>
      <c r="Y1296">
        <v>15.68</v>
      </c>
      <c r="Z1296">
        <v>0.51</v>
      </c>
      <c r="AA1296">
        <v>16950</v>
      </c>
      <c r="AB1296">
        <v>15719</v>
      </c>
      <c r="AC1296">
        <v>155</v>
      </c>
      <c r="AD1296">
        <v>1.52</v>
      </c>
      <c r="AE1296">
        <v>250</v>
      </c>
      <c r="AF1296">
        <v>1</v>
      </c>
      <c r="AG1296">
        <v>0</v>
      </c>
      <c r="AH1296">
        <v>0.19</v>
      </c>
      <c r="AI1296">
        <v>14.75</v>
      </c>
      <c r="AJ1296">
        <v>1.48</v>
      </c>
      <c r="AK1296">
        <v>0</v>
      </c>
      <c r="AL1296">
        <v>0</v>
      </c>
      <c r="AM1296">
        <v>0</v>
      </c>
      <c r="AN1296">
        <v>0</v>
      </c>
      <c r="AO1296">
        <v>0</v>
      </c>
      <c r="AP1296">
        <v>0.884</v>
      </c>
      <c r="AQ1296">
        <v>0.005</v>
      </c>
      <c r="AR1296">
        <v>0.002</v>
      </c>
      <c r="AS1296" s="3">
        <v>46107.7797337963</v>
      </c>
    </row>
    <row r="1297" ht="25.5" customHeight="1">
      <c r="A1297" t="inlineStr">
        <is>
          <t>5e7e4673000000000100b113</t>
        </is>
      </c>
      <c r="B1297" s="2" t="str">
        <f>=HYPERLINK("https://www.xiaohongshu.com/user/profile/5e7e4673000000000100b113", "https://www.xiaohongshu.com/user/profile/5e7e4673000000000100b113")</f>
        <v>https://www.xiaohongshu.com/user/profile/5e7e4673000000000100b113</v>
      </c>
      <c r="C1297" s="2" t="str">
        <f>=HYPERLINK("https://pgy.xiaohongshu.com/solar/pre-trade/blogger-detail/5e7e4673000000000100b113", "https://pgy.xiaohongshu.com/solar/pre-trade/blogger-detail/5e7e4673000000000100b113")</f>
        <v>https://pgy.xiaohongshu.com/solar/pre-trade/blogger-detail/5e7e4673000000000100b113</v>
      </c>
      <c r="D1297" t="inlineStr">
        <is>
          <t>男</t>
        </is>
      </c>
      <c r="E1297" t="inlineStr">
        <is>
          <t>zz_3180_</t>
        </is>
      </c>
      <c r="F1297" t="inlineStr">
        <is>
          <t>恨不在逃</t>
        </is>
      </c>
      <c r="G1297" t="inlineStr">
        <is>
          <t>广东 深圳 龙华区</t>
        </is>
      </c>
      <c r="H1297" t="inlineStr">
        <is>
          <t>学生</t>
        </is>
      </c>
      <c r="I1297" t="inlineStr">
        <is>
          <t>美食, 教育</t>
        </is>
      </c>
      <c r="J1297">
        <v>4427</v>
      </c>
      <c r="K1297" t="inlineStr">
        <is>
          <t>0.4</t>
        </is>
      </c>
      <c r="L1297">
        <v>1617</v>
      </c>
      <c r="M1297">
        <v>1250</v>
      </c>
      <c r="N1297">
        <v>199</v>
      </c>
      <c r="O1297">
        <v>150</v>
      </c>
      <c r="P1297">
        <v>0.091</v>
      </c>
      <c r="Q1297">
        <v>0.545</v>
      </c>
      <c r="R1297">
        <v>320</v>
      </c>
      <c r="S1297">
        <v>49</v>
      </c>
      <c r="T1297">
        <v>17</v>
      </c>
      <c r="U1297">
        <v>3.36</v>
      </c>
      <c r="V1297">
        <v>150</v>
      </c>
      <c r="W1297">
        <v>0</v>
      </c>
      <c r="X1297">
        <v>0</v>
      </c>
      <c r="Y1297">
        <v>468.75</v>
      </c>
      <c r="Z1297">
        <v>7.5</v>
      </c>
      <c r="AA1297">
        <v>1710</v>
      </c>
      <c r="AB1297">
        <v>1253</v>
      </c>
      <c r="AC1297">
        <v>151</v>
      </c>
      <c r="AD1297">
        <v>1.68</v>
      </c>
      <c r="AE1297">
        <v>220</v>
      </c>
      <c r="AF1297">
        <v>0.6</v>
      </c>
      <c r="AG1297">
        <v>0.1</v>
      </c>
      <c r="AH1297">
        <v>0.442</v>
      </c>
      <c r="AI1297">
        <v>128.65</v>
      </c>
      <c r="AJ1297">
        <v>1</v>
      </c>
      <c r="AK1297">
        <v>0</v>
      </c>
      <c r="AL1297">
        <v>0</v>
      </c>
      <c r="AM1297">
        <v>0</v>
      </c>
      <c r="AN1297">
        <v>0</v>
      </c>
      <c r="AO1297">
        <v>0</v>
      </c>
      <c r="AP1297">
        <v>0.847</v>
      </c>
      <c r="AQ1297">
        <v>0.008</v>
      </c>
      <c r="AR1297">
        <v>0.003</v>
      </c>
      <c r="AS1297" s="3">
        <v>46107.7797337963</v>
      </c>
    </row>
    <row r="1298" ht="25.5" customHeight="1">
      <c r="A1298" t="inlineStr">
        <is>
          <t>5e22ba64000000000100aea2</t>
        </is>
      </c>
      <c r="B1298" s="2" t="str">
        <f>=HYPERLINK("https://www.xiaohongshu.com/user/profile/5e22ba64000000000100aea2", "https://www.xiaohongshu.com/user/profile/5e22ba64000000000100aea2")</f>
        <v>https://www.xiaohongshu.com/user/profile/5e22ba64000000000100aea2</v>
      </c>
      <c r="C1298" s="2" t="str">
        <f>=HYPERLINK("https://pgy.xiaohongshu.com/solar/pre-trade/blogger-detail/5e22ba64000000000100aea2", "https://pgy.xiaohongshu.com/solar/pre-trade/blogger-detail/5e22ba64000000000100aea2")</f>
        <v>https://pgy.xiaohongshu.com/solar/pre-trade/blogger-detail/5e22ba64000000000100aea2</v>
      </c>
      <c r="D1298" t="inlineStr">
        <is>
          <t>女</t>
        </is>
      </c>
      <c r="E1298" t="inlineStr">
        <is>
          <t>577584650</t>
        </is>
      </c>
      <c r="F1298" t="inlineStr">
        <is>
          <t>小E讲翻译</t>
        </is>
      </c>
      <c r="G1298" t="inlineStr">
        <is>
          <t>上海</t>
        </is>
      </c>
      <c r="H1298" t="inlineStr">
        <is>
          <t>翻译</t>
        </is>
      </c>
      <c r="I1298" t="inlineStr">
        <is>
          <t>教育</t>
        </is>
      </c>
      <c r="J1298">
        <v>12715</v>
      </c>
      <c r="K1298" t="inlineStr">
        <is>
          <t>1.3</t>
        </is>
      </c>
      <c r="L1298">
        <v>5805</v>
      </c>
      <c r="M1298">
        <v>821</v>
      </c>
      <c r="N1298">
        <v>128</v>
      </c>
      <c r="O1298">
        <v>224</v>
      </c>
      <c r="P1298">
        <v>0</v>
      </c>
      <c r="Q1298">
        <v>0.143</v>
      </c>
      <c r="R1298">
        <v>5805</v>
      </c>
      <c r="S1298">
        <v>821</v>
      </c>
      <c r="T1298">
        <v>122</v>
      </c>
      <c r="U1298">
        <v>0.57</v>
      </c>
      <c r="V1298">
        <v>224</v>
      </c>
      <c r="W1298">
        <v>0.143</v>
      </c>
      <c r="X1298">
        <v>0</v>
      </c>
      <c r="Y1298">
        <v>38.59</v>
      </c>
      <c r="Z1298">
        <v>1.75</v>
      </c>
      <c r="AA1298">
        <v>0</v>
      </c>
      <c r="AB1298">
        <v>0</v>
      </c>
      <c r="AC1298">
        <v>0</v>
      </c>
      <c r="AD1298">
        <v>0</v>
      </c>
      <c r="AE1298">
        <v>1403</v>
      </c>
      <c r="AF1298">
        <v>0</v>
      </c>
      <c r="AG1298">
        <v>0</v>
      </c>
      <c r="AH1298">
        <v>0</v>
      </c>
      <c r="AI1298">
        <v>0</v>
      </c>
      <c r="AJ1298">
        <v>0</v>
      </c>
      <c r="AK1298">
        <v>0</v>
      </c>
      <c r="AL1298">
        <v>0</v>
      </c>
      <c r="AM1298">
        <v>0</v>
      </c>
      <c r="AN1298">
        <v>0</v>
      </c>
      <c r="AO1298">
        <v>0</v>
      </c>
      <c r="AP1298">
        <v>0.917</v>
      </c>
      <c r="AQ1298">
        <v>0.0289999999999999</v>
      </c>
      <c r="AR1298">
        <v>0.001</v>
      </c>
      <c r="AS1298" s="3">
        <v>46107.779965277776</v>
      </c>
    </row>
    <row r="1299" ht="25.5" customHeight="1">
      <c r="A1299" t="inlineStr">
        <is>
          <t>5f09b0f600000000010063a2</t>
        </is>
      </c>
      <c r="B1299" s="2" t="str">
        <f>=HYPERLINK("https://www.xiaohongshu.com/user/profile/5f09b0f600000000010063a2", "https://www.xiaohongshu.com/user/profile/5f09b0f600000000010063a2")</f>
        <v>https://www.xiaohongshu.com/user/profile/5f09b0f600000000010063a2</v>
      </c>
      <c r="C1299" s="2" t="str">
        <f>=HYPERLINK("https://pgy.xiaohongshu.com/solar/pre-trade/blogger-detail/5f09b0f600000000010063a2", "https://pgy.xiaohongshu.com/solar/pre-trade/blogger-detail/5f09b0f600000000010063a2")</f>
        <v>https://pgy.xiaohongshu.com/solar/pre-trade/blogger-detail/5f09b0f600000000010063a2</v>
      </c>
      <c r="D1299" t="inlineStr">
        <is>
          <t>女</t>
        </is>
      </c>
      <c r="E1299" t="inlineStr">
        <is>
          <t>n1an_722</t>
        </is>
      </c>
      <c r="F1299" t="inlineStr">
        <is>
          <t>盒装橙子</t>
        </is>
      </c>
      <c r="G1299" t="inlineStr">
        <is>
          <t>日本</t>
        </is>
      </c>
      <c r="H1299" t="inlineStr">
        <is>
          <t>二次元人群, 留学背景, 海外华人, 独居人群, 学生</t>
        </is>
      </c>
      <c r="I1299"/>
      <c r="J1299">
        <v>8403</v>
      </c>
      <c r="K1299" t="inlineStr">
        <is>
          <t>0.8</t>
        </is>
      </c>
      <c r="L1299">
        <v>6484</v>
      </c>
      <c r="M1299">
        <v>1619</v>
      </c>
      <c r="N1299">
        <v>180</v>
      </c>
      <c r="O1299">
        <v>440</v>
      </c>
      <c r="P1299">
        <v>0</v>
      </c>
      <c r="Q1299">
        <v>1</v>
      </c>
      <c r="R1299">
        <v>0</v>
      </c>
      <c r="S1299">
        <v>0</v>
      </c>
      <c r="T1299">
        <v>0</v>
      </c>
      <c r="U1299">
        <v>0</v>
      </c>
      <c r="V1299">
        <v>440</v>
      </c>
      <c r="W1299">
        <v>0</v>
      </c>
      <c r="X1299">
        <v>0</v>
      </c>
      <c r="Y1299">
        <v>0</v>
      </c>
      <c r="Z1299">
        <v>0</v>
      </c>
      <c r="AA1299">
        <v>6484</v>
      </c>
      <c r="AB1299">
        <v>1619</v>
      </c>
      <c r="AC1299">
        <v>174</v>
      </c>
      <c r="AD1299">
        <v>1.99</v>
      </c>
      <c r="AE1299">
        <v>800</v>
      </c>
      <c r="AF1299">
        <v>1</v>
      </c>
      <c r="AG1299">
        <v>0</v>
      </c>
      <c r="AH1299">
        <v>0.032</v>
      </c>
      <c r="AI1299">
        <v>123.38</v>
      </c>
      <c r="AJ1299">
        <v>4.44</v>
      </c>
      <c r="AK1299">
        <v>0</v>
      </c>
      <c r="AL1299">
        <v>0</v>
      </c>
      <c r="AM1299">
        <v>0</v>
      </c>
      <c r="AN1299">
        <v>0</v>
      </c>
      <c r="AO1299">
        <v>0</v>
      </c>
      <c r="AP1299">
        <v>0.725</v>
      </c>
      <c r="AQ1299">
        <v>0.01</v>
      </c>
      <c r="AR1299">
        <v>-0.001</v>
      </c>
      <c r="AS1299" s="3">
        <v>46107.779965277776</v>
      </c>
    </row>
    <row r="1300" ht="25.5" customHeight="1">
      <c r="A1300" t="inlineStr">
        <is>
          <t>5b76229e6bd7380001d2d846</t>
        </is>
      </c>
      <c r="B1300" s="2" t="str">
        <f>=HYPERLINK("https://www.xiaohongshu.com/user/profile/5b76229e6bd7380001d2d846", "https://www.xiaohongshu.com/user/profile/5b76229e6bd7380001d2d846")</f>
        <v>https://www.xiaohongshu.com/user/profile/5b76229e6bd7380001d2d846</v>
      </c>
      <c r="C1300" s="2" t="str">
        <f>=HYPERLINK("https://pgy.xiaohongshu.com/solar/pre-trade/blogger-detail/5b76229e6bd7380001d2d846", "https://pgy.xiaohongshu.com/solar/pre-trade/blogger-detail/5b76229e6bd7380001d2d846")</f>
        <v>https://pgy.xiaohongshu.com/solar/pre-trade/blogger-detail/5b76229e6bd7380001d2d846</v>
      </c>
      <c r="D1300" t="inlineStr">
        <is>
          <t>女</t>
        </is>
      </c>
      <c r="E1300" t="inlineStr">
        <is>
          <t>602317954</t>
        </is>
      </c>
      <c r="F1300" t="inlineStr">
        <is>
          <t>每日英语</t>
        </is>
      </c>
      <c r="G1300" t="inlineStr">
        <is>
          <t>山东 济南 市中区</t>
        </is>
      </c>
      <c r="H1300"/>
      <c r="I1300" t="inlineStr">
        <is>
          <t>教育</t>
        </is>
      </c>
      <c r="J1300">
        <v>8362</v>
      </c>
      <c r="K1300" t="inlineStr">
        <is>
          <t>0.8</t>
        </is>
      </c>
      <c r="L1300">
        <v>1413</v>
      </c>
      <c r="M1300">
        <v>656</v>
      </c>
      <c r="N1300">
        <v>103</v>
      </c>
      <c r="O1300">
        <v>171</v>
      </c>
      <c r="P1300">
        <v>0</v>
      </c>
      <c r="Q1300">
        <v>0</v>
      </c>
      <c r="R1300">
        <v>0</v>
      </c>
      <c r="S1300">
        <v>0</v>
      </c>
      <c r="T1300">
        <v>0</v>
      </c>
      <c r="U1300">
        <v>0</v>
      </c>
      <c r="V1300">
        <v>171</v>
      </c>
      <c r="W1300">
        <v>0</v>
      </c>
      <c r="X1300">
        <v>0</v>
      </c>
      <c r="Y1300">
        <v>0</v>
      </c>
      <c r="Z1300">
        <v>0</v>
      </c>
      <c r="AA1300">
        <v>1413</v>
      </c>
      <c r="AB1300">
        <v>656</v>
      </c>
      <c r="AC1300">
        <v>80</v>
      </c>
      <c r="AD1300">
        <v>1.89</v>
      </c>
      <c r="AE1300">
        <v>257</v>
      </c>
      <c r="AF1300">
        <v>0</v>
      </c>
      <c r="AG1300">
        <v>0</v>
      </c>
      <c r="AH1300">
        <v>0.354</v>
      </c>
      <c r="AI1300">
        <v>181.88</v>
      </c>
      <c r="AJ1300">
        <v>2.48</v>
      </c>
      <c r="AK1300">
        <v>0</v>
      </c>
      <c r="AL1300">
        <v>0</v>
      </c>
      <c r="AM1300">
        <v>0</v>
      </c>
      <c r="AN1300">
        <v>0</v>
      </c>
      <c r="AO1300">
        <v>0</v>
      </c>
      <c r="AP1300">
        <v>0.937</v>
      </c>
      <c r="AQ1300">
        <v>0.00699999999999999</v>
      </c>
      <c r="AR1300">
        <v>0.006</v>
      </c>
      <c r="AS1300" s="3">
        <v>46107.779965277776</v>
      </c>
    </row>
    <row r="1301" ht="25.5" customHeight="1">
      <c r="A1301" t="inlineStr">
        <is>
          <t>683fa33a000000001d0146bf</t>
        </is>
      </c>
      <c r="B1301" s="2" t="str">
        <f>=HYPERLINK("https://www.xiaohongshu.com/user/profile/683fa33a000000001d0146bf", "https://www.xiaohongshu.com/user/profile/683fa33a000000001d0146bf")</f>
        <v>https://www.xiaohongshu.com/user/profile/683fa33a000000001d0146bf</v>
      </c>
      <c r="C1301" s="2" t="str">
        <f>=HYPERLINK("https://pgy.xiaohongshu.com/solar/pre-trade/blogger-detail/683fa33a000000001d0146bf", "https://pgy.xiaohongshu.com/solar/pre-trade/blogger-detail/683fa33a000000001d0146bf")</f>
        <v>https://pgy.xiaohongshu.com/solar/pre-trade/blogger-detail/683fa33a000000001d0146bf</v>
      </c>
      <c r="D1301" t="inlineStr">
        <is>
          <t>女</t>
        </is>
      </c>
      <c r="E1301" t="inlineStr">
        <is>
          <t>42277599108</t>
        </is>
      </c>
      <c r="F1301" t="inlineStr">
        <is>
          <t>Florencia77</t>
        </is>
      </c>
      <c r="G1301" t="inlineStr">
        <is>
          <t>北京</t>
        </is>
      </c>
      <c r="H1301"/>
      <c r="I1301" t="inlineStr">
        <is>
          <t>教育</t>
        </is>
      </c>
      <c r="J1301">
        <v>6360</v>
      </c>
      <c r="K1301" t="inlineStr">
        <is>
          <t>0.6</t>
        </is>
      </c>
      <c r="L1301">
        <v>7762</v>
      </c>
      <c r="M1301">
        <v>1017</v>
      </c>
      <c r="N1301">
        <v>150</v>
      </c>
      <c r="O1301">
        <v>170</v>
      </c>
      <c r="P1301">
        <v>0.083</v>
      </c>
      <c r="Q1301">
        <v>0.332999999999999</v>
      </c>
      <c r="R1301">
        <v>7762</v>
      </c>
      <c r="S1301">
        <v>1017</v>
      </c>
      <c r="T1301">
        <v>115</v>
      </c>
      <c r="U1301">
        <v>0.47</v>
      </c>
      <c r="V1301">
        <v>170</v>
      </c>
      <c r="W1301">
        <v>0.332999999999999</v>
      </c>
      <c r="X1301">
        <v>0.083</v>
      </c>
      <c r="Y1301">
        <v>21.9</v>
      </c>
      <c r="Z1301">
        <v>1.13</v>
      </c>
      <c r="AA1301">
        <v>0</v>
      </c>
      <c r="AB1301">
        <v>0</v>
      </c>
      <c r="AC1301">
        <v>0</v>
      </c>
      <c r="AD1301">
        <v>0</v>
      </c>
      <c r="AE1301">
        <v>260</v>
      </c>
      <c r="AF1301">
        <v>0</v>
      </c>
      <c r="AG1301">
        <v>0</v>
      </c>
      <c r="AH1301">
        <v>0</v>
      </c>
      <c r="AI1301">
        <v>0</v>
      </c>
      <c r="AJ1301">
        <v>0</v>
      </c>
      <c r="AK1301">
        <v>0</v>
      </c>
      <c r="AL1301">
        <v>0</v>
      </c>
      <c r="AM1301">
        <v>0</v>
      </c>
      <c r="AN1301">
        <v>0</v>
      </c>
      <c r="AO1301">
        <v>0</v>
      </c>
      <c r="AP1301">
        <v>0.968</v>
      </c>
      <c r="AQ1301">
        <v>0.111</v>
      </c>
      <c r="AR1301">
        <v>0.173</v>
      </c>
      <c r="AS1301" s="3">
        <v>46107.779965277776</v>
      </c>
    </row>
    <row r="1302" ht="25.5" customHeight="1">
      <c r="A1302" t="inlineStr">
        <is>
          <t>664b49c90000000003031587</t>
        </is>
      </c>
      <c r="B1302" s="2" t="str">
        <f>=HYPERLINK("https://www.xiaohongshu.com/user/profile/664b49c90000000003031587", "https://www.xiaohongshu.com/user/profile/664b49c90000000003031587")</f>
        <v>https://www.xiaohongshu.com/user/profile/664b49c90000000003031587</v>
      </c>
      <c r="C1302" s="2" t="str">
        <f>=HYPERLINK("https://pgy.xiaohongshu.com/solar/pre-trade/blogger-detail/664b49c90000000003031587", "https://pgy.xiaohongshu.com/solar/pre-trade/blogger-detail/664b49c90000000003031587")</f>
        <v>https://pgy.xiaohongshu.com/solar/pre-trade/blogger-detail/664b49c90000000003031587</v>
      </c>
      <c r="D1302" t="inlineStr">
        <is>
          <t>女</t>
        </is>
      </c>
      <c r="E1302" t="inlineStr">
        <is>
          <t>Judy10136688</t>
        </is>
      </c>
      <c r="F1302" t="inlineStr">
        <is>
          <t>呼叫紫薯🍠</t>
        </is>
      </c>
      <c r="G1302" t="inlineStr">
        <is>
          <t>上海</t>
        </is>
      </c>
      <c r="H1302"/>
      <c r="I1302" t="inlineStr">
        <is>
          <t>教育</t>
        </is>
      </c>
      <c r="J1302">
        <v>1144</v>
      </c>
      <c r="K1302" t="inlineStr">
        <is>
          <t>0.1</t>
        </is>
      </c>
      <c r="L1302">
        <v>9102</v>
      </c>
      <c r="M1302">
        <v>2114</v>
      </c>
      <c r="N1302">
        <v>444</v>
      </c>
      <c r="O1302">
        <v>200</v>
      </c>
      <c r="P1302">
        <v>0</v>
      </c>
      <c r="Q1302">
        <v>1</v>
      </c>
      <c r="R1302">
        <v>9102</v>
      </c>
      <c r="S1302">
        <v>2114</v>
      </c>
      <c r="T1302">
        <v>394</v>
      </c>
      <c r="U1302">
        <v>0.39</v>
      </c>
      <c r="V1302">
        <v>200</v>
      </c>
      <c r="W1302">
        <v>1</v>
      </c>
      <c r="X1302">
        <v>0</v>
      </c>
      <c r="Y1302">
        <v>21.97</v>
      </c>
      <c r="Z1302">
        <v>0.45</v>
      </c>
      <c r="AA1302">
        <v>0</v>
      </c>
      <c r="AB1302">
        <v>0</v>
      </c>
      <c r="AC1302">
        <v>0</v>
      </c>
      <c r="AD1302">
        <v>0</v>
      </c>
      <c r="AE1302">
        <v>409</v>
      </c>
      <c r="AF1302">
        <v>0</v>
      </c>
      <c r="AG1302">
        <v>0</v>
      </c>
      <c r="AH1302">
        <v>0</v>
      </c>
      <c r="AI1302">
        <v>0</v>
      </c>
      <c r="AJ1302">
        <v>0</v>
      </c>
      <c r="AK1302">
        <v>0</v>
      </c>
      <c r="AL1302">
        <v>0</v>
      </c>
      <c r="AM1302">
        <v>0</v>
      </c>
      <c r="AN1302">
        <v>0</v>
      </c>
      <c r="AO1302">
        <v>0</v>
      </c>
      <c r="AP1302">
        <v>0.91</v>
      </c>
      <c r="AQ1302">
        <v>0.07</v>
      </c>
      <c r="AR1302">
        <v>0.068</v>
      </c>
      <c r="AS1302" s="3">
        <v>46107.779965277776</v>
      </c>
    </row>
    <row r="1303" ht="25.5" customHeight="1">
      <c r="A1303" t="inlineStr">
        <is>
          <t>63fabf16000000001f030504</t>
        </is>
      </c>
      <c r="B1303" s="2" t="str">
        <f>=HYPERLINK("https://www.xiaohongshu.com/user/profile/63fabf16000000001f030504", "https://www.xiaohongshu.com/user/profile/63fabf16000000001f030504")</f>
        <v>https://www.xiaohongshu.com/user/profile/63fabf16000000001f030504</v>
      </c>
      <c r="C1303" s="2" t="str">
        <f>=HYPERLINK("https://pgy.xiaohongshu.com/solar/pre-trade/blogger-detail/63fabf16000000001f030504", "https://pgy.xiaohongshu.com/solar/pre-trade/blogger-detail/63fabf16000000001f030504")</f>
        <v>https://pgy.xiaohongshu.com/solar/pre-trade/blogger-detail/63fabf16000000001f030504</v>
      </c>
      <c r="D1303" t="inlineStr">
        <is>
          <t>女</t>
        </is>
      </c>
      <c r="E1303" t="inlineStr">
        <is>
          <t>8951150225</t>
        </is>
      </c>
      <c r="F1303" t="inlineStr">
        <is>
          <t>瓶子妈妈在美国</t>
        </is>
      </c>
      <c r="G1303" t="inlineStr">
        <is>
          <t>美国</t>
        </is>
      </c>
      <c r="H1303"/>
      <c r="I1303" t="inlineStr">
        <is>
          <t>教育, 母婴</t>
        </is>
      </c>
      <c r="J1303">
        <v>9087</v>
      </c>
      <c r="K1303" t="inlineStr">
        <is>
          <t>0.9</t>
        </is>
      </c>
      <c r="L1303">
        <v>2682</v>
      </c>
      <c r="M1303">
        <v>1360</v>
      </c>
      <c r="N1303">
        <v>134</v>
      </c>
      <c r="O1303">
        <v>180</v>
      </c>
      <c r="P1303">
        <v>0.071</v>
      </c>
      <c r="Q1303">
        <v>0.214</v>
      </c>
      <c r="R1303">
        <v>0</v>
      </c>
      <c r="S1303">
        <v>0</v>
      </c>
      <c r="T1303">
        <v>0</v>
      </c>
      <c r="U1303">
        <v>0</v>
      </c>
      <c r="V1303">
        <v>180</v>
      </c>
      <c r="W1303">
        <v>0</v>
      </c>
      <c r="X1303">
        <v>0</v>
      </c>
      <c r="Y1303">
        <v>0</v>
      </c>
      <c r="Z1303">
        <v>0</v>
      </c>
      <c r="AA1303">
        <v>2682</v>
      </c>
      <c r="AB1303">
        <v>1360</v>
      </c>
      <c r="AC1303">
        <v>86</v>
      </c>
      <c r="AD1303">
        <v>1.69</v>
      </c>
      <c r="AE1303">
        <v>265</v>
      </c>
      <c r="AF1303">
        <v>0.214</v>
      </c>
      <c r="AG1303">
        <v>0.071</v>
      </c>
      <c r="AH1303">
        <v>0.375</v>
      </c>
      <c r="AI1303">
        <v>98.79</v>
      </c>
      <c r="AJ1303">
        <v>1.98</v>
      </c>
      <c r="AK1303">
        <v>0</v>
      </c>
      <c r="AL1303">
        <v>0</v>
      </c>
      <c r="AM1303">
        <v>0</v>
      </c>
      <c r="AN1303">
        <v>0</v>
      </c>
      <c r="AO1303">
        <v>0</v>
      </c>
      <c r="AP1303">
        <v>0.957</v>
      </c>
      <c r="AQ1303">
        <v>0.157</v>
      </c>
      <c r="AR1303">
        <v>0.742</v>
      </c>
      <c r="AS1303" s="3">
        <v>46107.779965277776</v>
      </c>
    </row>
    <row r="1304" ht="25.5" customHeight="1">
      <c r="A1304" t="inlineStr">
        <is>
          <t>62aeac2a000000001b024c7c</t>
        </is>
      </c>
      <c r="B1304" s="2" t="str">
        <f>=HYPERLINK("https://www.xiaohongshu.com/user/profile/62aeac2a000000001b024c7c", "https://www.xiaohongshu.com/user/profile/62aeac2a000000001b024c7c")</f>
        <v>https://www.xiaohongshu.com/user/profile/62aeac2a000000001b024c7c</v>
      </c>
      <c r="C1304" s="2" t="str">
        <f>=HYPERLINK("https://pgy.xiaohongshu.com/solar/pre-trade/blogger-detail/62aeac2a000000001b024c7c", "https://pgy.xiaohongshu.com/solar/pre-trade/blogger-detail/62aeac2a000000001b024c7c")</f>
        <v>https://pgy.xiaohongshu.com/solar/pre-trade/blogger-detail/62aeac2a000000001b024c7c</v>
      </c>
      <c r="D1304" t="inlineStr">
        <is>
          <t>女</t>
        </is>
      </c>
      <c r="E1304" t="inlineStr">
        <is>
          <t>1567846536</t>
        </is>
      </c>
      <c r="F1304" t="inlineStr">
        <is>
          <t>Jessica_</t>
        </is>
      </c>
      <c r="G1304" t="inlineStr">
        <is>
          <t>甘肃 兰州 城关区</t>
        </is>
      </c>
      <c r="H1304"/>
      <c r="I1304" t="inlineStr">
        <is>
          <t>教育, 生活记录</t>
        </is>
      </c>
      <c r="J1304">
        <v>29820</v>
      </c>
      <c r="K1304" t="inlineStr">
        <is>
          <t>3.0</t>
        </is>
      </c>
      <c r="L1304">
        <v>25440</v>
      </c>
      <c r="M1304">
        <v>4489</v>
      </c>
      <c r="N1304">
        <v>576</v>
      </c>
      <c r="O1304">
        <v>1300</v>
      </c>
      <c r="P1304">
        <v>0</v>
      </c>
      <c r="Q1304">
        <v>1</v>
      </c>
      <c r="R1304">
        <v>0</v>
      </c>
      <c r="S1304">
        <v>0</v>
      </c>
      <c r="T1304">
        <v>0</v>
      </c>
      <c r="U1304">
        <v>0</v>
      </c>
      <c r="V1304">
        <v>1300</v>
      </c>
      <c r="W1304">
        <v>0</v>
      </c>
      <c r="X1304">
        <v>0</v>
      </c>
      <c r="Y1304">
        <v>0</v>
      </c>
      <c r="Z1304">
        <v>0</v>
      </c>
      <c r="AA1304">
        <v>25440</v>
      </c>
      <c r="AB1304">
        <v>4489</v>
      </c>
      <c r="AC1304">
        <v>545</v>
      </c>
      <c r="AD1304">
        <v>1.97</v>
      </c>
      <c r="AE1304">
        <v>1300</v>
      </c>
      <c r="AF1304">
        <v>1</v>
      </c>
      <c r="AG1304">
        <v>0</v>
      </c>
      <c r="AH1304">
        <v>0.0409999999999999</v>
      </c>
      <c r="AI1304">
        <v>107.29</v>
      </c>
      <c r="AJ1304">
        <v>2.41</v>
      </c>
      <c r="AK1304">
        <v>4054</v>
      </c>
      <c r="AL1304">
        <v>846</v>
      </c>
      <c r="AM1304">
        <v>173</v>
      </c>
      <c r="AN1304">
        <v>0</v>
      </c>
      <c r="AO1304">
        <v>0</v>
      </c>
      <c r="AP1304">
        <v>0.73</v>
      </c>
      <c r="AQ1304">
        <v>0.033</v>
      </c>
      <c r="AR1304">
        <v>0.016</v>
      </c>
      <c r="AS1304" s="3">
        <v>46107.779965277776</v>
      </c>
    </row>
    <row r="1305" ht="25.5" customHeight="1">
      <c r="A1305" t="inlineStr">
        <is>
          <t>583037b382ec39248d11bfd8</t>
        </is>
      </c>
      <c r="B1305" s="2" t="str">
        <f>=HYPERLINK("https://www.xiaohongshu.com/user/profile/583037b382ec39248d11bfd8", "https://www.xiaohongshu.com/user/profile/583037b382ec39248d11bfd8")</f>
        <v>https://www.xiaohongshu.com/user/profile/583037b382ec39248d11bfd8</v>
      </c>
      <c r="C1305" s="2" t="str">
        <f>=HYPERLINK("https://pgy.xiaohongshu.com/solar/pre-trade/blogger-detail/583037b382ec39248d11bfd8", "https://pgy.xiaohongshu.com/solar/pre-trade/blogger-detail/583037b382ec39248d11bfd8")</f>
        <v>https://pgy.xiaohongshu.com/solar/pre-trade/blogger-detail/583037b382ec39248d11bfd8</v>
      </c>
      <c r="D1305" t="inlineStr">
        <is>
          <t>女</t>
        </is>
      </c>
      <c r="E1305" t="inlineStr">
        <is>
          <t>102437847</t>
        </is>
      </c>
      <c r="F1305" t="inlineStr">
        <is>
          <t>Yeon老师的韩语课</t>
        </is>
      </c>
      <c r="G1305" t="inlineStr">
        <is>
          <t>江苏 常州 钟楼区</t>
        </is>
      </c>
      <c r="H1305"/>
      <c r="I1305" t="inlineStr">
        <is>
          <t>教育</t>
        </is>
      </c>
      <c r="J1305">
        <v>3926</v>
      </c>
      <c r="K1305" t="inlineStr">
        <is>
          <t>0.4</t>
        </is>
      </c>
      <c r="L1305">
        <v>5608</v>
      </c>
      <c r="M1305">
        <v>886</v>
      </c>
      <c r="N1305">
        <v>102</v>
      </c>
      <c r="O1305">
        <v>170</v>
      </c>
      <c r="P1305">
        <v>0</v>
      </c>
      <c r="Q1305">
        <v>0</v>
      </c>
      <c r="R1305">
        <v>0</v>
      </c>
      <c r="S1305">
        <v>0</v>
      </c>
      <c r="T1305">
        <v>0</v>
      </c>
      <c r="U1305">
        <v>0</v>
      </c>
      <c r="V1305">
        <v>170</v>
      </c>
      <c r="W1305">
        <v>0</v>
      </c>
      <c r="X1305">
        <v>0</v>
      </c>
      <c r="Y1305">
        <v>0</v>
      </c>
      <c r="Z1305">
        <v>0</v>
      </c>
      <c r="AA1305">
        <v>5608</v>
      </c>
      <c r="AB1305">
        <v>886</v>
      </c>
      <c r="AC1305">
        <v>59</v>
      </c>
      <c r="AD1305">
        <v>1.74</v>
      </c>
      <c r="AE1305">
        <v>213</v>
      </c>
      <c r="AF1305">
        <v>0</v>
      </c>
      <c r="AG1305">
        <v>0</v>
      </c>
      <c r="AH1305">
        <v>0.292</v>
      </c>
      <c r="AI1305">
        <v>37.98</v>
      </c>
      <c r="AJ1305">
        <v>2.08</v>
      </c>
      <c r="AK1305">
        <v>0</v>
      </c>
      <c r="AL1305">
        <v>0</v>
      </c>
      <c r="AM1305">
        <v>0</v>
      </c>
      <c r="AN1305">
        <v>0</v>
      </c>
      <c r="AO1305">
        <v>0</v>
      </c>
      <c r="AP1305">
        <v>0.962</v>
      </c>
      <c r="AQ1305">
        <v>0.035</v>
      </c>
      <c r="AR1305">
        <v>0.0579999999999999</v>
      </c>
      <c r="AS1305" s="3">
        <v>46107.779965277776</v>
      </c>
    </row>
    <row r="1306" ht="25.5" customHeight="1">
      <c r="A1306" t="inlineStr">
        <is>
          <t>644bc4740000000012034243</t>
        </is>
      </c>
      <c r="B1306" s="2" t="str">
        <f>=HYPERLINK("https://www.xiaohongshu.com/user/profile/644bc4740000000012034243", "https://www.xiaohongshu.com/user/profile/644bc4740000000012034243")</f>
        <v>https://www.xiaohongshu.com/user/profile/644bc4740000000012034243</v>
      </c>
      <c r="C1306" s="2" t="str">
        <f>=HYPERLINK("https://pgy.xiaohongshu.com/solar/pre-trade/blogger-detail/644bc4740000000012034243", "https://pgy.xiaohongshu.com/solar/pre-trade/blogger-detail/644bc4740000000012034243")</f>
        <v>https://pgy.xiaohongshu.com/solar/pre-trade/blogger-detail/644bc4740000000012034243</v>
      </c>
      <c r="D1306" t="inlineStr">
        <is>
          <t>女</t>
        </is>
      </c>
      <c r="E1306" t="inlineStr">
        <is>
          <t>26801644126</t>
        </is>
      </c>
      <c r="F1306" t="inlineStr">
        <is>
          <t>管理学疯老师</t>
        </is>
      </c>
      <c r="G1306" t="inlineStr">
        <is>
          <t>江西 南昌 南昌县</t>
        </is>
      </c>
      <c r="H1306"/>
      <c r="I1306" t="inlineStr">
        <is>
          <t>教育</t>
        </is>
      </c>
      <c r="J1306">
        <v>2012</v>
      </c>
      <c r="K1306" t="inlineStr">
        <is>
          <t>0.2</t>
        </is>
      </c>
      <c r="L1306">
        <v>15889</v>
      </c>
      <c r="M1306">
        <v>3123</v>
      </c>
      <c r="N1306">
        <v>223</v>
      </c>
      <c r="O1306">
        <v>160</v>
      </c>
      <c r="P1306">
        <v>0</v>
      </c>
      <c r="Q1306">
        <v>0.467</v>
      </c>
      <c r="R1306">
        <v>15931</v>
      </c>
      <c r="S1306">
        <v>3521</v>
      </c>
      <c r="T1306">
        <v>191</v>
      </c>
      <c r="U1306">
        <v>0.35</v>
      </c>
      <c r="V1306">
        <v>160</v>
      </c>
      <c r="W1306">
        <v>0.5</v>
      </c>
      <c r="X1306">
        <v>0</v>
      </c>
      <c r="Y1306">
        <v>10.04</v>
      </c>
      <c r="Z1306">
        <v>0.66</v>
      </c>
      <c r="AA1306">
        <v>7093</v>
      </c>
      <c r="AB1306">
        <v>688</v>
      </c>
      <c r="AC1306">
        <v>31</v>
      </c>
      <c r="AD1306">
        <v>1.88</v>
      </c>
      <c r="AE1306">
        <v>260</v>
      </c>
      <c r="AF1306">
        <v>0</v>
      </c>
      <c r="AG1306">
        <v>0</v>
      </c>
      <c r="AH1306">
        <v>0.019</v>
      </c>
      <c r="AI1306">
        <v>36.66</v>
      </c>
      <c r="AJ1306">
        <v>5.91</v>
      </c>
      <c r="AK1306">
        <v>0</v>
      </c>
      <c r="AL1306">
        <v>0</v>
      </c>
      <c r="AM1306">
        <v>0</v>
      </c>
      <c r="AN1306">
        <v>0</v>
      </c>
      <c r="AO1306">
        <v>0</v>
      </c>
      <c r="AP1306">
        <v>0.894</v>
      </c>
      <c r="AQ1306">
        <v>0.319</v>
      </c>
      <c r="AR1306">
        <v>0.23</v>
      </c>
      <c r="AS1306" s="3">
        <v>46107.779965277776</v>
      </c>
    </row>
    <row r="1307" ht="25.5" customHeight="1">
      <c r="A1307" t="inlineStr">
        <is>
          <t>60705fc0000000000101cc7d</t>
        </is>
      </c>
      <c r="B1307" s="2" t="str">
        <f>=HYPERLINK("https://www.xiaohongshu.com/user/profile/60705fc0000000000101cc7d", "https://www.xiaohongshu.com/user/profile/60705fc0000000000101cc7d")</f>
        <v>https://www.xiaohongshu.com/user/profile/60705fc0000000000101cc7d</v>
      </c>
      <c r="C1307" s="2" t="str">
        <f>=HYPERLINK("https://pgy.xiaohongshu.com/solar/pre-trade/blogger-detail/60705fc0000000000101cc7d", "https://pgy.xiaohongshu.com/solar/pre-trade/blogger-detail/60705fc0000000000101cc7d")</f>
        <v>https://pgy.xiaohongshu.com/solar/pre-trade/blogger-detail/60705fc0000000000101cc7d</v>
      </c>
      <c r="D1307" t="inlineStr">
        <is>
          <t>女</t>
        </is>
      </c>
      <c r="E1307" t="inlineStr">
        <is>
          <t>4286021507</t>
        </is>
      </c>
      <c r="F1307" t="inlineStr">
        <is>
          <t>Melime</t>
        </is>
      </c>
      <c r="G1307" t="inlineStr">
        <is>
          <t>意大利</t>
        </is>
      </c>
      <c r="H1307" t="inlineStr">
        <is>
          <t>留学背景, 翻译</t>
        </is>
      </c>
      <c r="I1307"/>
      <c r="J1307">
        <v>8568</v>
      </c>
      <c r="K1307" t="inlineStr">
        <is>
          <t>0.9</t>
        </is>
      </c>
      <c r="L1307">
        <v>11666</v>
      </c>
      <c r="M1307">
        <v>1303</v>
      </c>
      <c r="N1307">
        <v>202</v>
      </c>
      <c r="O1307">
        <v>500</v>
      </c>
      <c r="P1307">
        <v>0</v>
      </c>
      <c r="Q1307">
        <v>0.5</v>
      </c>
      <c r="R1307">
        <v>11666</v>
      </c>
      <c r="S1307">
        <v>1303</v>
      </c>
      <c r="T1307">
        <v>182</v>
      </c>
      <c r="U1307">
        <v>0.68</v>
      </c>
      <c r="V1307">
        <v>500</v>
      </c>
      <c r="W1307">
        <v>0.5</v>
      </c>
      <c r="X1307">
        <v>0</v>
      </c>
      <c r="Y1307">
        <v>42.86</v>
      </c>
      <c r="Z1307">
        <v>2.48</v>
      </c>
      <c r="AA1307">
        <v>0</v>
      </c>
      <c r="AB1307">
        <v>0</v>
      </c>
      <c r="AC1307">
        <v>0</v>
      </c>
      <c r="AD1307">
        <v>0</v>
      </c>
      <c r="AE1307">
        <v>800</v>
      </c>
      <c r="AF1307">
        <v>0</v>
      </c>
      <c r="AG1307">
        <v>0</v>
      </c>
      <c r="AH1307">
        <v>0</v>
      </c>
      <c r="AI1307">
        <v>0</v>
      </c>
      <c r="AJ1307">
        <v>0</v>
      </c>
      <c r="AK1307">
        <v>0</v>
      </c>
      <c r="AL1307">
        <v>0</v>
      </c>
      <c r="AM1307">
        <v>0</v>
      </c>
      <c r="AN1307">
        <v>0</v>
      </c>
      <c r="AO1307">
        <v>0</v>
      </c>
      <c r="AP1307">
        <v>0.757</v>
      </c>
      <c r="AQ1307">
        <v>0.008</v>
      </c>
      <c r="AR1307">
        <v>-0.002</v>
      </c>
      <c r="AS1307" s="3">
        <v>46107.779965277776</v>
      </c>
    </row>
    <row r="1308" ht="25.5" customHeight="1">
      <c r="A1308" t="inlineStr">
        <is>
          <t>64ca9ce1000000000e024b93</t>
        </is>
      </c>
      <c r="B1308" s="2" t="str">
        <f>=HYPERLINK("https://www.xiaohongshu.com/user/profile/64ca9ce1000000000e024b93", "https://www.xiaohongshu.com/user/profile/64ca9ce1000000000e024b93")</f>
        <v>https://www.xiaohongshu.com/user/profile/64ca9ce1000000000e024b93</v>
      </c>
      <c r="C1308" s="2" t="str">
        <f>=HYPERLINK("https://pgy.xiaohongshu.com/solar/pre-trade/blogger-detail/64ca9ce1000000000e024b93", "https://pgy.xiaohongshu.com/solar/pre-trade/blogger-detail/64ca9ce1000000000e024b93")</f>
        <v>https://pgy.xiaohongshu.com/solar/pre-trade/blogger-detail/64ca9ce1000000000e024b93</v>
      </c>
      <c r="D1308" t="inlineStr">
        <is>
          <t>男</t>
        </is>
      </c>
      <c r="E1308" t="inlineStr">
        <is>
          <t>9769208019</t>
        </is>
      </c>
      <c r="F1308" t="inlineStr">
        <is>
          <t>抽象哲学家（收藏版）</t>
        </is>
      </c>
      <c r="G1308" t="inlineStr">
        <is>
          <t>广西 贺州 八步区</t>
        </is>
      </c>
      <c r="H1308" t="inlineStr">
        <is>
          <t>学生</t>
        </is>
      </c>
      <c r="I1308" t="inlineStr">
        <is>
          <t>兴趣爱好</t>
        </is>
      </c>
      <c r="J1308">
        <v>14764</v>
      </c>
      <c r="K1308" t="inlineStr">
        <is>
          <t>1.5</t>
        </is>
      </c>
      <c r="L1308">
        <v>4375</v>
      </c>
      <c r="M1308">
        <v>2700</v>
      </c>
      <c r="N1308">
        <v>292</v>
      </c>
      <c r="O1308">
        <v>167</v>
      </c>
      <c r="P1308">
        <v>0.157</v>
      </c>
      <c r="Q1308">
        <v>0.702</v>
      </c>
      <c r="R1308">
        <v>0</v>
      </c>
      <c r="S1308">
        <v>0</v>
      </c>
      <c r="T1308">
        <v>0</v>
      </c>
      <c r="U1308">
        <v>0</v>
      </c>
      <c r="V1308">
        <v>167</v>
      </c>
      <c r="W1308">
        <v>0</v>
      </c>
      <c r="X1308">
        <v>0</v>
      </c>
      <c r="Y1308">
        <v>0</v>
      </c>
      <c r="Z1308">
        <v>0</v>
      </c>
      <c r="AA1308">
        <v>4375</v>
      </c>
      <c r="AB1308">
        <v>2700</v>
      </c>
      <c r="AC1308">
        <v>235</v>
      </c>
      <c r="AD1308">
        <v>1.56</v>
      </c>
      <c r="AE1308">
        <v>171</v>
      </c>
      <c r="AF1308">
        <v>0.702</v>
      </c>
      <c r="AG1308">
        <v>0.157</v>
      </c>
      <c r="AH1308">
        <v>0.41</v>
      </c>
      <c r="AI1308">
        <v>39.09</v>
      </c>
      <c r="AJ1308">
        <v>0.59</v>
      </c>
      <c r="AK1308">
        <v>0</v>
      </c>
      <c r="AL1308">
        <v>0</v>
      </c>
      <c r="AM1308">
        <v>0</v>
      </c>
      <c r="AN1308">
        <v>0</v>
      </c>
      <c r="AO1308">
        <v>0</v>
      </c>
      <c r="AP1308">
        <v>0.942</v>
      </c>
      <c r="AQ1308">
        <v>0.181</v>
      </c>
      <c r="AR1308">
        <v>0.157</v>
      </c>
      <c r="AS1308" s="3">
        <v>46107.779965277776</v>
      </c>
    </row>
    <row r="1309" ht="25.5" customHeight="1">
      <c r="A1309" t="inlineStr">
        <is>
          <t>6212c8c400000000100072fc</t>
        </is>
      </c>
      <c r="B1309" s="2" t="str">
        <f>=HYPERLINK("https://www.xiaohongshu.com/user/profile/6212c8c400000000100072fc", "https://www.xiaohongshu.com/user/profile/6212c8c400000000100072fc")</f>
        <v>https://www.xiaohongshu.com/user/profile/6212c8c400000000100072fc</v>
      </c>
      <c r="C1309" s="2" t="str">
        <f>=HYPERLINK("https://pgy.xiaohongshu.com/solar/pre-trade/blogger-detail/6212c8c400000000100072fc", "https://pgy.xiaohongshu.com/solar/pre-trade/blogger-detail/6212c8c400000000100072fc")</f>
        <v>https://pgy.xiaohongshu.com/solar/pre-trade/blogger-detail/6212c8c400000000100072fc</v>
      </c>
      <c r="D1309" t="inlineStr">
        <is>
          <t>男</t>
        </is>
      </c>
      <c r="E1309" t="inlineStr">
        <is>
          <t>1357297129</t>
        </is>
      </c>
      <c r="F1309" t="inlineStr">
        <is>
          <t>英语开门老师</t>
        </is>
      </c>
      <c r="G1309" t="inlineStr">
        <is>
          <t>山东 潍坊 昌乐县</t>
        </is>
      </c>
      <c r="H1309"/>
      <c r="I1309" t="inlineStr">
        <is>
          <t>教育</t>
        </is>
      </c>
      <c r="J1309">
        <v>20426</v>
      </c>
      <c r="K1309" t="inlineStr">
        <is>
          <t>2.0</t>
        </is>
      </c>
      <c r="L1309">
        <v>1966</v>
      </c>
      <c r="M1309">
        <v>1033</v>
      </c>
      <c r="N1309">
        <v>108</v>
      </c>
      <c r="O1309">
        <v>1000</v>
      </c>
      <c r="P1309">
        <v>0</v>
      </c>
      <c r="Q1309">
        <v>0</v>
      </c>
      <c r="R1309">
        <v>0</v>
      </c>
      <c r="S1309">
        <v>0</v>
      </c>
      <c r="T1309">
        <v>0</v>
      </c>
      <c r="U1309">
        <v>0</v>
      </c>
      <c r="V1309">
        <v>1000</v>
      </c>
      <c r="W1309">
        <v>0</v>
      </c>
      <c r="X1309">
        <v>0</v>
      </c>
      <c r="Y1309">
        <v>0</v>
      </c>
      <c r="Z1309">
        <v>0</v>
      </c>
      <c r="AA1309">
        <v>1966</v>
      </c>
      <c r="AB1309">
        <v>1033</v>
      </c>
      <c r="AC1309">
        <v>97</v>
      </c>
      <c r="AD1309">
        <v>3.44</v>
      </c>
      <c r="AE1309">
        <v>2000</v>
      </c>
      <c r="AF1309">
        <v>0</v>
      </c>
      <c r="AG1309">
        <v>0</v>
      </c>
      <c r="AH1309">
        <v>0.174</v>
      </c>
      <c r="AI1309">
        <v>1017.29</v>
      </c>
      <c r="AJ1309">
        <v>18.52</v>
      </c>
      <c r="AK1309">
        <v>0</v>
      </c>
      <c r="AL1309">
        <v>0</v>
      </c>
      <c r="AM1309">
        <v>0</v>
      </c>
      <c r="AN1309">
        <v>0</v>
      </c>
      <c r="AO1309">
        <v>0</v>
      </c>
      <c r="AP1309">
        <v>0.743</v>
      </c>
      <c r="AQ1309">
        <v>0.01</v>
      </c>
      <c r="AR1309">
        <v>0.004</v>
      </c>
      <c r="AS1309" s="3">
        <v>46107.779965277776</v>
      </c>
    </row>
    <row r="1310" ht="25.5" customHeight="1">
      <c r="A1310" t="inlineStr">
        <is>
          <t>62cfc52400000000150173ba</t>
        </is>
      </c>
      <c r="B1310" s="2" t="str">
        <f>=HYPERLINK("https://www.xiaohongshu.com/user/profile/62cfc52400000000150173ba", "https://www.xiaohongshu.com/user/profile/62cfc52400000000150173ba")</f>
        <v>https://www.xiaohongshu.com/user/profile/62cfc52400000000150173ba</v>
      </c>
      <c r="C1310" s="2" t="str">
        <f>=HYPERLINK("https://pgy.xiaohongshu.com/solar/pre-trade/blogger-detail/62cfc52400000000150173ba", "https://pgy.xiaohongshu.com/solar/pre-trade/blogger-detail/62cfc52400000000150173ba")</f>
        <v>https://pgy.xiaohongshu.com/solar/pre-trade/blogger-detail/62cfc52400000000150173ba</v>
      </c>
      <c r="D1310" t="inlineStr">
        <is>
          <t>女</t>
        </is>
      </c>
      <c r="E1310" t="inlineStr">
        <is>
          <t>5435306388</t>
        </is>
      </c>
      <c r="F1310" t="inlineStr">
        <is>
          <t>一颗小小冰</t>
        </is>
      </c>
      <c r="G1310" t="inlineStr">
        <is>
          <t>湖南 长沙 岳麓区</t>
        </is>
      </c>
      <c r="H1310" t="inlineStr">
        <is>
          <t>手账爱好者, 学生</t>
        </is>
      </c>
      <c r="I1310" t="inlineStr">
        <is>
          <t>教育</t>
        </is>
      </c>
      <c r="J1310">
        <v>1388</v>
      </c>
      <c r="K1310" t="inlineStr">
        <is>
          <t>0.1</t>
        </is>
      </c>
      <c r="L1310">
        <v>5253</v>
      </c>
      <c r="M1310">
        <v>762</v>
      </c>
      <c r="N1310">
        <v>227</v>
      </c>
      <c r="O1310">
        <v>120</v>
      </c>
      <c r="P1310">
        <v>0</v>
      </c>
      <c r="Q1310">
        <v>1</v>
      </c>
      <c r="R1310">
        <v>5253</v>
      </c>
      <c r="S1310">
        <v>762</v>
      </c>
      <c r="T1310">
        <v>197</v>
      </c>
      <c r="U1310">
        <v>0.46</v>
      </c>
      <c r="V1310">
        <v>120</v>
      </c>
      <c r="W1310">
        <v>1</v>
      </c>
      <c r="X1310">
        <v>0</v>
      </c>
      <c r="Y1310">
        <v>22.84</v>
      </c>
      <c r="Z1310">
        <v>0.53</v>
      </c>
      <c r="AA1310">
        <v>0</v>
      </c>
      <c r="AB1310">
        <v>0</v>
      </c>
      <c r="AC1310">
        <v>0</v>
      </c>
      <c r="AD1310">
        <v>0</v>
      </c>
      <c r="AE1310">
        <v>200</v>
      </c>
      <c r="AF1310">
        <v>0</v>
      </c>
      <c r="AG1310">
        <v>0</v>
      </c>
      <c r="AH1310">
        <v>0</v>
      </c>
      <c r="AI1310">
        <v>0</v>
      </c>
      <c r="AJ1310">
        <v>0</v>
      </c>
      <c r="AK1310">
        <v>0</v>
      </c>
      <c r="AL1310">
        <v>0</v>
      </c>
      <c r="AM1310">
        <v>0</v>
      </c>
      <c r="AN1310">
        <v>0</v>
      </c>
      <c r="AO1310">
        <v>0</v>
      </c>
      <c r="AP1310">
        <v>0.941</v>
      </c>
      <c r="AQ1310">
        <v>0.03</v>
      </c>
      <c r="AR1310">
        <v>0.017</v>
      </c>
      <c r="AS1310" s="3">
        <v>46107.779965277776</v>
      </c>
    </row>
    <row r="1311" ht="25.5" customHeight="1">
      <c r="A1311" t="inlineStr">
        <is>
          <t>651c4590000000002401409b</t>
        </is>
      </c>
      <c r="B1311" s="2" t="str">
        <f>=HYPERLINK("https://www.xiaohongshu.com/user/profile/651c4590000000002401409b", "https://www.xiaohongshu.com/user/profile/651c4590000000002401409b")</f>
        <v>https://www.xiaohongshu.com/user/profile/651c4590000000002401409b</v>
      </c>
      <c r="C1311" s="2" t="str">
        <f>=HYPERLINK("https://pgy.xiaohongshu.com/solar/pre-trade/blogger-detail/651c4590000000002401409b", "https://pgy.xiaohongshu.com/solar/pre-trade/blogger-detail/651c4590000000002401409b")</f>
        <v>https://pgy.xiaohongshu.com/solar/pre-trade/blogger-detail/651c4590000000002401409b</v>
      </c>
      <c r="D1311" t="inlineStr">
        <is>
          <t>女</t>
        </is>
      </c>
      <c r="E1311" t="inlineStr">
        <is>
          <t>8102280502</t>
        </is>
      </c>
      <c r="F1311" t="inlineStr">
        <is>
          <t>uuuu</t>
        </is>
      </c>
      <c r="G1311" t="inlineStr">
        <is>
          <t>云南 昆明 盘龙区</t>
        </is>
      </c>
      <c r="H1311"/>
      <c r="I1311" t="inlineStr">
        <is>
          <t>教育</t>
        </is>
      </c>
      <c r="J1311">
        <v>3214</v>
      </c>
      <c r="K1311" t="inlineStr">
        <is>
          <t>0.3</t>
        </is>
      </c>
      <c r="L1311">
        <v>5135</v>
      </c>
      <c r="M1311">
        <v>1934</v>
      </c>
      <c r="N1311">
        <v>377</v>
      </c>
      <c r="O1311">
        <v>400</v>
      </c>
      <c r="P1311">
        <v>0</v>
      </c>
      <c r="Q1311">
        <v>1</v>
      </c>
      <c r="R1311">
        <v>0</v>
      </c>
      <c r="S1311">
        <v>0</v>
      </c>
      <c r="T1311">
        <v>0</v>
      </c>
      <c r="U1311">
        <v>0</v>
      </c>
      <c r="V1311">
        <v>0</v>
      </c>
      <c r="W1311">
        <v>0</v>
      </c>
      <c r="X1311">
        <v>0</v>
      </c>
      <c r="Y1311">
        <v>0</v>
      </c>
      <c r="Z1311">
        <v>0</v>
      </c>
      <c r="AA1311">
        <v>5135</v>
      </c>
      <c r="AB1311">
        <v>1934</v>
      </c>
      <c r="AC1311">
        <v>353</v>
      </c>
      <c r="AD1311">
        <v>1.71</v>
      </c>
      <c r="AE1311">
        <v>400</v>
      </c>
      <c r="AF1311">
        <v>1</v>
      </c>
      <c r="AG1311">
        <v>0</v>
      </c>
      <c r="AH1311">
        <v>0.111999999999999</v>
      </c>
      <c r="AI1311">
        <v>77.9</v>
      </c>
      <c r="AJ1311">
        <v>1.06</v>
      </c>
      <c r="AK1311">
        <v>0</v>
      </c>
      <c r="AL1311">
        <v>0</v>
      </c>
      <c r="AM1311">
        <v>0</v>
      </c>
      <c r="AN1311">
        <v>0</v>
      </c>
      <c r="AO1311">
        <v>0</v>
      </c>
      <c r="AP1311">
        <v>0.927</v>
      </c>
      <c r="AQ1311">
        <v>0.052</v>
      </c>
      <c r="AR1311">
        <v>0.018</v>
      </c>
      <c r="AS1311" s="3">
        <v>46107.779965277776</v>
      </c>
    </row>
    <row r="1312" ht="25.5" customHeight="1">
      <c r="A1312" t="inlineStr">
        <is>
          <t>5d7d09800000000001019124</t>
        </is>
      </c>
      <c r="B1312" s="2" t="str">
        <f>=HYPERLINK("https://www.xiaohongshu.com/user/profile/5d7d09800000000001019124", "https://www.xiaohongshu.com/user/profile/5d7d09800000000001019124")</f>
        <v>https://www.xiaohongshu.com/user/profile/5d7d09800000000001019124</v>
      </c>
      <c r="C1312" s="2" t="str">
        <f>=HYPERLINK("https://pgy.xiaohongshu.com/solar/pre-trade/blogger-detail/5d7d09800000000001019124", "https://pgy.xiaohongshu.com/solar/pre-trade/blogger-detail/5d7d09800000000001019124")</f>
        <v>https://pgy.xiaohongshu.com/solar/pre-trade/blogger-detail/5d7d09800000000001019124</v>
      </c>
      <c r="D1312" t="inlineStr">
        <is>
          <t>女</t>
        </is>
      </c>
      <c r="E1312" t="inlineStr">
        <is>
          <t>599207781</t>
        </is>
      </c>
      <c r="F1312" t="inlineStr">
        <is>
          <t>暮色朝来</t>
        </is>
      </c>
      <c r="G1312" t="inlineStr">
        <is>
          <t>新疆 昌吉回族自治州 昌吉市</t>
        </is>
      </c>
      <c r="H1312" t="inlineStr">
        <is>
          <t>翻译</t>
        </is>
      </c>
      <c r="I1312" t="inlineStr">
        <is>
          <t>教育</t>
        </is>
      </c>
      <c r="J1312">
        <v>5123</v>
      </c>
      <c r="K1312" t="inlineStr">
        <is>
          <t>0.5</t>
        </is>
      </c>
      <c r="L1312">
        <v>3321</v>
      </c>
      <c r="M1312">
        <v>544</v>
      </c>
      <c r="N1312">
        <v>116</v>
      </c>
      <c r="O1312">
        <v>350</v>
      </c>
      <c r="P1312">
        <v>0</v>
      </c>
      <c r="Q1312">
        <v>0</v>
      </c>
      <c r="R1312">
        <v>0</v>
      </c>
      <c r="S1312">
        <v>0</v>
      </c>
      <c r="T1312">
        <v>0</v>
      </c>
      <c r="U1312">
        <v>0</v>
      </c>
      <c r="V1312">
        <v>350</v>
      </c>
      <c r="W1312">
        <v>0</v>
      </c>
      <c r="X1312">
        <v>0</v>
      </c>
      <c r="Y1312">
        <v>0</v>
      </c>
      <c r="Z1312">
        <v>0</v>
      </c>
      <c r="AA1312">
        <v>3321</v>
      </c>
      <c r="AB1312">
        <v>544</v>
      </c>
      <c r="AC1312">
        <v>109</v>
      </c>
      <c r="AD1312">
        <v>2.42</v>
      </c>
      <c r="AE1312">
        <v>500</v>
      </c>
      <c r="AF1312">
        <v>0</v>
      </c>
      <c r="AG1312">
        <v>0</v>
      </c>
      <c r="AH1312">
        <v>0.081</v>
      </c>
      <c r="AI1312">
        <v>150.56</v>
      </c>
      <c r="AJ1312">
        <v>4.31</v>
      </c>
      <c r="AK1312">
        <v>0</v>
      </c>
      <c r="AL1312">
        <v>0</v>
      </c>
      <c r="AM1312">
        <v>0</v>
      </c>
      <c r="AN1312">
        <v>0</v>
      </c>
      <c r="AO1312">
        <v>0</v>
      </c>
      <c r="AP1312">
        <v>0.845</v>
      </c>
      <c r="AQ1312">
        <v>0.016</v>
      </c>
      <c r="AR1312">
        <v>-0.001</v>
      </c>
      <c r="AS1312" s="3">
        <v>46107.779965277776</v>
      </c>
    </row>
    <row r="1313" ht="25.5" customHeight="1">
      <c r="A1313" t="inlineStr">
        <is>
          <t>56b1aae7b8c8b423d372da85</t>
        </is>
      </c>
      <c r="B1313" s="2" t="str">
        <f>=HYPERLINK("https://www.xiaohongshu.com/user/profile/56b1aae7b8c8b423d372da85", "https://www.xiaohongshu.com/user/profile/56b1aae7b8c8b423d372da85")</f>
        <v>https://www.xiaohongshu.com/user/profile/56b1aae7b8c8b423d372da85</v>
      </c>
      <c r="C1313" s="2" t="str">
        <f>=HYPERLINK("https://pgy.xiaohongshu.com/solar/pre-trade/blogger-detail/56b1aae7b8c8b423d372da85", "https://pgy.xiaohongshu.com/solar/pre-trade/blogger-detail/56b1aae7b8c8b423d372da85")</f>
        <v>https://pgy.xiaohongshu.com/solar/pre-trade/blogger-detail/56b1aae7b8c8b423d372da85</v>
      </c>
      <c r="D1313" t="inlineStr">
        <is>
          <t>女</t>
        </is>
      </c>
      <c r="E1313" t="inlineStr">
        <is>
          <t>magickid88</t>
        </is>
      </c>
      <c r="F1313" t="inlineStr">
        <is>
          <t>居丽叶</t>
        </is>
      </c>
      <c r="G1313" t="inlineStr">
        <is>
          <t>北京</t>
        </is>
      </c>
      <c r="H1313" t="inlineStr">
        <is>
          <t>考研过来人, 学生, 情侣, 程序员</t>
        </is>
      </c>
      <c r="I1313" t="inlineStr">
        <is>
          <t>职场, 教育, 科技数码</t>
        </is>
      </c>
      <c r="J1313">
        <v>28974</v>
      </c>
      <c r="K1313" t="inlineStr">
        <is>
          <t>2.9</t>
        </is>
      </c>
      <c r="L1313">
        <v>16344</v>
      </c>
      <c r="M1313">
        <v>2296</v>
      </c>
      <c r="N1313">
        <v>158</v>
      </c>
      <c r="O1313">
        <v>2500</v>
      </c>
      <c r="P1313">
        <v>0.166999999999999</v>
      </c>
      <c r="Q1313">
        <v>0.166999999999999</v>
      </c>
      <c r="R1313">
        <v>14791</v>
      </c>
      <c r="S1313">
        <v>2223</v>
      </c>
      <c r="T1313">
        <v>126</v>
      </c>
      <c r="U1313">
        <v>1.42</v>
      </c>
      <c r="V1313">
        <v>2500</v>
      </c>
      <c r="W1313">
        <v>0</v>
      </c>
      <c r="X1313">
        <v>0</v>
      </c>
      <c r="Y1313">
        <v>169.02</v>
      </c>
      <c r="Z1313">
        <v>16.23</v>
      </c>
      <c r="AA1313">
        <v>311678</v>
      </c>
      <c r="AB1313">
        <v>77061</v>
      </c>
      <c r="AC1313">
        <v>11606</v>
      </c>
      <c r="AD1313">
        <v>3.64</v>
      </c>
      <c r="AE1313">
        <v>3405</v>
      </c>
      <c r="AF1313">
        <v>1</v>
      </c>
      <c r="AG1313">
        <v>1</v>
      </c>
      <c r="AH1313">
        <v>0.08</v>
      </c>
      <c r="AI1313">
        <v>272.55</v>
      </c>
      <c r="AJ1313">
        <v>18.41</v>
      </c>
      <c r="AK1313">
        <v>12142</v>
      </c>
      <c r="AL1313">
        <v>1544</v>
      </c>
      <c r="AM1313">
        <v>117</v>
      </c>
      <c r="AN1313">
        <v>0</v>
      </c>
      <c r="AO1313">
        <v>0</v>
      </c>
      <c r="AP1313">
        <v>0.912</v>
      </c>
      <c r="AQ1313">
        <v>0.123</v>
      </c>
      <c r="AR1313">
        <v>0.09</v>
      </c>
      <c r="AS1313" s="3">
        <v>46107.78020833333</v>
      </c>
    </row>
    <row r="1314" ht="25.5" customHeight="1">
      <c r="A1314" t="inlineStr">
        <is>
          <t>63580c02000000001802be1b</t>
        </is>
      </c>
      <c r="B1314" s="2" t="str">
        <f>=HYPERLINK("https://www.xiaohongshu.com/user/profile/63580c02000000001802be1b", "https://www.xiaohongshu.com/user/profile/63580c02000000001802be1b")</f>
        <v>https://www.xiaohongshu.com/user/profile/63580c02000000001802be1b</v>
      </c>
      <c r="C1314" s="2" t="str">
        <f>=HYPERLINK("https://pgy.xiaohongshu.com/solar/pre-trade/blogger-detail/63580c02000000001802be1b", "https://pgy.xiaohongshu.com/solar/pre-trade/blogger-detail/63580c02000000001802be1b")</f>
        <v>https://pgy.xiaohongshu.com/solar/pre-trade/blogger-detail/63580c02000000001802be1b</v>
      </c>
      <c r="D1314" t="inlineStr">
        <is>
          <t>男</t>
        </is>
      </c>
      <c r="E1314" t="inlineStr">
        <is>
          <t>5466993171</t>
        </is>
      </c>
      <c r="F1314" t="inlineStr">
        <is>
          <t>港粤语研习社</t>
        </is>
      </c>
      <c r="G1314" t="inlineStr">
        <is>
          <t>中国 香港</t>
        </is>
      </c>
      <c r="H1314"/>
      <c r="I1314" t="inlineStr">
        <is>
          <t>教育</t>
        </is>
      </c>
      <c r="J1314">
        <v>20300</v>
      </c>
      <c r="K1314" t="inlineStr">
        <is>
          <t>2.0</t>
        </is>
      </c>
      <c r="L1314">
        <v>3991</v>
      </c>
      <c r="M1314">
        <v>762</v>
      </c>
      <c r="N1314">
        <v>101</v>
      </c>
      <c r="O1314">
        <v>160</v>
      </c>
      <c r="P1314">
        <v>0</v>
      </c>
      <c r="Q1314">
        <v>0.063</v>
      </c>
      <c r="R1314">
        <v>2621</v>
      </c>
      <c r="S1314">
        <v>181</v>
      </c>
      <c r="T1314">
        <v>42</v>
      </c>
      <c r="U1314">
        <v>1.18</v>
      </c>
      <c r="V1314">
        <v>160</v>
      </c>
      <c r="W1314">
        <v>0</v>
      </c>
      <c r="X1314">
        <v>0</v>
      </c>
      <c r="Y1314">
        <v>61.05</v>
      </c>
      <c r="Z1314">
        <v>3.72</v>
      </c>
      <c r="AA1314">
        <v>4218</v>
      </c>
      <c r="AB1314">
        <v>792</v>
      </c>
      <c r="AC1314">
        <v>83</v>
      </c>
      <c r="AD1314">
        <v>0</v>
      </c>
      <c r="AE1314">
        <v>0</v>
      </c>
      <c r="AF1314">
        <v>0.067</v>
      </c>
      <c r="AG1314">
        <v>0</v>
      </c>
      <c r="AH1314">
        <v>0.327</v>
      </c>
      <c r="AI1314">
        <v>0</v>
      </c>
      <c r="AJ1314">
        <v>0</v>
      </c>
      <c r="AK1314">
        <v>0</v>
      </c>
      <c r="AL1314">
        <v>0</v>
      </c>
      <c r="AM1314">
        <v>0</v>
      </c>
      <c r="AN1314">
        <v>0</v>
      </c>
      <c r="AO1314">
        <v>0</v>
      </c>
      <c r="AP1314">
        <v>0.893</v>
      </c>
      <c r="AQ1314">
        <v>0.019</v>
      </c>
      <c r="AR1314">
        <v>0.035</v>
      </c>
      <c r="AS1314" s="3">
        <v>46107.78020833333</v>
      </c>
    </row>
    <row r="1315" ht="25.5" customHeight="1">
      <c r="A1315" t="inlineStr">
        <is>
          <t>5ebfd0a30000000001005fbe</t>
        </is>
      </c>
      <c r="B1315" s="2" t="str">
        <f>=HYPERLINK("https://www.xiaohongshu.com/user/profile/5ebfd0a30000000001005fbe", "https://www.xiaohongshu.com/user/profile/5ebfd0a30000000001005fbe")</f>
        <v>https://www.xiaohongshu.com/user/profile/5ebfd0a30000000001005fbe</v>
      </c>
      <c r="C1315" s="2" t="str">
        <f>=HYPERLINK("https://pgy.xiaohongshu.com/solar/pre-trade/blogger-detail/5ebfd0a30000000001005fbe", "https://pgy.xiaohongshu.com/solar/pre-trade/blogger-detail/5ebfd0a30000000001005fbe")</f>
        <v>https://pgy.xiaohongshu.com/solar/pre-trade/blogger-detail/5ebfd0a30000000001005fbe</v>
      </c>
      <c r="D1315" t="inlineStr">
        <is>
          <t>女</t>
        </is>
      </c>
      <c r="E1315" t="inlineStr">
        <is>
          <t>ss520lsh1023</t>
        </is>
      </c>
      <c r="F1315" t="inlineStr">
        <is>
          <t>跟着十月学英语</t>
        </is>
      </c>
      <c r="G1315" t="inlineStr">
        <is>
          <t>云南 曲靖 陆良县</t>
        </is>
      </c>
      <c r="H1315"/>
      <c r="I1315" t="inlineStr">
        <is>
          <t>教育</t>
        </is>
      </c>
      <c r="J1315">
        <v>8039</v>
      </c>
      <c r="K1315" t="inlineStr">
        <is>
          <t>0.8</t>
        </is>
      </c>
      <c r="L1315">
        <v>1382</v>
      </c>
      <c r="M1315">
        <v>1069</v>
      </c>
      <c r="N1315">
        <v>121</v>
      </c>
      <c r="O1315">
        <v>299</v>
      </c>
      <c r="P1315">
        <v>0</v>
      </c>
      <c r="Q1315">
        <v>0</v>
      </c>
      <c r="R1315">
        <v>0</v>
      </c>
      <c r="S1315">
        <v>0</v>
      </c>
      <c r="T1315">
        <v>0</v>
      </c>
      <c r="U1315">
        <v>0</v>
      </c>
      <c r="V1315">
        <v>299</v>
      </c>
      <c r="W1315">
        <v>0</v>
      </c>
      <c r="X1315">
        <v>0</v>
      </c>
      <c r="Y1315">
        <v>0</v>
      </c>
      <c r="Z1315">
        <v>0</v>
      </c>
      <c r="AA1315">
        <v>1382</v>
      </c>
      <c r="AB1315">
        <v>1069</v>
      </c>
      <c r="AC1315">
        <v>71</v>
      </c>
      <c r="AD1315">
        <v>2.33</v>
      </c>
      <c r="AE1315">
        <v>888</v>
      </c>
      <c r="AF1315">
        <v>0</v>
      </c>
      <c r="AG1315">
        <v>0</v>
      </c>
      <c r="AH1315">
        <v>0.35</v>
      </c>
      <c r="AI1315">
        <v>642.55</v>
      </c>
      <c r="AJ1315">
        <v>7.31</v>
      </c>
      <c r="AK1315">
        <v>0</v>
      </c>
      <c r="AL1315">
        <v>0</v>
      </c>
      <c r="AM1315">
        <v>0</v>
      </c>
      <c r="AN1315">
        <v>0</v>
      </c>
      <c r="AO1315">
        <v>0</v>
      </c>
      <c r="AP1315">
        <v>0.920999999999999</v>
      </c>
      <c r="AQ1315">
        <v>0.006</v>
      </c>
      <c r="AR1315">
        <v>0.01</v>
      </c>
      <c r="AS1315" s="3">
        <v>46107.78020833333</v>
      </c>
    </row>
    <row r="1316" ht="25.5" customHeight="1">
      <c r="A1316" t="inlineStr">
        <is>
          <t>627687d10000000021022b05</t>
        </is>
      </c>
      <c r="B1316" s="2" t="str">
        <f>=HYPERLINK("https://www.xiaohongshu.com/user/profile/627687d10000000021022b05", "https://www.xiaohongshu.com/user/profile/627687d10000000021022b05")</f>
        <v>https://www.xiaohongshu.com/user/profile/627687d10000000021022b05</v>
      </c>
      <c r="C1316" s="2" t="str">
        <f>=HYPERLINK("https://pgy.xiaohongshu.com/solar/pre-trade/blogger-detail/627687d10000000021022b05", "https://pgy.xiaohongshu.com/solar/pre-trade/blogger-detail/627687d10000000021022b05")</f>
        <v>https://pgy.xiaohongshu.com/solar/pre-trade/blogger-detail/627687d10000000021022b05</v>
      </c>
      <c r="D1316" t="inlineStr">
        <is>
          <t>女</t>
        </is>
      </c>
      <c r="E1316" t="inlineStr">
        <is>
          <t>5695097674</t>
        </is>
      </c>
      <c r="F1316" t="inlineStr">
        <is>
          <t>簌簌素素</t>
        </is>
      </c>
      <c r="G1316" t="inlineStr">
        <is>
          <t>上海</t>
        </is>
      </c>
      <c r="H1316" t="inlineStr">
        <is>
          <t>学生, 模特</t>
        </is>
      </c>
      <c r="I1316" t="inlineStr">
        <is>
          <t>生活记录</t>
        </is>
      </c>
      <c r="J1316">
        <v>4511</v>
      </c>
      <c r="K1316" t="inlineStr">
        <is>
          <t>0.5</t>
        </is>
      </c>
      <c r="L1316">
        <v>9891</v>
      </c>
      <c r="M1316">
        <v>2379</v>
      </c>
      <c r="N1316">
        <v>191</v>
      </c>
      <c r="O1316">
        <v>300</v>
      </c>
      <c r="P1316">
        <v>0</v>
      </c>
      <c r="Q1316">
        <v>0.667</v>
      </c>
      <c r="R1316">
        <v>9891</v>
      </c>
      <c r="S1316">
        <v>2379</v>
      </c>
      <c r="T1316">
        <v>165</v>
      </c>
      <c r="U1316">
        <v>0.43</v>
      </c>
      <c r="V1316">
        <v>300</v>
      </c>
      <c r="W1316">
        <v>0.667</v>
      </c>
      <c r="X1316">
        <v>0</v>
      </c>
      <c r="Y1316">
        <v>30.33</v>
      </c>
      <c r="Z1316">
        <v>1.57</v>
      </c>
      <c r="AA1316">
        <v>0</v>
      </c>
      <c r="AB1316">
        <v>0</v>
      </c>
      <c r="AC1316">
        <v>0</v>
      </c>
      <c r="AD1316">
        <v>0</v>
      </c>
      <c r="AE1316">
        <v>500</v>
      </c>
      <c r="AF1316">
        <v>0</v>
      </c>
      <c r="AG1316">
        <v>0</v>
      </c>
      <c r="AH1316">
        <v>0</v>
      </c>
      <c r="AI1316">
        <v>0</v>
      </c>
      <c r="AJ1316">
        <v>0</v>
      </c>
      <c r="AK1316">
        <v>0</v>
      </c>
      <c r="AL1316">
        <v>0</v>
      </c>
      <c r="AM1316">
        <v>0</v>
      </c>
      <c r="AN1316">
        <v>0</v>
      </c>
      <c r="AO1316">
        <v>0</v>
      </c>
      <c r="AP1316">
        <v>0.86</v>
      </c>
      <c r="AQ1316">
        <v>0.055</v>
      </c>
      <c r="AR1316">
        <v>0.035</v>
      </c>
      <c r="AS1316" s="3">
        <v>46107.78020833333</v>
      </c>
    </row>
    <row r="1317" ht="25.5" customHeight="1">
      <c r="A1317" t="inlineStr">
        <is>
          <t>676df57600000000140321a4</t>
        </is>
      </c>
      <c r="B1317" s="2" t="str">
        <f>=HYPERLINK("https://www.xiaohongshu.com/user/profile/676df57600000000140321a4", "https://www.xiaohongshu.com/user/profile/676df57600000000140321a4")</f>
        <v>https://www.xiaohongshu.com/user/profile/676df57600000000140321a4</v>
      </c>
      <c r="C1317" s="2" t="str">
        <f>=HYPERLINK("https://pgy.xiaohongshu.com/solar/pre-trade/blogger-detail/676df57600000000140321a4", "https://pgy.xiaohongshu.com/solar/pre-trade/blogger-detail/676df57600000000140321a4")</f>
        <v>https://pgy.xiaohongshu.com/solar/pre-trade/blogger-detail/676df57600000000140321a4</v>
      </c>
      <c r="D1317" t="inlineStr">
        <is>
          <t>女</t>
        </is>
      </c>
      <c r="E1317" t="inlineStr">
        <is>
          <t>95382813902</t>
        </is>
      </c>
      <c r="F1317" t="inlineStr">
        <is>
          <t>Dovis说英语</t>
        </is>
      </c>
      <c r="G1317" t="inlineStr">
        <is>
          <t>重庆</t>
        </is>
      </c>
      <c r="H1317"/>
      <c r="I1317" t="inlineStr">
        <is>
          <t>教育</t>
        </is>
      </c>
      <c r="J1317">
        <v>1834</v>
      </c>
      <c r="K1317" t="inlineStr">
        <is>
          <t>0.2</t>
        </is>
      </c>
      <c r="L1317">
        <v>3065</v>
      </c>
      <c r="M1317">
        <v>1710</v>
      </c>
      <c r="N1317">
        <v>146</v>
      </c>
      <c r="O1317">
        <v>158</v>
      </c>
      <c r="P1317">
        <v>0</v>
      </c>
      <c r="Q1317">
        <v>0</v>
      </c>
      <c r="R1317">
        <v>0</v>
      </c>
      <c r="S1317">
        <v>0</v>
      </c>
      <c r="T1317">
        <v>0</v>
      </c>
      <c r="U1317">
        <v>0</v>
      </c>
      <c r="V1317">
        <v>158</v>
      </c>
      <c r="W1317">
        <v>0</v>
      </c>
      <c r="X1317">
        <v>0</v>
      </c>
      <c r="Y1317">
        <v>0</v>
      </c>
      <c r="Z1317">
        <v>0</v>
      </c>
      <c r="AA1317">
        <v>3065</v>
      </c>
      <c r="AB1317">
        <v>1710</v>
      </c>
      <c r="AC1317">
        <v>92</v>
      </c>
      <c r="AD1317">
        <v>1.64</v>
      </c>
      <c r="AE1317">
        <v>238</v>
      </c>
      <c r="AF1317">
        <v>0</v>
      </c>
      <c r="AG1317">
        <v>0</v>
      </c>
      <c r="AH1317">
        <v>0.078</v>
      </c>
      <c r="AI1317">
        <v>77.64</v>
      </c>
      <c r="AJ1317">
        <v>1.63</v>
      </c>
      <c r="AK1317">
        <v>0</v>
      </c>
      <c r="AL1317">
        <v>0</v>
      </c>
      <c r="AM1317">
        <v>0</v>
      </c>
      <c r="AN1317">
        <v>0</v>
      </c>
      <c r="AO1317">
        <v>0</v>
      </c>
      <c r="AP1317">
        <v>0.902</v>
      </c>
      <c r="AQ1317">
        <v>0.044</v>
      </c>
      <c r="AR1317">
        <v>0.087</v>
      </c>
      <c r="AS1317" s="3">
        <v>46107.78020833333</v>
      </c>
    </row>
    <row r="1318" ht="25.5" customHeight="1">
      <c r="A1318" t="inlineStr">
        <is>
          <t>5df8293a0000000001000fbd</t>
        </is>
      </c>
      <c r="B1318" s="2" t="str">
        <f>=HYPERLINK("https://www.xiaohongshu.com/user/profile/5df8293a0000000001000fbd", "https://www.xiaohongshu.com/user/profile/5df8293a0000000001000fbd")</f>
        <v>https://www.xiaohongshu.com/user/profile/5df8293a0000000001000fbd</v>
      </c>
      <c r="C1318" s="2" t="str">
        <f>=HYPERLINK("https://pgy.xiaohongshu.com/solar/pre-trade/blogger-detail/5df8293a0000000001000fbd", "https://pgy.xiaohongshu.com/solar/pre-trade/blogger-detail/5df8293a0000000001000fbd")</f>
        <v>https://pgy.xiaohongshu.com/solar/pre-trade/blogger-detail/5df8293a0000000001000fbd</v>
      </c>
      <c r="D1318" t="inlineStr">
        <is>
          <t>男</t>
        </is>
      </c>
      <c r="E1318" t="inlineStr">
        <is>
          <t>754730140</t>
        </is>
      </c>
      <c r="F1318" t="inlineStr">
        <is>
          <t>小C是Cherry</t>
        </is>
      </c>
      <c r="G1318" t="inlineStr">
        <is>
          <t>福建 莆田 涵江区</t>
        </is>
      </c>
      <c r="H1318" t="inlineStr">
        <is>
          <t>6-12岁, 妈妈</t>
        </is>
      </c>
      <c r="I1318" t="inlineStr">
        <is>
          <t>教育</t>
        </is>
      </c>
      <c r="J1318">
        <v>1655</v>
      </c>
      <c r="K1318" t="inlineStr">
        <is>
          <t>0.2</t>
        </is>
      </c>
      <c r="L1318">
        <v>3716</v>
      </c>
      <c r="M1318">
        <v>528</v>
      </c>
      <c r="N1318">
        <v>111</v>
      </c>
      <c r="O1318">
        <v>150</v>
      </c>
      <c r="P1318">
        <v>0</v>
      </c>
      <c r="Q1318">
        <v>0.25</v>
      </c>
      <c r="R1318">
        <v>5125</v>
      </c>
      <c r="S1318">
        <v>750</v>
      </c>
      <c r="T1318">
        <v>172</v>
      </c>
      <c r="U1318">
        <v>0.5</v>
      </c>
      <c r="V1318">
        <v>150</v>
      </c>
      <c r="W1318">
        <v>0.332999999999999</v>
      </c>
      <c r="X1318">
        <v>0</v>
      </c>
      <c r="Y1318">
        <v>29.27</v>
      </c>
      <c r="Z1318">
        <v>0.81</v>
      </c>
      <c r="AA1318">
        <v>367</v>
      </c>
      <c r="AB1318">
        <v>48</v>
      </c>
      <c r="AC1318">
        <v>2</v>
      </c>
      <c r="AD1318">
        <v>5.67</v>
      </c>
      <c r="AE1318">
        <v>200</v>
      </c>
      <c r="AF1318">
        <v>0</v>
      </c>
      <c r="AG1318">
        <v>0</v>
      </c>
      <c r="AH1318">
        <v>0.143</v>
      </c>
      <c r="AI1318">
        <v>544.96</v>
      </c>
      <c r="AJ1318">
        <v>50</v>
      </c>
      <c r="AK1318">
        <v>0</v>
      </c>
      <c r="AL1318">
        <v>0</v>
      </c>
      <c r="AM1318">
        <v>0</v>
      </c>
      <c r="AN1318">
        <v>0</v>
      </c>
      <c r="AO1318">
        <v>0</v>
      </c>
      <c r="AP1318">
        <v>0.956</v>
      </c>
      <c r="AQ1318">
        <v>0.116999999999999</v>
      </c>
      <c r="AR1318">
        <v>0.127</v>
      </c>
      <c r="AS1318" s="3">
        <v>46107.78020833333</v>
      </c>
    </row>
    <row r="1319" ht="25.5" customHeight="1">
      <c r="A1319" t="inlineStr">
        <is>
          <t>67520182000000001c01a99a</t>
        </is>
      </c>
      <c r="B1319" s="2" t="str">
        <f>=HYPERLINK("https://www.xiaohongshu.com/user/profile/67520182000000001c01a99a", "https://www.xiaohongshu.com/user/profile/67520182000000001c01a99a")</f>
        <v>https://www.xiaohongshu.com/user/profile/67520182000000001c01a99a</v>
      </c>
      <c r="C1319" s="2" t="str">
        <f>=HYPERLINK("https://pgy.xiaohongshu.com/solar/pre-trade/blogger-detail/67520182000000001c01a99a", "https://pgy.xiaohongshu.com/solar/pre-trade/blogger-detail/67520182000000001c01a99a")</f>
        <v>https://pgy.xiaohongshu.com/solar/pre-trade/blogger-detail/67520182000000001c01a99a</v>
      </c>
      <c r="D1319" t="inlineStr">
        <is>
          <t>女</t>
        </is>
      </c>
      <c r="E1319" t="inlineStr">
        <is>
          <t>11568909780</t>
        </is>
      </c>
      <c r="F1319" t="inlineStr">
        <is>
          <t>子怡</t>
        </is>
      </c>
      <c r="G1319" t="inlineStr">
        <is>
          <t>美国</t>
        </is>
      </c>
      <c r="H1319"/>
      <c r="I1319" t="inlineStr">
        <is>
          <t>教育, 生活记录</t>
        </is>
      </c>
      <c r="J1319">
        <v>30583</v>
      </c>
      <c r="K1319" t="inlineStr">
        <is>
          <t>3.1</t>
        </is>
      </c>
      <c r="L1319">
        <v>91130</v>
      </c>
      <c r="M1319">
        <v>35821</v>
      </c>
      <c r="N1319">
        <v>1401</v>
      </c>
      <c r="O1319">
        <v>4500</v>
      </c>
      <c r="P1319">
        <v>0.571</v>
      </c>
      <c r="Q1319">
        <v>1</v>
      </c>
      <c r="R1319">
        <v>0</v>
      </c>
      <c r="S1319">
        <v>0</v>
      </c>
      <c r="T1319">
        <v>0</v>
      </c>
      <c r="U1319">
        <v>0</v>
      </c>
      <c r="V1319">
        <v>0</v>
      </c>
      <c r="W1319">
        <v>0</v>
      </c>
      <c r="X1319">
        <v>0</v>
      </c>
      <c r="Y1319">
        <v>0</v>
      </c>
      <c r="Z1319">
        <v>0</v>
      </c>
      <c r="AA1319">
        <v>91130</v>
      </c>
      <c r="AB1319">
        <v>35821</v>
      </c>
      <c r="AC1319">
        <v>1305</v>
      </c>
      <c r="AD1319">
        <v>1.63</v>
      </c>
      <c r="AE1319">
        <v>4500</v>
      </c>
      <c r="AF1319">
        <v>1</v>
      </c>
      <c r="AG1319">
        <v>0.571</v>
      </c>
      <c r="AH1319">
        <v>0.193</v>
      </c>
      <c r="AI1319">
        <v>49.38</v>
      </c>
      <c r="AJ1319">
        <v>3.21</v>
      </c>
      <c r="AK1319">
        <v>87435</v>
      </c>
      <c r="AL1319">
        <v>39143</v>
      </c>
      <c r="AM1319">
        <v>2019</v>
      </c>
      <c r="AN1319">
        <v>0</v>
      </c>
      <c r="AO1319">
        <v>0</v>
      </c>
      <c r="AP1319">
        <v>0.984</v>
      </c>
      <c r="AQ1319">
        <v>0.172</v>
      </c>
      <c r="AR1319">
        <v>0.104</v>
      </c>
      <c r="AS1319" s="3">
        <v>46107.78020833333</v>
      </c>
    </row>
    <row r="1320" ht="25.5" customHeight="1">
      <c r="A1320" t="inlineStr">
        <is>
          <t>64c19dd4000000001403db47</t>
        </is>
      </c>
      <c r="B1320" s="2" t="str">
        <f>=HYPERLINK("https://www.xiaohongshu.com/user/profile/64c19dd4000000001403db47", "https://www.xiaohongshu.com/user/profile/64c19dd4000000001403db47")</f>
        <v>https://www.xiaohongshu.com/user/profile/64c19dd4000000001403db47</v>
      </c>
      <c r="C1320" s="2" t="str">
        <f>=HYPERLINK("https://pgy.xiaohongshu.com/solar/pre-trade/blogger-detail/64c19dd4000000001403db47", "https://pgy.xiaohongshu.com/solar/pre-trade/blogger-detail/64c19dd4000000001403db47")</f>
        <v>https://pgy.xiaohongshu.com/solar/pre-trade/blogger-detail/64c19dd4000000001403db47</v>
      </c>
      <c r="D1320" t="inlineStr">
        <is>
          <t>女</t>
        </is>
      </c>
      <c r="E1320" t="inlineStr">
        <is>
          <t>5571682948</t>
        </is>
      </c>
      <c r="F1320" t="inlineStr">
        <is>
          <t>mettsarchive</t>
        </is>
      </c>
      <c r="G1320" t="inlineStr">
        <is>
          <t>江苏 苏州 苏州工业园区</t>
        </is>
      </c>
      <c r="H1320"/>
      <c r="I1320" t="inlineStr">
        <is>
          <t>教育</t>
        </is>
      </c>
      <c r="J1320">
        <v>2285</v>
      </c>
      <c r="K1320" t="inlineStr">
        <is>
          <t>0.2</t>
        </is>
      </c>
      <c r="L1320">
        <v>108862</v>
      </c>
      <c r="M1320">
        <v>12549</v>
      </c>
      <c r="N1320">
        <v>1465</v>
      </c>
      <c r="O1320">
        <v>150</v>
      </c>
      <c r="P1320">
        <v>0</v>
      </c>
      <c r="Q1320">
        <v>1</v>
      </c>
      <c r="R1320">
        <v>0</v>
      </c>
      <c r="S1320">
        <v>0</v>
      </c>
      <c r="T1320">
        <v>0</v>
      </c>
      <c r="U1320">
        <v>0</v>
      </c>
      <c r="V1320">
        <v>150</v>
      </c>
      <c r="W1320">
        <v>0</v>
      </c>
      <c r="X1320">
        <v>0</v>
      </c>
      <c r="Y1320">
        <v>0</v>
      </c>
      <c r="Z1320">
        <v>0</v>
      </c>
      <c r="AA1320">
        <v>108862</v>
      </c>
      <c r="AB1320">
        <v>12549</v>
      </c>
      <c r="AC1320">
        <v>1122</v>
      </c>
      <c r="AD1320">
        <v>1.56</v>
      </c>
      <c r="AE1320">
        <v>700</v>
      </c>
      <c r="AF1320">
        <v>1</v>
      </c>
      <c r="AG1320">
        <v>0</v>
      </c>
      <c r="AH1320">
        <v>0.04</v>
      </c>
      <c r="AI1320">
        <v>6.43</v>
      </c>
      <c r="AJ1320">
        <v>0.48</v>
      </c>
      <c r="AK1320">
        <v>0</v>
      </c>
      <c r="AL1320">
        <v>0</v>
      </c>
      <c r="AM1320">
        <v>0</v>
      </c>
      <c r="AN1320">
        <v>0</v>
      </c>
      <c r="AO1320">
        <v>0</v>
      </c>
      <c r="AP1320">
        <v>0.665</v>
      </c>
      <c r="AQ1320">
        <v>0.074</v>
      </c>
      <c r="AR1320">
        <v>0.166</v>
      </c>
      <c r="AS1320" s="3">
        <v>46107.78020833333</v>
      </c>
    </row>
    <row r="1321" ht="25.5" customHeight="1">
      <c r="A1321" t="inlineStr">
        <is>
          <t>62b55cc7000000001b029704</t>
        </is>
      </c>
      <c r="B1321" s="2" t="str">
        <f>=HYPERLINK("https://www.xiaohongshu.com/user/profile/62b55cc7000000001b029704", "https://www.xiaohongshu.com/user/profile/62b55cc7000000001b029704")</f>
        <v>https://www.xiaohongshu.com/user/profile/62b55cc7000000001b029704</v>
      </c>
      <c r="C1321" s="2" t="str">
        <f>=HYPERLINK("https://pgy.xiaohongshu.com/solar/pre-trade/blogger-detail/62b55cc7000000001b029704", "https://pgy.xiaohongshu.com/solar/pre-trade/blogger-detail/62b55cc7000000001b029704")</f>
        <v>https://pgy.xiaohongshu.com/solar/pre-trade/blogger-detail/62b55cc7000000001b029704</v>
      </c>
      <c r="D1321" t="inlineStr">
        <is>
          <t>男</t>
        </is>
      </c>
      <c r="E1321" t="inlineStr">
        <is>
          <t>6293844040</t>
        </is>
      </c>
      <c r="F1321" t="inlineStr">
        <is>
          <t>一只乐儿～</t>
        </is>
      </c>
      <c r="G1321" t="inlineStr">
        <is>
          <t>广东 深圳 罗湖区</t>
        </is>
      </c>
      <c r="H1321" t="inlineStr">
        <is>
          <t>学生, 留学背景</t>
        </is>
      </c>
      <c r="I1321" t="inlineStr">
        <is>
          <t>教育, 生活记录</t>
        </is>
      </c>
      <c r="J1321">
        <v>12399</v>
      </c>
      <c r="K1321" t="inlineStr">
        <is>
          <t>1.2</t>
        </is>
      </c>
      <c r="L1321">
        <v>10669</v>
      </c>
      <c r="M1321">
        <v>2450</v>
      </c>
      <c r="N1321">
        <v>213</v>
      </c>
      <c r="O1321">
        <v>1700</v>
      </c>
      <c r="P1321">
        <v>0</v>
      </c>
      <c r="Q1321">
        <v>0.818</v>
      </c>
      <c r="R1321">
        <v>0</v>
      </c>
      <c r="S1321">
        <v>0</v>
      </c>
      <c r="T1321">
        <v>0</v>
      </c>
      <c r="U1321">
        <v>0</v>
      </c>
      <c r="V1321">
        <v>1700</v>
      </c>
      <c r="W1321">
        <v>0</v>
      </c>
      <c r="X1321">
        <v>0</v>
      </c>
      <c r="Y1321">
        <v>0</v>
      </c>
      <c r="Z1321">
        <v>0</v>
      </c>
      <c r="AA1321">
        <v>10669</v>
      </c>
      <c r="AB1321">
        <v>2450</v>
      </c>
      <c r="AC1321">
        <v>205</v>
      </c>
      <c r="AD1321">
        <v>2.33</v>
      </c>
      <c r="AE1321">
        <v>2000</v>
      </c>
      <c r="AF1321">
        <v>0.818</v>
      </c>
      <c r="AG1321">
        <v>0</v>
      </c>
      <c r="AH1321">
        <v>0.179</v>
      </c>
      <c r="AI1321">
        <v>194.68</v>
      </c>
      <c r="AJ1321">
        <v>9.76</v>
      </c>
      <c r="AK1321">
        <v>6345</v>
      </c>
      <c r="AL1321">
        <v>1781</v>
      </c>
      <c r="AM1321">
        <v>141</v>
      </c>
      <c r="AN1321">
        <v>0</v>
      </c>
      <c r="AO1321">
        <v>0</v>
      </c>
      <c r="AP1321">
        <v>0.84</v>
      </c>
      <c r="AQ1321">
        <v>0.077</v>
      </c>
      <c r="AR1321">
        <v>0.03</v>
      </c>
      <c r="AS1321" s="3">
        <v>46107.78020833333</v>
      </c>
    </row>
    <row r="1322" ht="25.5" customHeight="1">
      <c r="A1322" t="inlineStr">
        <is>
          <t>64310d250000000012012f04</t>
        </is>
      </c>
      <c r="B1322" s="2" t="str">
        <f>=HYPERLINK("https://www.xiaohongshu.com/user/profile/64310d250000000012012f04", "https://www.xiaohongshu.com/user/profile/64310d250000000012012f04")</f>
        <v>https://www.xiaohongshu.com/user/profile/64310d250000000012012f04</v>
      </c>
      <c r="C1322" s="2" t="str">
        <f>=HYPERLINK("https://pgy.xiaohongshu.com/solar/pre-trade/blogger-detail/64310d250000000012012f04", "https://pgy.xiaohongshu.com/solar/pre-trade/blogger-detail/64310d250000000012012f04")</f>
        <v>https://pgy.xiaohongshu.com/solar/pre-trade/blogger-detail/64310d250000000012012f04</v>
      </c>
      <c r="D1322" t="inlineStr">
        <is>
          <t>女</t>
        </is>
      </c>
      <c r="E1322" t="inlineStr">
        <is>
          <t>9608982862</t>
        </is>
      </c>
      <c r="F1322" t="inlineStr">
        <is>
          <t>Ginger在学法语</t>
        </is>
      </c>
      <c r="G1322" t="inlineStr">
        <is>
          <t>上海</t>
        </is>
      </c>
      <c r="H1322"/>
      <c r="I1322" t="inlineStr">
        <is>
          <t>教育</t>
        </is>
      </c>
      <c r="J1322">
        <v>1082</v>
      </c>
      <c r="K1322" t="inlineStr">
        <is>
          <t>0.1</t>
        </is>
      </c>
      <c r="L1322">
        <v>1510</v>
      </c>
      <c r="M1322">
        <v>904</v>
      </c>
      <c r="N1322">
        <v>137</v>
      </c>
      <c r="O1322">
        <v>160</v>
      </c>
      <c r="P1322">
        <v>0</v>
      </c>
      <c r="Q1322">
        <v>0.5</v>
      </c>
      <c r="R1322">
        <v>858</v>
      </c>
      <c r="S1322">
        <v>124</v>
      </c>
      <c r="T1322">
        <v>15</v>
      </c>
      <c r="U1322">
        <v>1.59</v>
      </c>
      <c r="V1322">
        <v>160</v>
      </c>
      <c r="W1322">
        <v>0</v>
      </c>
      <c r="X1322">
        <v>0</v>
      </c>
      <c r="Y1322">
        <v>186.48</v>
      </c>
      <c r="Z1322">
        <v>8.89</v>
      </c>
      <c r="AA1322">
        <v>2163</v>
      </c>
      <c r="AB1322">
        <v>1685</v>
      </c>
      <c r="AC1322">
        <v>222</v>
      </c>
      <c r="AD1322">
        <v>1.64</v>
      </c>
      <c r="AE1322">
        <v>230</v>
      </c>
      <c r="AF1322">
        <v>1</v>
      </c>
      <c r="AG1322">
        <v>0</v>
      </c>
      <c r="AH1322">
        <v>0.00699999999999999</v>
      </c>
      <c r="AI1322">
        <v>106.33</v>
      </c>
      <c r="AJ1322">
        <v>0.9</v>
      </c>
      <c r="AK1322">
        <v>0</v>
      </c>
      <c r="AL1322">
        <v>0</v>
      </c>
      <c r="AM1322">
        <v>0</v>
      </c>
      <c r="AN1322">
        <v>0</v>
      </c>
      <c r="AO1322">
        <v>0</v>
      </c>
      <c r="AP1322">
        <v>0.885999999999999</v>
      </c>
      <c r="AQ1322">
        <v>0.044</v>
      </c>
      <c r="AR1322">
        <v>0.031</v>
      </c>
      <c r="AS1322" s="3">
        <v>46107.78020833333</v>
      </c>
    </row>
    <row r="1323" ht="25.5" customHeight="1">
      <c r="A1323" t="inlineStr">
        <is>
          <t>5fb4324f0000000001003c11</t>
        </is>
      </c>
      <c r="B1323" s="2" t="str">
        <f>=HYPERLINK("https://www.xiaohongshu.com/user/profile/5fb4324f0000000001003c11", "https://www.xiaohongshu.com/user/profile/5fb4324f0000000001003c11")</f>
        <v>https://www.xiaohongshu.com/user/profile/5fb4324f0000000001003c11</v>
      </c>
      <c r="C1323" s="2" t="str">
        <f>=HYPERLINK("https://pgy.xiaohongshu.com/solar/pre-trade/blogger-detail/5fb4324f0000000001003c11", "https://pgy.xiaohongshu.com/solar/pre-trade/blogger-detail/5fb4324f0000000001003c11")</f>
        <v>https://pgy.xiaohongshu.com/solar/pre-trade/blogger-detail/5fb4324f0000000001003c11</v>
      </c>
      <c r="D1323" t="inlineStr">
        <is>
          <t>女</t>
        </is>
      </c>
      <c r="E1323" t="inlineStr">
        <is>
          <t>1035239659</t>
        </is>
      </c>
      <c r="F1323" t="inlineStr">
        <is>
          <t>雅思9分口语 青青老师在这里</t>
        </is>
      </c>
      <c r="G1323" t="inlineStr">
        <is>
          <t>澳大利亚</t>
        </is>
      </c>
      <c r="H1323"/>
      <c r="I1323" t="inlineStr">
        <is>
          <t>教育</t>
        </is>
      </c>
      <c r="J1323">
        <v>9722</v>
      </c>
      <c r="K1323" t="inlineStr">
        <is>
          <t>1.0</t>
        </is>
      </c>
      <c r="L1323">
        <v>7130</v>
      </c>
      <c r="M1323">
        <v>2258</v>
      </c>
      <c r="N1323">
        <v>332</v>
      </c>
      <c r="O1323">
        <v>170</v>
      </c>
      <c r="P1323">
        <v>0</v>
      </c>
      <c r="Q1323">
        <v>0.767</v>
      </c>
      <c r="R1323">
        <v>1787</v>
      </c>
      <c r="S1323">
        <v>132</v>
      </c>
      <c r="T1323">
        <v>2</v>
      </c>
      <c r="U1323">
        <v>1.58</v>
      </c>
      <c r="V1323">
        <v>170</v>
      </c>
      <c r="W1323">
        <v>0</v>
      </c>
      <c r="X1323">
        <v>0</v>
      </c>
      <c r="Y1323">
        <v>95.1</v>
      </c>
      <c r="Z1323">
        <v>56.67</v>
      </c>
      <c r="AA1323">
        <v>7336</v>
      </c>
      <c r="AB1323">
        <v>2505</v>
      </c>
      <c r="AC1323">
        <v>292</v>
      </c>
      <c r="AD1323">
        <v>1.8</v>
      </c>
      <c r="AE1323">
        <v>739</v>
      </c>
      <c r="AF1323">
        <v>0.885</v>
      </c>
      <c r="AG1323">
        <v>0</v>
      </c>
      <c r="AH1323">
        <v>0.077</v>
      </c>
      <c r="AI1323">
        <v>100.74</v>
      </c>
      <c r="AJ1323">
        <v>2.13</v>
      </c>
      <c r="AK1323">
        <v>0</v>
      </c>
      <c r="AL1323">
        <v>0</v>
      </c>
      <c r="AM1323">
        <v>0</v>
      </c>
      <c r="AN1323">
        <v>0</v>
      </c>
      <c r="AO1323">
        <v>0</v>
      </c>
      <c r="AP1323">
        <v>0.984</v>
      </c>
      <c r="AQ1323">
        <v>0.214</v>
      </c>
      <c r="AR1323">
        <v>0.429</v>
      </c>
      <c r="AS1323" s="3">
        <v>46107.78020833333</v>
      </c>
    </row>
    <row r="1324" ht="25.5" customHeight="1">
      <c r="A1324" t="inlineStr">
        <is>
          <t>5b067e104eacab3586b0c64e</t>
        </is>
      </c>
      <c r="B1324" s="2" t="str">
        <f>=HYPERLINK("https://www.xiaohongshu.com/user/profile/5b067e104eacab3586b0c64e", "https://www.xiaohongshu.com/user/profile/5b067e104eacab3586b0c64e")</f>
        <v>https://www.xiaohongshu.com/user/profile/5b067e104eacab3586b0c64e</v>
      </c>
      <c r="C1324" s="2" t="str">
        <f>=HYPERLINK("https://pgy.xiaohongshu.com/solar/pre-trade/blogger-detail/5b067e104eacab3586b0c64e", "https://pgy.xiaohongshu.com/solar/pre-trade/blogger-detail/5b067e104eacab3586b0c64e")</f>
        <v>https://pgy.xiaohongshu.com/solar/pre-trade/blogger-detail/5b067e104eacab3586b0c64e</v>
      </c>
      <c r="D1324" t="inlineStr">
        <is>
          <t>女</t>
        </is>
      </c>
      <c r="E1324" t="inlineStr">
        <is>
          <t>wz_ds00</t>
        </is>
      </c>
      <c r="F1324" t="inlineStr">
        <is>
          <t>丸子数据分析</t>
        </is>
      </c>
      <c r="G1324" t="inlineStr">
        <is>
          <t>广东 江门 江海区</t>
        </is>
      </c>
      <c r="H1324"/>
      <c r="I1324" t="inlineStr">
        <is>
          <t>教育</t>
        </is>
      </c>
      <c r="J1324">
        <v>12021</v>
      </c>
      <c r="K1324" t="inlineStr">
        <is>
          <t>1.2</t>
        </is>
      </c>
      <c r="L1324">
        <v>3275</v>
      </c>
      <c r="M1324">
        <v>681</v>
      </c>
      <c r="N1324">
        <v>110</v>
      </c>
      <c r="O1324">
        <v>350</v>
      </c>
      <c r="P1324">
        <v>0</v>
      </c>
      <c r="Q1324">
        <v>0.118</v>
      </c>
      <c r="R1324">
        <v>1859</v>
      </c>
      <c r="S1324">
        <v>105</v>
      </c>
      <c r="T1324">
        <v>9</v>
      </c>
      <c r="U1324">
        <v>3.63</v>
      </c>
      <c r="V1324">
        <v>350</v>
      </c>
      <c r="W1324">
        <v>0</v>
      </c>
      <c r="X1324">
        <v>0</v>
      </c>
      <c r="Y1324">
        <v>188.27</v>
      </c>
      <c r="Z1324">
        <v>30.43</v>
      </c>
      <c r="AA1324">
        <v>3413</v>
      </c>
      <c r="AB1324">
        <v>862</v>
      </c>
      <c r="AC1324">
        <v>105</v>
      </c>
      <c r="AD1324">
        <v>2.08</v>
      </c>
      <c r="AE1324">
        <v>500</v>
      </c>
      <c r="AF1324">
        <v>0.222</v>
      </c>
      <c r="AG1324">
        <v>0</v>
      </c>
      <c r="AH1324">
        <v>0.016</v>
      </c>
      <c r="AI1324">
        <v>146.5</v>
      </c>
      <c r="AJ1324">
        <v>4.13</v>
      </c>
      <c r="AK1324">
        <v>0</v>
      </c>
      <c r="AL1324">
        <v>0</v>
      </c>
      <c r="AM1324">
        <v>0</v>
      </c>
      <c r="AN1324">
        <v>0</v>
      </c>
      <c r="AO1324">
        <v>0</v>
      </c>
      <c r="AP1324">
        <v>0.878</v>
      </c>
      <c r="AQ1324">
        <v>0.02</v>
      </c>
      <c r="AR1324">
        <v>0.019</v>
      </c>
      <c r="AS1324" s="3">
        <v>46107.78020833333</v>
      </c>
    </row>
    <row r="1325" ht="25.5" customHeight="1">
      <c r="A1325" t="inlineStr">
        <is>
          <t>589c86ee6a6a696cdca64564</t>
        </is>
      </c>
      <c r="B1325" s="2" t="str">
        <f>=HYPERLINK("https://www.xiaohongshu.com/user/profile/589c86ee6a6a696cdca64564", "https://www.xiaohongshu.com/user/profile/589c86ee6a6a696cdca64564")</f>
        <v>https://www.xiaohongshu.com/user/profile/589c86ee6a6a696cdca64564</v>
      </c>
      <c r="C1325" s="2" t="str">
        <f>=HYPERLINK("https://pgy.xiaohongshu.com/solar/pre-trade/blogger-detail/589c86ee6a6a696cdca64564", "https://pgy.xiaohongshu.com/solar/pre-trade/blogger-detail/589c86ee6a6a696cdca64564")</f>
        <v>https://pgy.xiaohongshu.com/solar/pre-trade/blogger-detail/589c86ee6a6a696cdca64564</v>
      </c>
      <c r="D1325" t="inlineStr">
        <is>
          <t>女</t>
        </is>
      </c>
      <c r="E1325" t="inlineStr">
        <is>
          <t>ZZZhaniX</t>
        </is>
      </c>
      <c r="F1325" t="inlineStr">
        <is>
          <t>叫她醒醒</t>
        </is>
      </c>
      <c r="G1325" t="inlineStr">
        <is>
          <t>河北 邯郸 丛台区</t>
        </is>
      </c>
      <c r="H1325" t="inlineStr">
        <is>
          <t>考研过来人, 运营</t>
        </is>
      </c>
      <c r="I1325" t="inlineStr">
        <is>
          <t>教育</t>
        </is>
      </c>
      <c r="J1325">
        <v>47700</v>
      </c>
      <c r="K1325" t="inlineStr">
        <is>
          <t>4.8</t>
        </is>
      </c>
      <c r="L1325">
        <v>16129</v>
      </c>
      <c r="M1325">
        <v>6286</v>
      </c>
      <c r="N1325">
        <v>946</v>
      </c>
      <c r="O1325">
        <v>2000</v>
      </c>
      <c r="P1325">
        <v>0.3</v>
      </c>
      <c r="Q1325">
        <v>0.8</v>
      </c>
      <c r="R1325">
        <v>0</v>
      </c>
      <c r="S1325">
        <v>0</v>
      </c>
      <c r="T1325">
        <v>0</v>
      </c>
      <c r="U1325">
        <v>0</v>
      </c>
      <c r="V1325">
        <v>2000</v>
      </c>
      <c r="W1325">
        <v>0</v>
      </c>
      <c r="X1325">
        <v>0</v>
      </c>
      <c r="Y1325">
        <v>0</v>
      </c>
      <c r="Z1325">
        <v>0</v>
      </c>
      <c r="AA1325">
        <v>16129</v>
      </c>
      <c r="AB1325">
        <v>6286</v>
      </c>
      <c r="AC1325">
        <v>834</v>
      </c>
      <c r="AD1325">
        <v>2.07</v>
      </c>
      <c r="AE1325">
        <v>4000</v>
      </c>
      <c r="AF1325">
        <v>0.8</v>
      </c>
      <c r="AG1325">
        <v>0.3</v>
      </c>
      <c r="AH1325">
        <v>0.081</v>
      </c>
      <c r="AI1325">
        <v>208.95</v>
      </c>
      <c r="AJ1325">
        <v>3.82</v>
      </c>
      <c r="AK1325">
        <v>48800</v>
      </c>
      <c r="AL1325">
        <v>7012</v>
      </c>
      <c r="AM1325">
        <v>1002</v>
      </c>
      <c r="AN1325">
        <v>0</v>
      </c>
      <c r="AO1325">
        <v>11230.3</v>
      </c>
      <c r="AP1325">
        <v>0.885</v>
      </c>
      <c r="AQ1325">
        <v>0.181</v>
      </c>
      <c r="AR1325">
        <v>0.176</v>
      </c>
      <c r="AS1325" s="3">
        <v>46107.78020833333</v>
      </c>
    </row>
    <row r="1326" ht="25.5" customHeight="1">
      <c r="A1326" t="inlineStr">
        <is>
          <t>5fe1aea1000000000101ddde</t>
        </is>
      </c>
      <c r="B1326" s="2" t="str">
        <f>=HYPERLINK("https://www.xiaohongshu.com/user/profile/5fe1aea1000000000101ddde", "https://www.xiaohongshu.com/user/profile/5fe1aea1000000000101ddde")</f>
        <v>https://www.xiaohongshu.com/user/profile/5fe1aea1000000000101ddde</v>
      </c>
      <c r="C1326" s="2" t="str">
        <f>=HYPERLINK("https://pgy.xiaohongshu.com/solar/pre-trade/blogger-detail/5fe1aea1000000000101ddde", "https://pgy.xiaohongshu.com/solar/pre-trade/blogger-detail/5fe1aea1000000000101ddde")</f>
        <v>https://pgy.xiaohongshu.com/solar/pre-trade/blogger-detail/5fe1aea1000000000101ddde</v>
      </c>
      <c r="D1326" t="inlineStr">
        <is>
          <t>男</t>
        </is>
      </c>
      <c r="E1326" t="inlineStr">
        <is>
          <t>1085080348</t>
        </is>
      </c>
      <c r="F1326" t="inlineStr">
        <is>
          <t>魔法英语书屋✨</t>
        </is>
      </c>
      <c r="G1326" t="inlineStr">
        <is>
          <t>海南 海口 龙华区</t>
        </is>
      </c>
      <c r="H1326"/>
      <c r="I1326" t="inlineStr">
        <is>
          <t>教育</t>
        </is>
      </c>
      <c r="J1326">
        <v>1709</v>
      </c>
      <c r="K1326" t="inlineStr">
        <is>
          <t>0.2</t>
        </is>
      </c>
      <c r="L1326">
        <v>4192</v>
      </c>
      <c r="M1326">
        <v>523</v>
      </c>
      <c r="N1326">
        <v>140</v>
      </c>
      <c r="O1326">
        <v>150</v>
      </c>
      <c r="P1326">
        <v>0</v>
      </c>
      <c r="Q1326">
        <v>0.5</v>
      </c>
      <c r="R1326">
        <v>4192</v>
      </c>
      <c r="S1326">
        <v>523</v>
      </c>
      <c r="T1326">
        <v>111</v>
      </c>
      <c r="U1326">
        <v>0.59</v>
      </c>
      <c r="V1326">
        <v>150</v>
      </c>
      <c r="W1326">
        <v>0.5</v>
      </c>
      <c r="X1326">
        <v>0</v>
      </c>
      <c r="Y1326">
        <v>35.78</v>
      </c>
      <c r="Z1326">
        <v>1.07</v>
      </c>
      <c r="AA1326">
        <v>0</v>
      </c>
      <c r="AB1326">
        <v>0</v>
      </c>
      <c r="AC1326">
        <v>0</v>
      </c>
      <c r="AD1326">
        <v>0</v>
      </c>
      <c r="AE1326">
        <v>200</v>
      </c>
      <c r="AF1326">
        <v>0</v>
      </c>
      <c r="AG1326">
        <v>0</v>
      </c>
      <c r="AH1326">
        <v>0</v>
      </c>
      <c r="AI1326">
        <v>0</v>
      </c>
      <c r="AJ1326">
        <v>0</v>
      </c>
      <c r="AK1326">
        <v>0</v>
      </c>
      <c r="AL1326">
        <v>0</v>
      </c>
      <c r="AM1326">
        <v>0</v>
      </c>
      <c r="AN1326">
        <v>0</v>
      </c>
      <c r="AO1326">
        <v>0</v>
      </c>
      <c r="AP1326">
        <v>0.958</v>
      </c>
      <c r="AQ1326">
        <v>0.063</v>
      </c>
      <c r="AR1326">
        <v>0.066</v>
      </c>
      <c r="AS1326" s="3">
        <v>46107.78020833333</v>
      </c>
    </row>
    <row r="1327" ht="25.5" customHeight="1">
      <c r="A1327" t="inlineStr">
        <is>
          <t>693fcace000000003702ba01</t>
        </is>
      </c>
      <c r="B1327" s="2" t="str">
        <f>=HYPERLINK("https://www.xiaohongshu.com/user/profile/693fcace000000003702ba01", "https://www.xiaohongshu.com/user/profile/693fcace000000003702ba01")</f>
        <v>https://www.xiaohongshu.com/user/profile/693fcace000000003702ba01</v>
      </c>
      <c r="C1327" s="2" t="str">
        <f>=HYPERLINK("https://pgy.xiaohongshu.com/solar/pre-trade/blogger-detail/693fcace000000003702ba01", "https://pgy.xiaohongshu.com/solar/pre-trade/blogger-detail/693fcace000000003702ba01")</f>
        <v>https://pgy.xiaohongshu.com/solar/pre-trade/blogger-detail/693fcace000000003702ba01</v>
      </c>
      <c r="D1327" t="inlineStr">
        <is>
          <t>男</t>
        </is>
      </c>
      <c r="E1327" t="inlineStr">
        <is>
          <t>49945080234</t>
        </is>
      </c>
      <c r="F1327" t="inlineStr">
        <is>
          <t>TED精读</t>
        </is>
      </c>
      <c r="G1327" t="inlineStr">
        <is>
          <t>河南 洛阳 涧西区</t>
        </is>
      </c>
      <c r="H1327" t="inlineStr">
        <is>
          <t>学生</t>
        </is>
      </c>
      <c r="I1327" t="inlineStr">
        <is>
          <t>教育</t>
        </is>
      </c>
      <c r="J1327">
        <v>13146</v>
      </c>
      <c r="K1327" t="inlineStr">
        <is>
          <t>1.3</t>
        </is>
      </c>
      <c r="L1327">
        <v>9693</v>
      </c>
      <c r="M1327">
        <v>937</v>
      </c>
      <c r="N1327">
        <v>130</v>
      </c>
      <c r="O1327">
        <v>100</v>
      </c>
      <c r="P1327">
        <v>0</v>
      </c>
      <c r="Q1327">
        <v>0.2</v>
      </c>
      <c r="R1327">
        <v>10305</v>
      </c>
      <c r="S1327">
        <v>1282</v>
      </c>
      <c r="T1327">
        <v>120</v>
      </c>
      <c r="U1327">
        <v>0.38</v>
      </c>
      <c r="V1327">
        <v>100</v>
      </c>
      <c r="W1327">
        <v>0.332999999999999</v>
      </c>
      <c r="X1327">
        <v>0</v>
      </c>
      <c r="Y1327">
        <v>9.7</v>
      </c>
      <c r="Z1327">
        <v>0.71</v>
      </c>
      <c r="AA1327">
        <v>6370</v>
      </c>
      <c r="AB1327">
        <v>738</v>
      </c>
      <c r="AC1327">
        <v>40</v>
      </c>
      <c r="AD1327">
        <v>0</v>
      </c>
      <c r="AE1327">
        <v>0</v>
      </c>
      <c r="AF1327">
        <v>0</v>
      </c>
      <c r="AG1327">
        <v>0</v>
      </c>
      <c r="AH1327">
        <v>0.085</v>
      </c>
      <c r="AI1327">
        <v>0</v>
      </c>
      <c r="AJ1327">
        <v>0</v>
      </c>
      <c r="AK1327">
        <v>0</v>
      </c>
      <c r="AL1327">
        <v>0</v>
      </c>
      <c r="AM1327">
        <v>0</v>
      </c>
      <c r="AN1327">
        <v>0</v>
      </c>
      <c r="AO1327">
        <v>0</v>
      </c>
      <c r="AP1327">
        <v>0.969</v>
      </c>
      <c r="AQ1327">
        <v>0.088</v>
      </c>
      <c r="AR1327">
        <v>0.42</v>
      </c>
      <c r="AS1327" s="3">
        <v>46107.78020833333</v>
      </c>
    </row>
    <row r="1328" ht="25.5" customHeight="1">
      <c r="A1328" t="inlineStr">
        <is>
          <t>5fbc945900000000010035d5</t>
        </is>
      </c>
      <c r="B1328" s="2" t="str">
        <f>=HYPERLINK("https://www.xiaohongshu.com/user/profile/5fbc945900000000010035d5", "https://www.xiaohongshu.com/user/profile/5fbc945900000000010035d5")</f>
        <v>https://www.xiaohongshu.com/user/profile/5fbc945900000000010035d5</v>
      </c>
      <c r="C1328" s="2" t="str">
        <f>=HYPERLINK("https://pgy.xiaohongshu.com/solar/pre-trade/blogger-detail/5fbc945900000000010035d5", "https://pgy.xiaohongshu.com/solar/pre-trade/blogger-detail/5fbc945900000000010035d5")</f>
        <v>https://pgy.xiaohongshu.com/solar/pre-trade/blogger-detail/5fbc945900000000010035d5</v>
      </c>
      <c r="D1328" t="inlineStr">
        <is>
          <t>女</t>
        </is>
      </c>
      <c r="E1328" t="inlineStr">
        <is>
          <t>1030345135</t>
        </is>
      </c>
      <c r="F1328" t="inlineStr">
        <is>
          <t>晨菲chenfei</t>
        </is>
      </c>
      <c r="G1328" t="inlineStr">
        <is>
          <t>澳大利亚</t>
        </is>
      </c>
      <c r="H1328" t="inlineStr">
        <is>
          <t>留学背景, 学生</t>
        </is>
      </c>
      <c r="I1328" t="inlineStr">
        <is>
          <t>教育, 生活记录</t>
        </is>
      </c>
      <c r="J1328">
        <v>798533</v>
      </c>
      <c r="K1328" t="inlineStr">
        <is>
          <t>79.9</t>
        </is>
      </c>
      <c r="L1328">
        <v>461096</v>
      </c>
      <c r="M1328">
        <v>259720</v>
      </c>
      <c r="N1328">
        <v>28238</v>
      </c>
      <c r="O1328">
        <v>68000</v>
      </c>
      <c r="P1328">
        <v>1</v>
      </c>
      <c r="Q1328">
        <v>1</v>
      </c>
      <c r="R1328">
        <v>0</v>
      </c>
      <c r="S1328">
        <v>0</v>
      </c>
      <c r="T1328">
        <v>0</v>
      </c>
      <c r="U1328">
        <v>0</v>
      </c>
      <c r="V1328">
        <v>0</v>
      </c>
      <c r="W1328">
        <v>0</v>
      </c>
      <c r="X1328">
        <v>0</v>
      </c>
      <c r="Y1328">
        <v>0</v>
      </c>
      <c r="Z1328">
        <v>0</v>
      </c>
      <c r="AA1328">
        <v>461096</v>
      </c>
      <c r="AB1328">
        <v>259720</v>
      </c>
      <c r="AC1328">
        <v>25352</v>
      </c>
      <c r="AD1328">
        <v>1.76</v>
      </c>
      <c r="AE1328">
        <v>68000</v>
      </c>
      <c r="AF1328">
        <v>1</v>
      </c>
      <c r="AG1328">
        <v>1</v>
      </c>
      <c r="AH1328">
        <v>0.305</v>
      </c>
      <c r="AI1328">
        <v>147.47</v>
      </c>
      <c r="AJ1328">
        <v>2.41</v>
      </c>
      <c r="AK1328">
        <v>0</v>
      </c>
      <c r="AL1328">
        <v>0</v>
      </c>
      <c r="AM1328">
        <v>0</v>
      </c>
      <c r="AN1328">
        <v>0</v>
      </c>
      <c r="AO1328">
        <v>0</v>
      </c>
      <c r="AP1328">
        <v>0.875999999999999</v>
      </c>
      <c r="AQ1328">
        <v>0.142</v>
      </c>
      <c r="AR1328">
        <v>0.0579999999999999</v>
      </c>
      <c r="AS1328" s="3">
        <v>46107.780439814815</v>
      </c>
    </row>
    <row r="1329" ht="25.5" customHeight="1">
      <c r="A1329" t="inlineStr">
        <is>
          <t>5e4a446f00000000010066bc</t>
        </is>
      </c>
      <c r="B1329" s="2" t="str">
        <f>=HYPERLINK("https://www.xiaohongshu.com/user/profile/5e4a446f00000000010066bc", "https://www.xiaohongshu.com/user/profile/5e4a446f00000000010066bc")</f>
        <v>https://www.xiaohongshu.com/user/profile/5e4a446f00000000010066bc</v>
      </c>
      <c r="C1329" s="2" t="str">
        <f>=HYPERLINK("https://pgy.xiaohongshu.com/solar/pre-trade/blogger-detail/5e4a446f00000000010066bc", "https://pgy.xiaohongshu.com/solar/pre-trade/blogger-detail/5e4a446f00000000010066bc")</f>
        <v>https://pgy.xiaohongshu.com/solar/pre-trade/blogger-detail/5e4a446f00000000010066bc</v>
      </c>
      <c r="D1329" t="inlineStr">
        <is>
          <t>女</t>
        </is>
      </c>
      <c r="E1329" t="inlineStr">
        <is>
          <t>rxy071204</t>
        </is>
      </c>
      <c r="F1329" t="inlineStr">
        <is>
          <t>MissViola</t>
        </is>
      </c>
      <c r="G1329" t="inlineStr">
        <is>
          <t>美国</t>
        </is>
      </c>
      <c r="H1329"/>
      <c r="I1329" t="inlineStr">
        <is>
          <t>教育, 美妆</t>
        </is>
      </c>
      <c r="J1329">
        <v>4293</v>
      </c>
      <c r="K1329" t="inlineStr">
        <is>
          <t>0.4</t>
        </is>
      </c>
      <c r="L1329">
        <v>9875</v>
      </c>
      <c r="M1329">
        <v>2037</v>
      </c>
      <c r="N1329">
        <v>169</v>
      </c>
      <c r="O1329">
        <v>200</v>
      </c>
      <c r="P1329">
        <v>0.222</v>
      </c>
      <c r="Q1329">
        <v>0.667</v>
      </c>
      <c r="R1329">
        <v>0</v>
      </c>
      <c r="S1329">
        <v>0</v>
      </c>
      <c r="T1329">
        <v>0</v>
      </c>
      <c r="U1329">
        <v>0</v>
      </c>
      <c r="V1329">
        <v>200</v>
      </c>
      <c r="W1329">
        <v>0</v>
      </c>
      <c r="X1329">
        <v>0</v>
      </c>
      <c r="Y1329">
        <v>0</v>
      </c>
      <c r="Z1329">
        <v>0</v>
      </c>
      <c r="AA1329">
        <v>10697</v>
      </c>
      <c r="AB1329">
        <v>2048</v>
      </c>
      <c r="AC1329">
        <v>159</v>
      </c>
      <c r="AD1329">
        <v>1.65</v>
      </c>
      <c r="AE1329">
        <v>300</v>
      </c>
      <c r="AF1329">
        <v>0.667</v>
      </c>
      <c r="AG1329">
        <v>0.222</v>
      </c>
      <c r="AH1329">
        <v>0.059</v>
      </c>
      <c r="AI1329">
        <v>28.05</v>
      </c>
      <c r="AJ1329">
        <v>1.7</v>
      </c>
      <c r="AK1329">
        <v>0</v>
      </c>
      <c r="AL1329">
        <v>0</v>
      </c>
      <c r="AM1329">
        <v>0</v>
      </c>
      <c r="AN1329">
        <v>0</v>
      </c>
      <c r="AO1329">
        <v>0</v>
      </c>
      <c r="AP1329">
        <v>0.689</v>
      </c>
      <c r="AQ1329">
        <v>0.123</v>
      </c>
      <c r="AR1329">
        <v>0.26</v>
      </c>
      <c r="AS1329" s="3">
        <v>46107.780439814815</v>
      </c>
    </row>
    <row r="1330" ht="25.5" customHeight="1">
      <c r="A1330" t="inlineStr">
        <is>
          <t>5fa17f130000000001000a97</t>
        </is>
      </c>
      <c r="B1330" s="2" t="str">
        <f>=HYPERLINK("https://www.xiaohongshu.com/user/profile/5fa17f130000000001000a97", "https://www.xiaohongshu.com/user/profile/5fa17f130000000001000a97")</f>
        <v>https://www.xiaohongshu.com/user/profile/5fa17f130000000001000a97</v>
      </c>
      <c r="C1330" s="2" t="str">
        <f>=HYPERLINK("https://pgy.xiaohongshu.com/solar/pre-trade/blogger-detail/5fa17f130000000001000a97", "https://pgy.xiaohongshu.com/solar/pre-trade/blogger-detail/5fa17f130000000001000a97")</f>
        <v>https://pgy.xiaohongshu.com/solar/pre-trade/blogger-detail/5fa17f130000000001000a97</v>
      </c>
      <c r="D1330" t="inlineStr">
        <is>
          <t>女</t>
        </is>
      </c>
      <c r="E1330" t="inlineStr">
        <is>
          <t>1038444995</t>
        </is>
      </c>
      <c r="F1330" t="inlineStr">
        <is>
          <t>好柿豆花生（干货版）</t>
        </is>
      </c>
      <c r="G1330" t="inlineStr">
        <is>
          <t>山东 青岛 崂山区</t>
        </is>
      </c>
      <c r="H1330"/>
      <c r="I1330" t="inlineStr">
        <is>
          <t>教育</t>
        </is>
      </c>
      <c r="J1330">
        <v>4965</v>
      </c>
      <c r="K1330" t="inlineStr">
        <is>
          <t>0.5</t>
        </is>
      </c>
      <c r="L1330">
        <v>11019</v>
      </c>
      <c r="M1330">
        <v>2727</v>
      </c>
      <c r="N1330">
        <v>121</v>
      </c>
      <c r="O1330">
        <v>300</v>
      </c>
      <c r="P1330">
        <v>0.071</v>
      </c>
      <c r="Q1330">
        <v>0.429</v>
      </c>
      <c r="R1330">
        <v>11019</v>
      </c>
      <c r="S1330">
        <v>2727</v>
      </c>
      <c r="T1330">
        <v>78</v>
      </c>
      <c r="U1330">
        <v>0.4</v>
      </c>
      <c r="V1330">
        <v>300</v>
      </c>
      <c r="W1330">
        <v>0.429</v>
      </c>
      <c r="X1330">
        <v>0.071</v>
      </c>
      <c r="Y1330">
        <v>19.99</v>
      </c>
      <c r="Z1330">
        <v>1.05</v>
      </c>
      <c r="AA1330">
        <v>0</v>
      </c>
      <c r="AB1330">
        <v>0</v>
      </c>
      <c r="AC1330">
        <v>0</v>
      </c>
      <c r="AD1330">
        <v>0</v>
      </c>
      <c r="AE1330">
        <v>400</v>
      </c>
      <c r="AF1330">
        <v>0</v>
      </c>
      <c r="AG1330">
        <v>0</v>
      </c>
      <c r="AH1330">
        <v>0</v>
      </c>
      <c r="AI1330">
        <v>0</v>
      </c>
      <c r="AJ1330">
        <v>0</v>
      </c>
      <c r="AK1330">
        <v>17449</v>
      </c>
      <c r="AL1330">
        <v>2984</v>
      </c>
      <c r="AM1330">
        <v>428</v>
      </c>
      <c r="AN1330">
        <v>0</v>
      </c>
      <c r="AO1330">
        <v>12.58</v>
      </c>
      <c r="AP1330">
        <v>0.917</v>
      </c>
      <c r="AQ1330">
        <v>0.151</v>
      </c>
      <c r="AR1330">
        <v>0.21</v>
      </c>
      <c r="AS1330" s="3">
        <v>46107.780439814815</v>
      </c>
    </row>
    <row r="1331" ht="25.5" customHeight="1">
      <c r="A1331" t="inlineStr">
        <is>
          <t>68874af3000000001d008ac4</t>
        </is>
      </c>
      <c r="B1331" s="2" t="str">
        <f>=HYPERLINK("https://www.xiaohongshu.com/user/profile/68874af3000000001d008ac4", "https://www.xiaohongshu.com/user/profile/68874af3000000001d008ac4")</f>
        <v>https://www.xiaohongshu.com/user/profile/68874af3000000001d008ac4</v>
      </c>
      <c r="C1331" s="2" t="str">
        <f>=HYPERLINK("https://pgy.xiaohongshu.com/solar/pre-trade/blogger-detail/68874af3000000001d008ac4", "https://pgy.xiaohongshu.com/solar/pre-trade/blogger-detail/68874af3000000001d008ac4")</f>
        <v>https://pgy.xiaohongshu.com/solar/pre-trade/blogger-detail/68874af3000000001d008ac4</v>
      </c>
      <c r="D1331" t="inlineStr">
        <is>
          <t>男</t>
        </is>
      </c>
      <c r="E1331" t="inlineStr">
        <is>
          <t>Sonny_3</t>
        </is>
      </c>
      <c r="F1331" t="inlineStr">
        <is>
          <t>Sonny</t>
        </is>
      </c>
      <c r="G1331" t="inlineStr">
        <is>
          <t>浙江 杭州 余杭区</t>
        </is>
      </c>
      <c r="H1331"/>
      <c r="I1331" t="inlineStr">
        <is>
          <t>教育</t>
        </is>
      </c>
      <c r="J1331">
        <v>9061</v>
      </c>
      <c r="K1331" t="inlineStr">
        <is>
          <t>0.9</t>
        </is>
      </c>
      <c r="L1331">
        <v>3584</v>
      </c>
      <c r="M1331">
        <v>1079</v>
      </c>
      <c r="N1331">
        <v>154</v>
      </c>
      <c r="O1331">
        <v>850</v>
      </c>
      <c r="P1331">
        <v>0</v>
      </c>
      <c r="Q1331">
        <v>0.556</v>
      </c>
      <c r="R1331">
        <v>0</v>
      </c>
      <c r="S1331">
        <v>0</v>
      </c>
      <c r="T1331">
        <v>0</v>
      </c>
      <c r="U1331">
        <v>0</v>
      </c>
      <c r="V1331">
        <v>0</v>
      </c>
      <c r="W1331">
        <v>0</v>
      </c>
      <c r="X1331">
        <v>0</v>
      </c>
      <c r="Y1331">
        <v>0</v>
      </c>
      <c r="Z1331">
        <v>0</v>
      </c>
      <c r="AA1331">
        <v>3584</v>
      </c>
      <c r="AB1331">
        <v>1079</v>
      </c>
      <c r="AC1331">
        <v>130</v>
      </c>
      <c r="AD1331">
        <v>2.29</v>
      </c>
      <c r="AE1331">
        <v>850</v>
      </c>
      <c r="AF1331">
        <v>0.556</v>
      </c>
      <c r="AG1331">
        <v>0</v>
      </c>
      <c r="AH1331">
        <v>0.422</v>
      </c>
      <c r="AI1331">
        <v>237.17</v>
      </c>
      <c r="AJ1331">
        <v>5.52</v>
      </c>
      <c r="AK1331">
        <v>0</v>
      </c>
      <c r="AL1331">
        <v>0</v>
      </c>
      <c r="AM1331">
        <v>0</v>
      </c>
      <c r="AN1331">
        <v>0</v>
      </c>
      <c r="AO1331">
        <v>0</v>
      </c>
      <c r="AP1331">
        <v>0.902</v>
      </c>
      <c r="AQ1331">
        <v>0.038</v>
      </c>
      <c r="AR1331">
        <v>0.011</v>
      </c>
      <c r="AS1331" s="3">
        <v>46107.780439814815</v>
      </c>
    </row>
    <row r="1332" ht="25.5" customHeight="1">
      <c r="A1332" t="inlineStr">
        <is>
          <t>5f47392d000000000100a3b7</t>
        </is>
      </c>
      <c r="B1332" s="2" t="str">
        <f>=HYPERLINK("https://www.xiaohongshu.com/user/profile/5f47392d000000000100a3b7", "https://www.xiaohongshu.com/user/profile/5f47392d000000000100a3b7")</f>
        <v>https://www.xiaohongshu.com/user/profile/5f47392d000000000100a3b7</v>
      </c>
      <c r="C1332" s="2" t="str">
        <f>=HYPERLINK("https://pgy.xiaohongshu.com/solar/pre-trade/blogger-detail/5f47392d000000000100a3b7", "https://pgy.xiaohongshu.com/solar/pre-trade/blogger-detail/5f47392d000000000100a3b7")</f>
        <v>https://pgy.xiaohongshu.com/solar/pre-trade/blogger-detail/5f47392d000000000100a3b7</v>
      </c>
      <c r="D1332" t="inlineStr">
        <is>
          <t>女</t>
        </is>
      </c>
      <c r="E1332" t="inlineStr">
        <is>
          <t>393519324</t>
        </is>
      </c>
      <c r="F1332" t="inlineStr">
        <is>
          <t>八点半日落</t>
        </is>
      </c>
      <c r="G1332" t="inlineStr">
        <is>
          <t>云南 昆明 呈贡区</t>
        </is>
      </c>
      <c r="H1332" t="inlineStr">
        <is>
          <t>书法爱好者, 学生</t>
        </is>
      </c>
      <c r="I1332" t="inlineStr">
        <is>
          <t>教育</t>
        </is>
      </c>
      <c r="J1332">
        <v>3190</v>
      </c>
      <c r="K1332" t="inlineStr">
        <is>
          <t>0.3</t>
        </is>
      </c>
      <c r="L1332">
        <v>12320</v>
      </c>
      <c r="M1332">
        <v>2191</v>
      </c>
      <c r="N1332">
        <v>695</v>
      </c>
      <c r="O1332">
        <v>310</v>
      </c>
      <c r="P1332">
        <v>0</v>
      </c>
      <c r="Q1332">
        <v>1</v>
      </c>
      <c r="R1332">
        <v>12320</v>
      </c>
      <c r="S1332">
        <v>2191</v>
      </c>
      <c r="T1332">
        <v>639</v>
      </c>
      <c r="U1332">
        <v>0.5</v>
      </c>
      <c r="V1332">
        <v>310</v>
      </c>
      <c r="W1332">
        <v>1</v>
      </c>
      <c r="X1332">
        <v>0</v>
      </c>
      <c r="Y1332">
        <v>35.49</v>
      </c>
      <c r="Z1332">
        <v>0.54</v>
      </c>
      <c r="AA1332">
        <v>0</v>
      </c>
      <c r="AB1332">
        <v>0</v>
      </c>
      <c r="AC1332">
        <v>0</v>
      </c>
      <c r="AD1332">
        <v>0</v>
      </c>
      <c r="AE1332">
        <v>353</v>
      </c>
      <c r="AF1332">
        <v>0</v>
      </c>
      <c r="AG1332">
        <v>0</v>
      </c>
      <c r="AH1332">
        <v>0</v>
      </c>
      <c r="AI1332">
        <v>0</v>
      </c>
      <c r="AJ1332">
        <v>0</v>
      </c>
      <c r="AK1332">
        <v>2090</v>
      </c>
      <c r="AL1332">
        <v>181</v>
      </c>
      <c r="AM1332">
        <v>71</v>
      </c>
      <c r="AN1332">
        <v>0</v>
      </c>
      <c r="AO1332">
        <v>0</v>
      </c>
      <c r="AP1332">
        <v>0.680999999999999</v>
      </c>
      <c r="AQ1332">
        <v>0.018</v>
      </c>
      <c r="AR1332">
        <v>0.008</v>
      </c>
      <c r="AS1332" s="3">
        <v>46107.780439814815</v>
      </c>
    </row>
    <row r="1333" ht="25.5" customHeight="1">
      <c r="A1333" t="inlineStr">
        <is>
          <t>60f4e5b50000000001006f8a</t>
        </is>
      </c>
      <c r="B1333" s="2" t="str">
        <f>=HYPERLINK("https://www.xiaohongshu.com/user/profile/60f4e5b50000000001006f8a", "https://www.xiaohongshu.com/user/profile/60f4e5b50000000001006f8a")</f>
        <v>https://www.xiaohongshu.com/user/profile/60f4e5b50000000001006f8a</v>
      </c>
      <c r="C1333" s="2" t="str">
        <f>=HYPERLINK("https://pgy.xiaohongshu.com/solar/pre-trade/blogger-detail/60f4e5b50000000001006f8a", "https://pgy.xiaohongshu.com/solar/pre-trade/blogger-detail/60f4e5b50000000001006f8a")</f>
        <v>https://pgy.xiaohongshu.com/solar/pre-trade/blogger-detail/60f4e5b50000000001006f8a</v>
      </c>
      <c r="D1333" t="inlineStr">
        <is>
          <t>女</t>
        </is>
      </c>
      <c r="E1333" t="inlineStr">
        <is>
          <t>9500267384</t>
        </is>
      </c>
      <c r="F1333" t="inlineStr">
        <is>
          <t>学习困难僧</t>
        </is>
      </c>
      <c r="G1333" t="inlineStr">
        <is>
          <t>浙江 杭州 余杭区</t>
        </is>
      </c>
      <c r="H1333"/>
      <c r="I1333" t="inlineStr">
        <is>
          <t>教育</t>
        </is>
      </c>
      <c r="J1333">
        <v>5608</v>
      </c>
      <c r="K1333" t="inlineStr">
        <is>
          <t>0.6</t>
        </is>
      </c>
      <c r="L1333">
        <v>1556</v>
      </c>
      <c r="M1333">
        <v>696</v>
      </c>
      <c r="N1333">
        <v>151</v>
      </c>
      <c r="O1333">
        <v>185</v>
      </c>
      <c r="P1333">
        <v>0</v>
      </c>
      <c r="Q1333">
        <v>0.05</v>
      </c>
      <c r="R1333">
        <v>0</v>
      </c>
      <c r="S1333">
        <v>0</v>
      </c>
      <c r="T1333">
        <v>0</v>
      </c>
      <c r="U1333">
        <v>0</v>
      </c>
      <c r="V1333">
        <v>185</v>
      </c>
      <c r="W1333">
        <v>0</v>
      </c>
      <c r="X1333">
        <v>0</v>
      </c>
      <c r="Y1333">
        <v>0</v>
      </c>
      <c r="Z1333">
        <v>0</v>
      </c>
      <c r="AA1333">
        <v>1556</v>
      </c>
      <c r="AB1333">
        <v>696</v>
      </c>
      <c r="AC1333">
        <v>131</v>
      </c>
      <c r="AD1333">
        <v>2.66</v>
      </c>
      <c r="AE1333">
        <v>805</v>
      </c>
      <c r="AF1333">
        <v>0.05</v>
      </c>
      <c r="AG1333">
        <v>0</v>
      </c>
      <c r="AH1333">
        <v>0.318</v>
      </c>
      <c r="AI1333">
        <v>517.35</v>
      </c>
      <c r="AJ1333">
        <v>5.33</v>
      </c>
      <c r="AK1333">
        <v>0</v>
      </c>
      <c r="AL1333">
        <v>0</v>
      </c>
      <c r="AM1333">
        <v>0</v>
      </c>
      <c r="AN1333">
        <v>0</v>
      </c>
      <c r="AO1333">
        <v>0</v>
      </c>
      <c r="AP1333">
        <v>0.942</v>
      </c>
      <c r="AQ1333">
        <v>0.052</v>
      </c>
      <c r="AR1333">
        <v>0.015</v>
      </c>
      <c r="AS1333" s="3">
        <v>46107.780439814815</v>
      </c>
    </row>
    <row r="1334" ht="25.5" customHeight="1">
      <c r="A1334" t="inlineStr">
        <is>
          <t>5aa3d76a4eacab47ad0fe9e0</t>
        </is>
      </c>
      <c r="B1334" s="2" t="str">
        <f>=HYPERLINK("https://www.xiaohongshu.com/user/profile/5aa3d76a4eacab47ad0fe9e0", "https://www.xiaohongshu.com/user/profile/5aa3d76a4eacab47ad0fe9e0")</f>
        <v>https://www.xiaohongshu.com/user/profile/5aa3d76a4eacab47ad0fe9e0</v>
      </c>
      <c r="C1334" s="2" t="str">
        <f>=HYPERLINK("https://pgy.xiaohongshu.com/solar/pre-trade/blogger-detail/5aa3d76a4eacab47ad0fe9e0", "https://pgy.xiaohongshu.com/solar/pre-trade/blogger-detail/5aa3d76a4eacab47ad0fe9e0")</f>
        <v>https://pgy.xiaohongshu.com/solar/pre-trade/blogger-detail/5aa3d76a4eacab47ad0fe9e0</v>
      </c>
      <c r="D1334" t="inlineStr">
        <is>
          <t>女</t>
        </is>
      </c>
      <c r="E1334" t="inlineStr">
        <is>
          <t>959408575</t>
        </is>
      </c>
      <c r="F1334" t="inlineStr">
        <is>
          <t>douuudou-</t>
        </is>
      </c>
      <c r="G1334" t="inlineStr">
        <is>
          <t>英国</t>
        </is>
      </c>
      <c r="H1334" t="inlineStr">
        <is>
          <t>导演, 留学背景, 制片人</t>
        </is>
      </c>
      <c r="I1334" t="inlineStr">
        <is>
          <t>摄影</t>
        </is>
      </c>
      <c r="J1334">
        <v>3345</v>
      </c>
      <c r="K1334" t="inlineStr">
        <is>
          <t>0.3</t>
        </is>
      </c>
      <c r="L1334">
        <v>5158</v>
      </c>
      <c r="M1334">
        <v>1663</v>
      </c>
      <c r="N1334">
        <v>164</v>
      </c>
      <c r="O1334">
        <v>500</v>
      </c>
      <c r="P1334">
        <v>0</v>
      </c>
      <c r="Q1334">
        <v>0.667</v>
      </c>
      <c r="R1334">
        <v>5157</v>
      </c>
      <c r="S1334">
        <v>899</v>
      </c>
      <c r="T1334">
        <v>75</v>
      </c>
      <c r="U1334">
        <v>0.86</v>
      </c>
      <c r="V1334">
        <v>500</v>
      </c>
      <c r="W1334">
        <v>0.5</v>
      </c>
      <c r="X1334">
        <v>0</v>
      </c>
      <c r="Y1334">
        <v>96.95</v>
      </c>
      <c r="Z1334">
        <v>5.35</v>
      </c>
      <c r="AA1334">
        <v>5158</v>
      </c>
      <c r="AB1334">
        <v>1763</v>
      </c>
      <c r="AC1334">
        <v>171</v>
      </c>
      <c r="AD1334">
        <v>1.95</v>
      </c>
      <c r="AE1334">
        <v>800</v>
      </c>
      <c r="AF1334">
        <v>1</v>
      </c>
      <c r="AG1334">
        <v>0</v>
      </c>
      <c r="AH1334">
        <v>0.045</v>
      </c>
      <c r="AI1334">
        <v>155.1</v>
      </c>
      <c r="AJ1334">
        <v>3.62</v>
      </c>
      <c r="AK1334">
        <v>0</v>
      </c>
      <c r="AL1334">
        <v>0</v>
      </c>
      <c r="AM1334">
        <v>0</v>
      </c>
      <c r="AN1334">
        <v>0</v>
      </c>
      <c r="AO1334">
        <v>0</v>
      </c>
      <c r="AP1334">
        <v>0.855</v>
      </c>
      <c r="AQ1334">
        <v>0.037</v>
      </c>
      <c r="AR1334">
        <v>0.034</v>
      </c>
      <c r="AS1334" s="3">
        <v>46107.780439814815</v>
      </c>
    </row>
    <row r="1335" ht="25.5" customHeight="1">
      <c r="A1335" t="inlineStr">
        <is>
          <t>60e9a520000000000101eae2</t>
        </is>
      </c>
      <c r="B1335" s="2" t="str">
        <f>=HYPERLINK("https://www.xiaohongshu.com/user/profile/60e9a520000000000101eae2", "https://www.xiaohongshu.com/user/profile/60e9a520000000000101eae2")</f>
        <v>https://www.xiaohongshu.com/user/profile/60e9a520000000000101eae2</v>
      </c>
      <c r="C1335" s="2" t="str">
        <f>=HYPERLINK("https://pgy.xiaohongshu.com/solar/pre-trade/blogger-detail/60e9a520000000000101eae2", "https://pgy.xiaohongshu.com/solar/pre-trade/blogger-detail/60e9a520000000000101eae2")</f>
        <v>https://pgy.xiaohongshu.com/solar/pre-trade/blogger-detail/60e9a520000000000101eae2</v>
      </c>
      <c r="D1335" t="inlineStr">
        <is>
          <t>女</t>
        </is>
      </c>
      <c r="E1335" t="inlineStr">
        <is>
          <t>2671561082</t>
        </is>
      </c>
      <c r="F1335" t="inlineStr">
        <is>
          <t>不吃菠菜.</t>
        </is>
      </c>
      <c r="G1335" t="inlineStr">
        <is>
          <t>海南 琼海 琼海市</t>
        </is>
      </c>
      <c r="H1335"/>
      <c r="I1335" t="inlineStr">
        <is>
          <t>教育</t>
        </is>
      </c>
      <c r="J1335">
        <v>3755</v>
      </c>
      <c r="K1335" t="inlineStr">
        <is>
          <t>0.4</t>
        </is>
      </c>
      <c r="L1335">
        <v>9877</v>
      </c>
      <c r="M1335">
        <v>2007</v>
      </c>
      <c r="N1335">
        <v>332</v>
      </c>
      <c r="O1335">
        <v>300</v>
      </c>
      <c r="P1335">
        <v>0</v>
      </c>
      <c r="Q1335">
        <v>0.667</v>
      </c>
      <c r="R1335">
        <v>26818</v>
      </c>
      <c r="S1335">
        <v>6660</v>
      </c>
      <c r="T1335">
        <v>401</v>
      </c>
      <c r="U1335">
        <v>0.37</v>
      </c>
      <c r="V1335">
        <v>300</v>
      </c>
      <c r="W1335">
        <v>0.5</v>
      </c>
      <c r="X1335">
        <v>0</v>
      </c>
      <c r="Y1335">
        <v>11.84</v>
      </c>
      <c r="Z1335">
        <v>1.03</v>
      </c>
      <c r="AA1335">
        <v>6524</v>
      </c>
      <c r="AB1335">
        <v>2007</v>
      </c>
      <c r="AC1335">
        <v>314</v>
      </c>
      <c r="AD1335">
        <v>1.65</v>
      </c>
      <c r="AE1335">
        <v>300</v>
      </c>
      <c r="AF1335">
        <v>1</v>
      </c>
      <c r="AG1335">
        <v>0</v>
      </c>
      <c r="AH1335">
        <v>0.016</v>
      </c>
      <c r="AI1335">
        <v>41.36</v>
      </c>
      <c r="AJ1335">
        <v>0.9</v>
      </c>
      <c r="AK1335">
        <v>18810</v>
      </c>
      <c r="AL1335">
        <v>2722</v>
      </c>
      <c r="AM1335">
        <v>323</v>
      </c>
      <c r="AN1335">
        <v>0</v>
      </c>
      <c r="AO1335">
        <v>0</v>
      </c>
      <c r="AP1335">
        <v>0.907999999999999</v>
      </c>
      <c r="AQ1335">
        <v>0.067</v>
      </c>
      <c r="AR1335">
        <v>0.063</v>
      </c>
      <c r="AS1335" s="3">
        <v>46107.780439814815</v>
      </c>
    </row>
    <row r="1336" ht="25.5" customHeight="1">
      <c r="A1336" t="inlineStr">
        <is>
          <t>5af7ed39e8ac2b144d57d9c7</t>
        </is>
      </c>
      <c r="B1336" s="2" t="str">
        <f>=HYPERLINK("https://www.xiaohongshu.com/user/profile/5af7ed39e8ac2b144d57d9c7", "https://www.xiaohongshu.com/user/profile/5af7ed39e8ac2b144d57d9c7")</f>
        <v>https://www.xiaohongshu.com/user/profile/5af7ed39e8ac2b144d57d9c7</v>
      </c>
      <c r="C1336" s="2" t="str">
        <f>=HYPERLINK("https://pgy.xiaohongshu.com/solar/pre-trade/blogger-detail/5af7ed39e8ac2b144d57d9c7", "https://pgy.xiaohongshu.com/solar/pre-trade/blogger-detail/5af7ed39e8ac2b144d57d9c7")</f>
        <v>https://pgy.xiaohongshu.com/solar/pre-trade/blogger-detail/5af7ed39e8ac2b144d57d9c7</v>
      </c>
      <c r="D1336" t="inlineStr">
        <is>
          <t>女</t>
        </is>
      </c>
      <c r="E1336" t="inlineStr">
        <is>
          <t>944800485</t>
        </is>
      </c>
      <c r="F1336" t="inlineStr">
        <is>
          <t>英伦生活Go</t>
        </is>
      </c>
      <c r="G1336" t="inlineStr">
        <is>
          <t>英国</t>
        </is>
      </c>
      <c r="H1336"/>
      <c r="I1336" t="inlineStr">
        <is>
          <t>教育</t>
        </is>
      </c>
      <c r="J1336">
        <v>3241</v>
      </c>
      <c r="K1336" t="inlineStr">
        <is>
          <t>0.3</t>
        </is>
      </c>
      <c r="L1336">
        <v>91169</v>
      </c>
      <c r="M1336">
        <v>11589</v>
      </c>
      <c r="N1336">
        <v>1501</v>
      </c>
      <c r="O1336">
        <v>500</v>
      </c>
      <c r="P1336">
        <v>0</v>
      </c>
      <c r="Q1336">
        <v>1</v>
      </c>
      <c r="R1336">
        <v>0</v>
      </c>
      <c r="S1336">
        <v>0</v>
      </c>
      <c r="T1336">
        <v>0</v>
      </c>
      <c r="U1336">
        <v>0</v>
      </c>
      <c r="V1336">
        <v>500</v>
      </c>
      <c r="W1336">
        <v>0</v>
      </c>
      <c r="X1336">
        <v>0</v>
      </c>
      <c r="Y1336">
        <v>0</v>
      </c>
      <c r="Z1336">
        <v>0</v>
      </c>
      <c r="AA1336">
        <v>91169</v>
      </c>
      <c r="AB1336">
        <v>11589</v>
      </c>
      <c r="AC1336">
        <v>855</v>
      </c>
      <c r="AD1336">
        <v>1.59</v>
      </c>
      <c r="AE1336">
        <v>1000</v>
      </c>
      <c r="AF1336">
        <v>1</v>
      </c>
      <c r="AG1336">
        <v>0</v>
      </c>
      <c r="AH1336">
        <v>0.223999999999999</v>
      </c>
      <c r="AI1336">
        <v>10.97</v>
      </c>
      <c r="AJ1336">
        <v>0.67</v>
      </c>
      <c r="AK1336">
        <v>0</v>
      </c>
      <c r="AL1336">
        <v>0</v>
      </c>
      <c r="AM1336">
        <v>0</v>
      </c>
      <c r="AN1336">
        <v>0</v>
      </c>
      <c r="AO1336">
        <v>0</v>
      </c>
      <c r="AP1336">
        <v>0.912999999999999</v>
      </c>
      <c r="AQ1336">
        <v>0.027</v>
      </c>
      <c r="AR1336">
        <v>0.034</v>
      </c>
      <c r="AS1336" s="3">
        <v>46107.780439814815</v>
      </c>
    </row>
    <row r="1337" ht="25.5" customHeight="1">
      <c r="A1337" t="inlineStr">
        <is>
          <t>5cbbde31000000001700baf9</t>
        </is>
      </c>
      <c r="B1337" s="2" t="str">
        <f>=HYPERLINK("https://www.xiaohongshu.com/user/profile/5cbbde31000000001700baf9", "https://www.xiaohongshu.com/user/profile/5cbbde31000000001700baf9")</f>
        <v>https://www.xiaohongshu.com/user/profile/5cbbde31000000001700baf9</v>
      </c>
      <c r="C1337" s="2" t="str">
        <f>=HYPERLINK("https://pgy.xiaohongshu.com/solar/pre-trade/blogger-detail/5cbbde31000000001700baf9", "https://pgy.xiaohongshu.com/solar/pre-trade/blogger-detail/5cbbde31000000001700baf9")</f>
        <v>https://pgy.xiaohongshu.com/solar/pre-trade/blogger-detail/5cbbde31000000001700baf9</v>
      </c>
      <c r="D1337" t="inlineStr">
        <is>
          <t>女</t>
        </is>
      </c>
      <c r="E1337" t="inlineStr">
        <is>
          <t>treciang</t>
        </is>
      </c>
      <c r="F1337" t="inlineStr">
        <is>
          <t>是Trecia呀</t>
        </is>
      </c>
      <c r="G1337" t="inlineStr">
        <is>
          <t>马来西亚</t>
        </is>
      </c>
      <c r="H1337" t="inlineStr">
        <is>
          <t>留学背景, 外国人, 学生, 闺蜜</t>
        </is>
      </c>
      <c r="I1337" t="inlineStr">
        <is>
          <t>美食, 生活记录</t>
        </is>
      </c>
      <c r="J1337">
        <v>13137</v>
      </c>
      <c r="K1337" t="inlineStr">
        <is>
          <t>1.3</t>
        </is>
      </c>
      <c r="L1337">
        <v>7629</v>
      </c>
      <c r="M1337">
        <v>1338</v>
      </c>
      <c r="N1337">
        <v>139</v>
      </c>
      <c r="O1337">
        <v>1200</v>
      </c>
      <c r="P1337">
        <v>0</v>
      </c>
      <c r="Q1337">
        <v>0.588</v>
      </c>
      <c r="R1337">
        <v>11501</v>
      </c>
      <c r="S1337">
        <v>1724</v>
      </c>
      <c r="T1337">
        <v>123</v>
      </c>
      <c r="U1337">
        <v>1</v>
      </c>
      <c r="V1337">
        <v>1200</v>
      </c>
      <c r="W1337">
        <v>0.571</v>
      </c>
      <c r="X1337">
        <v>0</v>
      </c>
      <c r="Y1337">
        <v>104.33</v>
      </c>
      <c r="Z1337">
        <v>8</v>
      </c>
      <c r="AA1337">
        <v>4766</v>
      </c>
      <c r="AB1337">
        <v>645</v>
      </c>
      <c r="AC1337">
        <v>127</v>
      </c>
      <c r="AD1337">
        <v>3.83</v>
      </c>
      <c r="AE1337">
        <v>1500</v>
      </c>
      <c r="AF1337">
        <v>0.667</v>
      </c>
      <c r="AG1337">
        <v>0</v>
      </c>
      <c r="AH1337">
        <v>0.134</v>
      </c>
      <c r="AI1337">
        <v>314.73</v>
      </c>
      <c r="AJ1337">
        <v>10.64</v>
      </c>
      <c r="AK1337">
        <v>0</v>
      </c>
      <c r="AL1337">
        <v>0</v>
      </c>
      <c r="AM1337">
        <v>0</v>
      </c>
      <c r="AN1337">
        <v>0</v>
      </c>
      <c r="AO1337">
        <v>0</v>
      </c>
      <c r="AP1337">
        <v>0.888</v>
      </c>
      <c r="AQ1337">
        <v>0.0409999999999999</v>
      </c>
      <c r="AR1337">
        <v>0.02</v>
      </c>
      <c r="AS1337" s="3">
        <v>46107.780439814815</v>
      </c>
    </row>
    <row r="1338" ht="25.5" customHeight="1">
      <c r="A1338" t="inlineStr">
        <is>
          <t>60800ee2000000000101d10b</t>
        </is>
      </c>
      <c r="B1338" s="2" t="str">
        <f>=HYPERLINK("https://www.xiaohongshu.com/user/profile/60800ee2000000000101d10b", "https://www.xiaohongshu.com/user/profile/60800ee2000000000101d10b")</f>
        <v>https://www.xiaohongshu.com/user/profile/60800ee2000000000101d10b</v>
      </c>
      <c r="C1338" s="2" t="str">
        <f>=HYPERLINK("https://pgy.xiaohongshu.com/solar/pre-trade/blogger-detail/60800ee2000000000101d10b", "https://pgy.xiaohongshu.com/solar/pre-trade/blogger-detail/60800ee2000000000101d10b")</f>
        <v>https://pgy.xiaohongshu.com/solar/pre-trade/blogger-detail/60800ee2000000000101d10b</v>
      </c>
      <c r="D1338" t="inlineStr">
        <is>
          <t>女</t>
        </is>
      </c>
      <c r="E1338" t="inlineStr">
        <is>
          <t>4281215129</t>
        </is>
      </c>
      <c r="F1338" t="inlineStr">
        <is>
          <t>Jiarui的读博笔记</t>
        </is>
      </c>
      <c r="G1338" t="inlineStr">
        <is>
          <t>新加坡</t>
        </is>
      </c>
      <c r="H1338" t="inlineStr">
        <is>
          <t>留学背景, 学生</t>
        </is>
      </c>
      <c r="I1338" t="inlineStr">
        <is>
          <t>教育</t>
        </is>
      </c>
      <c r="J1338">
        <v>50814</v>
      </c>
      <c r="K1338" t="inlineStr">
        <is>
          <t>5.1</t>
        </is>
      </c>
      <c r="L1338">
        <v>25111</v>
      </c>
      <c r="M1338">
        <v>7879</v>
      </c>
      <c r="N1338">
        <v>1028</v>
      </c>
      <c r="O1338">
        <v>2500</v>
      </c>
      <c r="P1338">
        <v>0.332999999999999</v>
      </c>
      <c r="Q1338">
        <v>1</v>
      </c>
      <c r="R1338">
        <v>0</v>
      </c>
      <c r="S1338">
        <v>0</v>
      </c>
      <c r="T1338">
        <v>0</v>
      </c>
      <c r="U1338">
        <v>0</v>
      </c>
      <c r="V1338">
        <v>2500</v>
      </c>
      <c r="W1338">
        <v>0</v>
      </c>
      <c r="X1338">
        <v>0</v>
      </c>
      <c r="Y1338">
        <v>0</v>
      </c>
      <c r="Z1338">
        <v>0</v>
      </c>
      <c r="AA1338">
        <v>25111</v>
      </c>
      <c r="AB1338">
        <v>7879</v>
      </c>
      <c r="AC1338">
        <v>910</v>
      </c>
      <c r="AD1338">
        <v>2.39</v>
      </c>
      <c r="AE1338">
        <v>4500</v>
      </c>
      <c r="AF1338">
        <v>1</v>
      </c>
      <c r="AG1338">
        <v>0.332999999999999</v>
      </c>
      <c r="AH1338">
        <v>0.063</v>
      </c>
      <c r="AI1338">
        <v>153.7</v>
      </c>
      <c r="AJ1338">
        <v>4.65</v>
      </c>
      <c r="AK1338">
        <v>42726</v>
      </c>
      <c r="AL1338">
        <v>4863</v>
      </c>
      <c r="AM1338">
        <v>857</v>
      </c>
      <c r="AN1338">
        <v>0</v>
      </c>
      <c r="AO1338">
        <v>0</v>
      </c>
      <c r="AP1338">
        <v>0.95</v>
      </c>
      <c r="AQ1338">
        <v>0.127</v>
      </c>
      <c r="AR1338">
        <v>0.096</v>
      </c>
      <c r="AS1338" s="3">
        <v>46107.780439814815</v>
      </c>
    </row>
    <row r="1339" ht="25.5" customHeight="1">
      <c r="A1339" t="inlineStr">
        <is>
          <t>5d0b044c000000001603b714</t>
        </is>
      </c>
      <c r="B1339" s="2" t="str">
        <f>=HYPERLINK("https://www.xiaohongshu.com/user/profile/5d0b044c000000001603b714", "https://www.xiaohongshu.com/user/profile/5d0b044c000000001603b714")</f>
        <v>https://www.xiaohongshu.com/user/profile/5d0b044c000000001603b714</v>
      </c>
      <c r="C1339" s="2" t="str">
        <f>=HYPERLINK("https://pgy.xiaohongshu.com/solar/pre-trade/blogger-detail/5d0b044c000000001603b714", "https://pgy.xiaohongshu.com/solar/pre-trade/blogger-detail/5d0b044c000000001603b714")</f>
        <v>https://pgy.xiaohongshu.com/solar/pre-trade/blogger-detail/5d0b044c000000001603b714</v>
      </c>
      <c r="D1339" t="inlineStr">
        <is>
          <t>女</t>
        </is>
      </c>
      <c r="E1339" t="inlineStr">
        <is>
          <t>583017312</t>
        </is>
      </c>
      <c r="F1339" t="inlineStr">
        <is>
          <t>炸鸡都买不起的邪修</t>
        </is>
      </c>
      <c r="G1339" t="inlineStr">
        <is>
          <t>日本</t>
        </is>
      </c>
      <c r="H1339"/>
      <c r="I1339" t="inlineStr">
        <is>
          <t>教育</t>
        </is>
      </c>
      <c r="J1339">
        <v>4072</v>
      </c>
      <c r="K1339" t="inlineStr">
        <is>
          <t>0.4</t>
        </is>
      </c>
      <c r="L1339">
        <v>4316</v>
      </c>
      <c r="M1339">
        <v>3955</v>
      </c>
      <c r="N1339">
        <v>478</v>
      </c>
      <c r="O1339">
        <v>233</v>
      </c>
      <c r="P1339">
        <v>0</v>
      </c>
      <c r="Q1339">
        <v>1</v>
      </c>
      <c r="R1339">
        <v>0</v>
      </c>
      <c r="S1339">
        <v>0</v>
      </c>
      <c r="T1339">
        <v>0</v>
      </c>
      <c r="U1339">
        <v>0</v>
      </c>
      <c r="V1339">
        <v>0</v>
      </c>
      <c r="W1339">
        <v>0</v>
      </c>
      <c r="X1339">
        <v>0</v>
      </c>
      <c r="Y1339">
        <v>0</v>
      </c>
      <c r="Z1339">
        <v>0</v>
      </c>
      <c r="AA1339">
        <v>4316</v>
      </c>
      <c r="AB1339">
        <v>3955</v>
      </c>
      <c r="AC1339">
        <v>432</v>
      </c>
      <c r="AD1339">
        <v>1.56</v>
      </c>
      <c r="AE1339">
        <v>233</v>
      </c>
      <c r="AF1339">
        <v>1</v>
      </c>
      <c r="AG1339">
        <v>0</v>
      </c>
      <c r="AH1339">
        <v>0.309</v>
      </c>
      <c r="AI1339">
        <v>53.99</v>
      </c>
      <c r="AJ1339">
        <v>0.49</v>
      </c>
      <c r="AK1339">
        <v>0</v>
      </c>
      <c r="AL1339">
        <v>0</v>
      </c>
      <c r="AM1339">
        <v>0</v>
      </c>
      <c r="AN1339">
        <v>0</v>
      </c>
      <c r="AO1339">
        <v>0</v>
      </c>
      <c r="AP1339">
        <v>0.94</v>
      </c>
      <c r="AQ1339">
        <v>0.051</v>
      </c>
      <c r="AR1339">
        <v>0.017</v>
      </c>
      <c r="AS1339" s="3">
        <v>46107.780439814815</v>
      </c>
    </row>
    <row r="1340" ht="25.5" customHeight="1">
      <c r="A1340" t="inlineStr">
        <is>
          <t>62c9072a0000000015015c68</t>
        </is>
      </c>
      <c r="B1340" s="2" t="str">
        <f>=HYPERLINK("https://www.xiaohongshu.com/user/profile/62c9072a0000000015015c68", "https://www.xiaohongshu.com/user/profile/62c9072a0000000015015c68")</f>
        <v>https://www.xiaohongshu.com/user/profile/62c9072a0000000015015c68</v>
      </c>
      <c r="C1340" s="2" t="str">
        <f>=HYPERLINK("https://pgy.xiaohongshu.com/solar/pre-trade/blogger-detail/62c9072a0000000015015c68", "https://pgy.xiaohongshu.com/solar/pre-trade/blogger-detail/62c9072a0000000015015c68")</f>
        <v>https://pgy.xiaohongshu.com/solar/pre-trade/blogger-detail/62c9072a0000000015015c68</v>
      </c>
      <c r="D1340" t="inlineStr">
        <is>
          <t>男</t>
        </is>
      </c>
      <c r="E1340" t="inlineStr">
        <is>
          <t>5613160030</t>
        </is>
      </c>
      <c r="F1340" t="inlineStr">
        <is>
          <t>谷gu爱英语</t>
        </is>
      </c>
      <c r="G1340" t="inlineStr">
        <is>
          <t>上海</t>
        </is>
      </c>
      <c r="H1340"/>
      <c r="I1340" t="inlineStr">
        <is>
          <t>教育</t>
        </is>
      </c>
      <c r="J1340">
        <v>3865</v>
      </c>
      <c r="K1340" t="inlineStr">
        <is>
          <t>0.4</t>
        </is>
      </c>
      <c r="L1340">
        <v>664</v>
      </c>
      <c r="M1340">
        <v>409</v>
      </c>
      <c r="N1340">
        <v>113</v>
      </c>
      <c r="O1340">
        <v>200</v>
      </c>
      <c r="P1340">
        <v>0</v>
      </c>
      <c r="Q1340">
        <v>0</v>
      </c>
      <c r="R1340">
        <v>0</v>
      </c>
      <c r="S1340">
        <v>0</v>
      </c>
      <c r="T1340">
        <v>0</v>
      </c>
      <c r="U1340">
        <v>0</v>
      </c>
      <c r="V1340">
        <v>200</v>
      </c>
      <c r="W1340">
        <v>0</v>
      </c>
      <c r="X1340">
        <v>0</v>
      </c>
      <c r="Y1340">
        <v>0</v>
      </c>
      <c r="Z1340">
        <v>0</v>
      </c>
      <c r="AA1340">
        <v>664</v>
      </c>
      <c r="AB1340">
        <v>409</v>
      </c>
      <c r="AC1340">
        <v>90</v>
      </c>
      <c r="AD1340">
        <v>2.72</v>
      </c>
      <c r="AE1340">
        <v>500</v>
      </c>
      <c r="AF1340">
        <v>0</v>
      </c>
      <c r="AG1340">
        <v>0</v>
      </c>
      <c r="AH1340">
        <v>0.369</v>
      </c>
      <c r="AI1340">
        <v>753.01</v>
      </c>
      <c r="AJ1340">
        <v>4.42</v>
      </c>
      <c r="AK1340">
        <v>0</v>
      </c>
      <c r="AL1340">
        <v>0</v>
      </c>
      <c r="AM1340">
        <v>0</v>
      </c>
      <c r="AN1340">
        <v>0</v>
      </c>
      <c r="AO1340">
        <v>0</v>
      </c>
      <c r="AP1340">
        <v>0.943</v>
      </c>
      <c r="AQ1340">
        <v>0.004</v>
      </c>
      <c r="AR1340">
        <v>0.003</v>
      </c>
      <c r="AS1340" s="3">
        <v>46107.780439814815</v>
      </c>
    </row>
    <row r="1341" ht="25.5" customHeight="1">
      <c r="A1341" t="inlineStr">
        <is>
          <t>62bd153a0000000019028cce</t>
        </is>
      </c>
      <c r="B1341" s="2" t="str">
        <f>=HYPERLINK("https://www.xiaohongshu.com/user/profile/62bd153a0000000019028cce", "https://www.xiaohongshu.com/user/profile/62bd153a0000000019028cce")</f>
        <v>https://www.xiaohongshu.com/user/profile/62bd153a0000000019028cce</v>
      </c>
      <c r="C1341" s="2" t="str">
        <f>=HYPERLINK("https://pgy.xiaohongshu.com/solar/pre-trade/blogger-detail/62bd153a0000000019028cce", "https://pgy.xiaohongshu.com/solar/pre-trade/blogger-detail/62bd153a0000000019028cce")</f>
        <v>https://pgy.xiaohongshu.com/solar/pre-trade/blogger-detail/62bd153a0000000019028cce</v>
      </c>
      <c r="D1341" t="inlineStr">
        <is>
          <t>女</t>
        </is>
      </c>
      <c r="E1341" t="inlineStr">
        <is>
          <t>Ceciliaa11_</t>
        </is>
      </c>
      <c r="F1341" t="inlineStr">
        <is>
          <t>问椰也耶</t>
        </is>
      </c>
      <c r="G1341" t="inlineStr">
        <is>
          <t>北京</t>
        </is>
      </c>
      <c r="H1341" t="inlineStr">
        <is>
          <t>学生</t>
        </is>
      </c>
      <c r="I1341" t="inlineStr">
        <is>
          <t>教育, 生活记录</t>
        </is>
      </c>
      <c r="J1341">
        <v>5559</v>
      </c>
      <c r="K1341" t="inlineStr">
        <is>
          <t>0.6</t>
        </is>
      </c>
      <c r="L1341">
        <v>4190</v>
      </c>
      <c r="M1341">
        <v>634</v>
      </c>
      <c r="N1341">
        <v>129</v>
      </c>
      <c r="O1341">
        <v>600</v>
      </c>
      <c r="P1341">
        <v>0</v>
      </c>
      <c r="Q1341">
        <v>0.25</v>
      </c>
      <c r="R1341">
        <v>4552</v>
      </c>
      <c r="S1341">
        <v>711</v>
      </c>
      <c r="T1341">
        <v>102</v>
      </c>
      <c r="U1341">
        <v>1.14</v>
      </c>
      <c r="V1341">
        <v>600</v>
      </c>
      <c r="W1341">
        <v>0.286</v>
      </c>
      <c r="X1341">
        <v>0</v>
      </c>
      <c r="Y1341">
        <v>124.97</v>
      </c>
      <c r="Z1341">
        <v>5.36</v>
      </c>
      <c r="AA1341">
        <v>1608</v>
      </c>
      <c r="AB1341">
        <v>454</v>
      </c>
      <c r="AC1341">
        <v>93</v>
      </c>
      <c r="AD1341">
        <v>3.15</v>
      </c>
      <c r="AE1341">
        <v>750</v>
      </c>
      <c r="AF1341">
        <v>0</v>
      </c>
      <c r="AG1341">
        <v>0</v>
      </c>
      <c r="AH1341">
        <v>0.235</v>
      </c>
      <c r="AI1341">
        <v>466.42</v>
      </c>
      <c r="AJ1341">
        <v>7.65</v>
      </c>
      <c r="AK1341">
        <v>5476</v>
      </c>
      <c r="AL1341">
        <v>600</v>
      </c>
      <c r="AM1341">
        <v>69</v>
      </c>
      <c r="AN1341">
        <v>21</v>
      </c>
      <c r="AO1341">
        <v>15</v>
      </c>
      <c r="AP1341">
        <v>0.898</v>
      </c>
      <c r="AQ1341">
        <v>0.072</v>
      </c>
      <c r="AR1341">
        <v>0.019</v>
      </c>
      <c r="AS1341" s="3">
        <v>46107.780439814815</v>
      </c>
    </row>
    <row r="1342" ht="25.5" customHeight="1">
      <c r="A1342" t="inlineStr">
        <is>
          <t>5cff113a000000001702b96d</t>
        </is>
      </c>
      <c r="B1342" s="2" t="str">
        <f>=HYPERLINK("https://www.xiaohongshu.com/user/profile/5cff113a000000001702b96d", "https://www.xiaohongshu.com/user/profile/5cff113a000000001702b96d")</f>
        <v>https://www.xiaohongshu.com/user/profile/5cff113a000000001702b96d</v>
      </c>
      <c r="C1342" s="2" t="str">
        <f>=HYPERLINK("https://pgy.xiaohongshu.com/solar/pre-trade/blogger-detail/5cff113a000000001702b96d", "https://pgy.xiaohongshu.com/solar/pre-trade/blogger-detail/5cff113a000000001702b96d")</f>
        <v>https://pgy.xiaohongshu.com/solar/pre-trade/blogger-detail/5cff113a000000001702b96d</v>
      </c>
      <c r="D1342" t="inlineStr">
        <is>
          <t>男</t>
        </is>
      </c>
      <c r="E1342" t="inlineStr">
        <is>
          <t>351760545</t>
        </is>
      </c>
      <c r="F1342" t="inlineStr">
        <is>
          <t>兔八哥讲英语</t>
        </is>
      </c>
      <c r="G1342" t="inlineStr">
        <is>
          <t>北京</t>
        </is>
      </c>
      <c r="H1342"/>
      <c r="I1342" t="inlineStr">
        <is>
          <t>教育</t>
        </is>
      </c>
      <c r="J1342">
        <v>1549</v>
      </c>
      <c r="K1342" t="inlineStr">
        <is>
          <t>0.2</t>
        </is>
      </c>
      <c r="L1342">
        <v>1723</v>
      </c>
      <c r="M1342">
        <v>1323</v>
      </c>
      <c r="N1342">
        <v>180</v>
      </c>
      <c r="O1342">
        <v>200</v>
      </c>
      <c r="P1342">
        <v>0</v>
      </c>
      <c r="Q1342">
        <v>0</v>
      </c>
      <c r="R1342">
        <v>0</v>
      </c>
      <c r="S1342">
        <v>0</v>
      </c>
      <c r="T1342">
        <v>0</v>
      </c>
      <c r="U1342">
        <v>0</v>
      </c>
      <c r="V1342">
        <v>0</v>
      </c>
      <c r="W1342">
        <v>0</v>
      </c>
      <c r="X1342">
        <v>0</v>
      </c>
      <c r="Y1342">
        <v>0</v>
      </c>
      <c r="Z1342">
        <v>0</v>
      </c>
      <c r="AA1342">
        <v>1723</v>
      </c>
      <c r="AB1342">
        <v>1323</v>
      </c>
      <c r="AC1342">
        <v>132</v>
      </c>
      <c r="AD1342">
        <v>1.65</v>
      </c>
      <c r="AE1342">
        <v>200</v>
      </c>
      <c r="AF1342">
        <v>0</v>
      </c>
      <c r="AG1342">
        <v>0</v>
      </c>
      <c r="AH1342">
        <v>0.011</v>
      </c>
      <c r="AI1342">
        <v>116.08</v>
      </c>
      <c r="AJ1342">
        <v>1.11</v>
      </c>
      <c r="AK1342">
        <v>0</v>
      </c>
      <c r="AL1342">
        <v>0</v>
      </c>
      <c r="AM1342">
        <v>0</v>
      </c>
      <c r="AN1342">
        <v>0</v>
      </c>
      <c r="AO1342">
        <v>0</v>
      </c>
      <c r="AP1342">
        <v>0.943</v>
      </c>
      <c r="AQ1342">
        <v>0.019</v>
      </c>
      <c r="AR1342">
        <v>0.019</v>
      </c>
      <c r="AS1342" s="3">
        <v>46107.780439814815</v>
      </c>
    </row>
  </sheetData>
  <dataValidations count="1">
    <dataValidation allowBlank="false" sqref="D2:D1341" type="list">
      <formula1>"女,男,未知"</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